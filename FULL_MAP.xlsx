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n-my.sharepoint.com/personal/danielle_olenchak_regeneron_com/Documents/Desktop/APOFIS/DATA/"/>
    </mc:Choice>
  </mc:AlternateContent>
  <xr:revisionPtr revIDLastSave="910" documentId="8_{E48644B1-DCA1-436D-B859-0D50FB0C5580}" xr6:coauthVersionLast="47" xr6:coauthVersionMax="47" xr10:uidLastSave="{BB823BC4-A948-448D-9FFD-4F329D962D21}"/>
  <bookViews>
    <workbookView xWindow="2660" yWindow="2660" windowWidth="14400" windowHeight="8170" xr2:uid="{37677795-BE39-4FE8-9547-35D5E0792670}"/>
  </bookViews>
  <sheets>
    <sheet name="FULL_MAP" sheetId="1" r:id="rId1"/>
    <sheet name="map" sheetId="2" r:id="rId2"/>
  </sheets>
  <definedNames>
    <definedName name="_xlnm._FilterDatabase" localSheetId="0" hidden="1">FULL_MAP!$A$2:$R$96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V3" i="1" a="1"/>
  <c r="V3" i="1" s="1"/>
  <c r="U3" i="1" a="1"/>
  <c r="U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<sst xmlns="http://schemas.openxmlformats.org/spreadsheetml/2006/main" count="2030" uniqueCount="889">
  <si>
    <t>P-Code</t>
  </si>
  <si>
    <t>Molecule Code</t>
  </si>
  <si>
    <t>Primary</t>
  </si>
  <si>
    <t>REGN #</t>
  </si>
  <si>
    <t>Program</t>
  </si>
  <si>
    <t>Sub-Program</t>
  </si>
  <si>
    <t>C</t>
  </si>
  <si>
    <t>D</t>
  </si>
  <si>
    <t>E</t>
  </si>
  <si>
    <t>F</t>
  </si>
  <si>
    <t>G</t>
  </si>
  <si>
    <t>P450</t>
  </si>
  <si>
    <t>Arcalyst</t>
  </si>
  <si>
    <t>Rilonacept</t>
  </si>
  <si>
    <t>REGN10057</t>
  </si>
  <si>
    <t>IL1 Trap</t>
  </si>
  <si>
    <t>IL-1 Trap</t>
  </si>
  <si>
    <t>Arcalyst (Rilonacept)</t>
  </si>
  <si>
    <t>REGN10057 (IL1RAcP)</t>
  </si>
  <si>
    <t>P570</t>
  </si>
  <si>
    <t>Eylea HD</t>
  </si>
  <si>
    <t>Afilbercept</t>
  </si>
  <si>
    <t>REGN3</t>
  </si>
  <si>
    <t>VEGF</t>
  </si>
  <si>
    <t>VEGF Trap HD</t>
  </si>
  <si>
    <t>Eylea HD (Aflibercept)</t>
  </si>
  <si>
    <t>VEGF (REGN3) High-Dose</t>
  </si>
  <si>
    <t>REGN3 (VEGF)</t>
  </si>
  <si>
    <t>P571</t>
  </si>
  <si>
    <t>Eylea</t>
  </si>
  <si>
    <t>VEGF Trap</t>
  </si>
  <si>
    <t>Eylea (Aflibercept)</t>
  </si>
  <si>
    <t>VEGF (REGN3)</t>
  </si>
  <si>
    <t>P572</t>
  </si>
  <si>
    <t>Eylea HD 50ul</t>
  </si>
  <si>
    <t>VEGF HHD</t>
  </si>
  <si>
    <t>Eylea HD 50ul  (Aflibercept)</t>
  </si>
  <si>
    <t>P610</t>
  </si>
  <si>
    <t>Kevzara</t>
  </si>
  <si>
    <t>Sarilumab</t>
  </si>
  <si>
    <t>REGN88</t>
  </si>
  <si>
    <t>IL6R</t>
  </si>
  <si>
    <t>IL6R Antibody</t>
  </si>
  <si>
    <t>Kevzara (Sarilumab)</t>
  </si>
  <si>
    <t>IL-6R (REGN88)</t>
  </si>
  <si>
    <t>REGN88 (IL-6R)</t>
  </si>
  <si>
    <t>P620</t>
  </si>
  <si>
    <t>Dupixent</t>
  </si>
  <si>
    <t>Dupilumab</t>
  </si>
  <si>
    <t>REGN668</t>
  </si>
  <si>
    <t>IL4R</t>
  </si>
  <si>
    <t>IL4R Antibody</t>
  </si>
  <si>
    <t>Dupixent (Dupilumab)</t>
  </si>
  <si>
    <t>IL-4R (REGN668)</t>
  </si>
  <si>
    <t>REGN668 (IL-4R)</t>
  </si>
  <si>
    <t>P630</t>
  </si>
  <si>
    <t>Praluent</t>
  </si>
  <si>
    <t>Alirocumab</t>
  </si>
  <si>
    <t>REGN727</t>
  </si>
  <si>
    <t>PCSK9</t>
  </si>
  <si>
    <t>Pcsk9-727 Antibody</t>
  </si>
  <si>
    <t>Praluent (Alirocumab)</t>
  </si>
  <si>
    <t>REGN727 (PCSK9)</t>
  </si>
  <si>
    <t>BPX-601 (PSCA)</t>
  </si>
  <si>
    <t>P647</t>
  </si>
  <si>
    <t>Trevogrumab</t>
  </si>
  <si>
    <t>REGN1033</t>
  </si>
  <si>
    <t>GDF8</t>
  </si>
  <si>
    <t>GDF8 - Trevogrumab</t>
  </si>
  <si>
    <t>REGN1033 (GDF8)</t>
  </si>
  <si>
    <t>GDF8 (REGN1033)</t>
  </si>
  <si>
    <t>P660</t>
  </si>
  <si>
    <t>Garetosmab</t>
  </si>
  <si>
    <t>REGN2477</t>
  </si>
  <si>
    <t>Activin A</t>
  </si>
  <si>
    <t>Activin A (Garetosmab)</t>
  </si>
  <si>
    <t>REGN2477 (Activin A)</t>
  </si>
  <si>
    <t>P662</t>
  </si>
  <si>
    <t>Odronextamab</t>
  </si>
  <si>
    <t>REGN1979</t>
  </si>
  <si>
    <t>CD20xCD3</t>
  </si>
  <si>
    <t>CD20xCD3 (IgG4-stealth) Odronextamab</t>
  </si>
  <si>
    <t>REGN1979 (CD20xCD3)</t>
  </si>
  <si>
    <t>CD20xCD3 (REGN1979)</t>
  </si>
  <si>
    <t>P664</t>
  </si>
  <si>
    <t>Libtayo</t>
  </si>
  <si>
    <t>Cemiplimab</t>
  </si>
  <si>
    <t>REGN2810</t>
  </si>
  <si>
    <t>PD1</t>
  </si>
  <si>
    <t>PD1 Libtayo (Cemiplimab)</t>
  </si>
  <si>
    <t>REGN2810 (PD1)</t>
  </si>
  <si>
    <t>PD1 (REGN2810)</t>
  </si>
  <si>
    <t>P666</t>
  </si>
  <si>
    <t>Inmazeb</t>
  </si>
  <si>
    <t>REGN3470-3471-3479</t>
  </si>
  <si>
    <t>Ebola</t>
  </si>
  <si>
    <t>Ebola mAb</t>
  </si>
  <si>
    <t>Ebola (Inmazeb)</t>
  </si>
  <si>
    <t>EbolaxEbolaxEbola (REGN3470-3471-3479)</t>
  </si>
  <si>
    <t>P670</t>
  </si>
  <si>
    <t>Itepekimab</t>
  </si>
  <si>
    <t>REGN3500</t>
  </si>
  <si>
    <t>IL33</t>
  </si>
  <si>
    <t>IL33 (Itepekimab)</t>
  </si>
  <si>
    <t>REGN3500 (IL33)</t>
  </si>
  <si>
    <t>IL33 (REGN3500)</t>
  </si>
  <si>
    <t>P672</t>
  </si>
  <si>
    <t>Fianlimab</t>
  </si>
  <si>
    <t>REGN3767</t>
  </si>
  <si>
    <t>LAG3</t>
  </si>
  <si>
    <t>Lag3 (Fianlimab)</t>
  </si>
  <si>
    <t>REGN3767 (LAG3)</t>
  </si>
  <si>
    <t>LAG3 (89Zr-DFO-REGN3767)</t>
  </si>
  <si>
    <t>LAG3 (REGN3767)</t>
  </si>
  <si>
    <t>P680</t>
  </si>
  <si>
    <t>Mibavademab</t>
  </si>
  <si>
    <t>REGN4461</t>
  </si>
  <si>
    <t>LEPR</t>
  </si>
  <si>
    <t>LEPR (Mibavademab)</t>
  </si>
  <si>
    <t>REGN4461 (LEPR agonist)</t>
  </si>
  <si>
    <t>LEPR agonist (REGN4461)</t>
  </si>
  <si>
    <t>P686</t>
  </si>
  <si>
    <t>Linvoseltamab</t>
  </si>
  <si>
    <t>REGN5458</t>
  </si>
  <si>
    <t>BCMAxCD3</t>
  </si>
  <si>
    <t>BCMAxCD3 (Linvoseltamab)</t>
  </si>
  <si>
    <t>BCMAxCD3 (REGN5458)</t>
  </si>
  <si>
    <t>REGN5458 (BCMAxCD3)</t>
  </si>
  <si>
    <t>P692</t>
  </si>
  <si>
    <t>Vonsetamig</t>
  </si>
  <si>
    <t>REGN5459</t>
  </si>
  <si>
    <t>BCMAxCD3 (Vonsetamig)</t>
  </si>
  <si>
    <t>BCMAxCD3 Non-IO (REGN5459)</t>
  </si>
  <si>
    <t>BCMAxCD3 Non-IO</t>
  </si>
  <si>
    <t>REGN5459 (BCMAxCD3)</t>
  </si>
  <si>
    <t>P700</t>
  </si>
  <si>
    <t>Marlotamig</t>
  </si>
  <si>
    <t>REGN7075</t>
  </si>
  <si>
    <t>EGFRxCD28</t>
  </si>
  <si>
    <t>EGFRxCD28 (Marlotamig)</t>
  </si>
  <si>
    <t>REGN7075 (EGFRxCD28)</t>
  </si>
  <si>
    <t>EGFRxCD28 (REGN7075)</t>
  </si>
  <si>
    <t>P703</t>
  </si>
  <si>
    <t>Rapirosiran</t>
  </si>
  <si>
    <t>ALN-HSD</t>
  </si>
  <si>
    <t>HSD17B13 (Rapirosiran)</t>
  </si>
  <si>
    <t>ALN-HSD (HSD17B13)</t>
  </si>
  <si>
    <t>HSD17B13</t>
  </si>
  <si>
    <t>HSD17B13 (ALN-HSD)</t>
  </si>
  <si>
    <t>P790</t>
  </si>
  <si>
    <t>Cemdisiran</t>
  </si>
  <si>
    <t>ALN-CC5</t>
  </si>
  <si>
    <t>C5</t>
  </si>
  <si>
    <t>ALN-CC5 (C5)</t>
  </si>
  <si>
    <t>ALN-CC5-MG</t>
  </si>
  <si>
    <t>P793</t>
  </si>
  <si>
    <t>Cisplatin</t>
  </si>
  <si>
    <t>DB-020</t>
  </si>
  <si>
    <t>Otoferlin</t>
  </si>
  <si>
    <t>cisplatin (DB-020)</t>
  </si>
  <si>
    <t>P675</t>
  </si>
  <si>
    <t>REGN4018</t>
  </si>
  <si>
    <t>MUC16xCD3</t>
  </si>
  <si>
    <t>REGN4018 (MUC16xCD3)</t>
  </si>
  <si>
    <t>MUC16xCD3 (REGN4018)</t>
  </si>
  <si>
    <t>P682</t>
  </si>
  <si>
    <t>REGN5054</t>
  </si>
  <si>
    <t>CD8 iPET</t>
  </si>
  <si>
    <t>89Zr-DFO-REGN5054 (CD8)</t>
  </si>
  <si>
    <t>P690</t>
  </si>
  <si>
    <t>REGN5093</t>
  </si>
  <si>
    <t>METxMET</t>
  </si>
  <si>
    <t>REGN5093 (METxMET)</t>
  </si>
  <si>
    <t>METxMET (REGN5093)</t>
  </si>
  <si>
    <t>P693</t>
  </si>
  <si>
    <t>REGN5093-M114</t>
  </si>
  <si>
    <t>METxMET-M114</t>
  </si>
  <si>
    <t>REGN5093-M114 (METxMET)</t>
  </si>
  <si>
    <t>P694</t>
  </si>
  <si>
    <t>REGN5678</t>
  </si>
  <si>
    <t>PSMAxCD28</t>
  </si>
  <si>
    <t>REGN5678 (PSMAxCD28)</t>
  </si>
  <si>
    <t>PSMAxCD28 (REGN5678)</t>
  </si>
  <si>
    <t>P695</t>
  </si>
  <si>
    <t>REGN5837</t>
  </si>
  <si>
    <t>CD22xCD28</t>
  </si>
  <si>
    <t>REGN5837 (CD22xCD28)</t>
  </si>
  <si>
    <t>P696</t>
  </si>
  <si>
    <t>REGN5668</t>
  </si>
  <si>
    <t>MUC16xCD28</t>
  </si>
  <si>
    <t>REGN5668 (MUC16xCD28)</t>
  </si>
  <si>
    <t>P698</t>
  </si>
  <si>
    <t>REGN5381</t>
  </si>
  <si>
    <t>NPR1</t>
  </si>
  <si>
    <t>REGN5381 (NPR1)</t>
  </si>
  <si>
    <t>P702</t>
  </si>
  <si>
    <t>NTLA-2001</t>
  </si>
  <si>
    <t>TTR (Nexiguran ziclumeran / Nex-z)</t>
  </si>
  <si>
    <t>TTR (NTLA-2001)</t>
  </si>
  <si>
    <t>P704</t>
  </si>
  <si>
    <t>REGN4336</t>
  </si>
  <si>
    <t>PSMAxCD3</t>
  </si>
  <si>
    <t>REGN4336 (PSMAxCD3)</t>
  </si>
  <si>
    <t>PSMAxCD3 (REGN4336)</t>
  </si>
  <si>
    <t>P705</t>
  </si>
  <si>
    <t>REGN9933</t>
  </si>
  <si>
    <t>Factor 11</t>
  </si>
  <si>
    <t>Factor 11 A2 Domain</t>
  </si>
  <si>
    <t>Factor XI A2 Domain</t>
  </si>
  <si>
    <t>REGN9933 (Factor XI A2 Domain)</t>
  </si>
  <si>
    <t>P707</t>
  </si>
  <si>
    <t>REGN9035</t>
  </si>
  <si>
    <t>P711</t>
  </si>
  <si>
    <t>REGV131-LNP1265</t>
  </si>
  <si>
    <t>Factor 9</t>
  </si>
  <si>
    <t>NTLA-F9</t>
  </si>
  <si>
    <t>Factor 9 (R131L1265)</t>
  </si>
  <si>
    <t>Factor 9 (REGV131-LNP1265)</t>
  </si>
  <si>
    <t>REGV131-LNP1265 (Factor 9)</t>
  </si>
  <si>
    <t>P713</t>
  </si>
  <si>
    <t>REGN7945</t>
  </si>
  <si>
    <t>CD38xCD28</t>
  </si>
  <si>
    <t>REGN7945 (CD38xCD28)</t>
  </si>
  <si>
    <t>CD38xCD28 (REGN7945)</t>
  </si>
  <si>
    <t>P714</t>
  </si>
  <si>
    <t>ALN-APP</t>
  </si>
  <si>
    <t>APP</t>
  </si>
  <si>
    <t>APP (ALN-APP)</t>
  </si>
  <si>
    <t>P715</t>
  </si>
  <si>
    <t>REGN7508</t>
  </si>
  <si>
    <t>Factor 11 Catalytic Domain</t>
  </si>
  <si>
    <t>Factor XI Catalytic Domain</t>
  </si>
  <si>
    <t>REGN7508 (Factor XI Catalytic Domain)</t>
  </si>
  <si>
    <t>P716</t>
  </si>
  <si>
    <t>DB-OTO</t>
  </si>
  <si>
    <t>DB-OTO (Otoferlin)</t>
  </si>
  <si>
    <t>P717</t>
  </si>
  <si>
    <t>ALN-APOC3</t>
  </si>
  <si>
    <t>APOC3 siRNA</t>
  </si>
  <si>
    <t>APOC3 (ALN-APOC3)</t>
  </si>
  <si>
    <t>ALN-APOC3 (APOC3)</t>
  </si>
  <si>
    <t>P718</t>
  </si>
  <si>
    <t>REGN7999</t>
  </si>
  <si>
    <t>TMPRSS6</t>
  </si>
  <si>
    <t>REGN7999 (TMPRSS6)</t>
  </si>
  <si>
    <t>TMPRSS6 (REGN7999)</t>
  </si>
  <si>
    <t>P721</t>
  </si>
  <si>
    <t>ALN-PNP</t>
  </si>
  <si>
    <t>PNPLA3</t>
  </si>
  <si>
    <t>ALN-PNP (PNPLA3)</t>
  </si>
  <si>
    <t>P722</t>
  </si>
  <si>
    <t>REGN7544</t>
  </si>
  <si>
    <t>REGN7544 (NPR1)</t>
  </si>
  <si>
    <t>NPR1 (REGN7544)</t>
  </si>
  <si>
    <t>P725</t>
  </si>
  <si>
    <t>ALN-SOD</t>
  </si>
  <si>
    <t>SOD1</t>
  </si>
  <si>
    <t>ALN-SOD (SOD1)</t>
  </si>
  <si>
    <t>SOD1 (ALN-SOD)</t>
  </si>
  <si>
    <t>P727</t>
  </si>
  <si>
    <t>ALN-ANG3</t>
  </si>
  <si>
    <t>ANGPTL3</t>
  </si>
  <si>
    <t>ANGPTL3 siRNA</t>
  </si>
  <si>
    <t>ANGPTL3 (ALN-ANG3)</t>
  </si>
  <si>
    <t>ALN-ANG3 (ANGPTL3)</t>
  </si>
  <si>
    <t>P728</t>
  </si>
  <si>
    <t>REGN13335</t>
  </si>
  <si>
    <t>PDGF-B</t>
  </si>
  <si>
    <t>REGN13335 (PDGF-B)</t>
  </si>
  <si>
    <t>PDGF-B (REGN13335)</t>
  </si>
  <si>
    <t>P730</t>
  </si>
  <si>
    <t>REGN10597</t>
  </si>
  <si>
    <t>PD-1-IL2Ra-IL2</t>
  </si>
  <si>
    <t>REGN10597 (PD-1-IL2Ra-IL2)</t>
  </si>
  <si>
    <t>P733</t>
  </si>
  <si>
    <t>REGN9533</t>
  </si>
  <si>
    <t>Factor 12</t>
  </si>
  <si>
    <t>Factor 12 mAb</t>
  </si>
  <si>
    <t>REGN9533 (Factor XII)</t>
  </si>
  <si>
    <t>Factor XII (REGN9533)</t>
  </si>
  <si>
    <t>P734</t>
  </si>
  <si>
    <t>ALN-F1202</t>
  </si>
  <si>
    <t>Factor 12 siRNA</t>
  </si>
  <si>
    <t>ALN-F1202 (Factor XII)</t>
  </si>
  <si>
    <t>Factor XII</t>
  </si>
  <si>
    <t>P736</t>
  </si>
  <si>
    <t>CMP001</t>
  </si>
  <si>
    <t>CMP-001 (TLR9 agonist)</t>
  </si>
  <si>
    <t>TLR9 agonist (CMP-001)</t>
  </si>
  <si>
    <t>P737</t>
  </si>
  <si>
    <t>TSVT-MAGEA4</t>
  </si>
  <si>
    <t>BW9161 (MAGEA4)</t>
  </si>
  <si>
    <t>P741</t>
  </si>
  <si>
    <t>DB-GJB2</t>
  </si>
  <si>
    <t>GJB2</t>
  </si>
  <si>
    <t>GJB2 (REGV1221)</t>
  </si>
  <si>
    <t>REGV1221 (GJB2)</t>
  </si>
  <si>
    <t>P742</t>
  </si>
  <si>
    <t>ALN-CFB</t>
  </si>
  <si>
    <t>CFB</t>
  </si>
  <si>
    <t>CFB siRNA</t>
  </si>
  <si>
    <t>CFB (ALN-CFB)</t>
  </si>
  <si>
    <t>P743</t>
  </si>
  <si>
    <t>ALN-CIDEB</t>
  </si>
  <si>
    <t>CIDEB</t>
  </si>
  <si>
    <t>ALN-CIDEB (CIDEB)</t>
  </si>
  <si>
    <t>CIDEB (ALN-CIDEB)</t>
  </si>
  <si>
    <t>P744</t>
  </si>
  <si>
    <t>ALN-HTT</t>
  </si>
  <si>
    <t>HTT</t>
  </si>
  <si>
    <t>HTT (ALN-HTT02)</t>
  </si>
  <si>
    <t>ALN-HTT02</t>
  </si>
  <si>
    <t>P746</t>
  </si>
  <si>
    <t>ALN-SNCA</t>
  </si>
  <si>
    <t>SNCA</t>
  </si>
  <si>
    <t>SNCA (Alpha-Synuclein)</t>
  </si>
  <si>
    <t>ALN-SNCA (SNCA)</t>
  </si>
  <si>
    <t>SNCA (ALN-SNCA)</t>
  </si>
  <si>
    <t>P748</t>
  </si>
  <si>
    <t>REGN13089-M404-M2980</t>
  </si>
  <si>
    <t>METxMET-ProDXd</t>
  </si>
  <si>
    <t>REGN13089-M404-M2980 (METxMET)</t>
  </si>
  <si>
    <t>P749</t>
  </si>
  <si>
    <t>ALN-MAPT</t>
  </si>
  <si>
    <t>MAPT</t>
  </si>
  <si>
    <t>MAPT (Tau)</t>
  </si>
  <si>
    <t>MAPT (ALN-5288)</t>
  </si>
  <si>
    <t>ALN-5288</t>
  </si>
  <si>
    <t>P750</t>
  </si>
  <si>
    <t>REGN15505</t>
  </si>
  <si>
    <t>PSMAx4-1BB</t>
  </si>
  <si>
    <t>REGN15505 (PSMAx4-1BB)</t>
  </si>
  <si>
    <t>PSMAx4-1BB (REGN15505)</t>
  </si>
  <si>
    <t>P751</t>
  </si>
  <si>
    <t>REGN17372</t>
  </si>
  <si>
    <t>GPRC5DxCD28</t>
  </si>
  <si>
    <t>REGN17372 (GPRC5DxCD28)</t>
  </si>
  <si>
    <t>GPRC5DxCD28 (REGN17372)</t>
  </si>
  <si>
    <t>P752</t>
  </si>
  <si>
    <t>REGN7041</t>
  </si>
  <si>
    <t>CD3</t>
  </si>
  <si>
    <t>REGN7041 (CD3)</t>
  </si>
  <si>
    <t>CD3 (REGN7041)</t>
  </si>
  <si>
    <t>P753</t>
  </si>
  <si>
    <t>REGN9220</t>
  </si>
  <si>
    <t>CD22x4-1BB</t>
  </si>
  <si>
    <t>REGN9220 (CD22x4-1BB)</t>
  </si>
  <si>
    <t>CD22x4-1BB (REGN9220)</t>
  </si>
  <si>
    <t>P754</t>
  </si>
  <si>
    <t>BBT369</t>
  </si>
  <si>
    <t>bbT369-bb3221 (CD20xCD79a)</t>
  </si>
  <si>
    <t>CD20xCD79a</t>
  </si>
  <si>
    <t>P755</t>
  </si>
  <si>
    <t>DARIC33</t>
  </si>
  <si>
    <t>CD33</t>
  </si>
  <si>
    <t>SC-DARIC33 (CD33)</t>
  </si>
  <si>
    <t>P756</t>
  </si>
  <si>
    <t>REGN20934</t>
  </si>
  <si>
    <t>ActRIIa/b</t>
  </si>
  <si>
    <t>ACTRIIA/B (REGN20934)</t>
  </si>
  <si>
    <t>REGN20934 (ACTRIIA/B)</t>
  </si>
  <si>
    <t>P757</t>
  </si>
  <si>
    <t>REGN17235</t>
  </si>
  <si>
    <t>SLC3A2-APISxCD3</t>
  </si>
  <si>
    <t>SLC3A2 - APIS</t>
  </si>
  <si>
    <t>SLC3A2-APISxCD3 (REGN17235)</t>
  </si>
  <si>
    <t>REGN17235 (SLC3A2-APISxCD3)</t>
  </si>
  <si>
    <t>P759</t>
  </si>
  <si>
    <t>REGN7990-M6324</t>
  </si>
  <si>
    <t>GLP1R Agonist</t>
  </si>
  <si>
    <t>REGN7990-M6324 (GLP1R agonist)</t>
  </si>
  <si>
    <t>P761</t>
  </si>
  <si>
    <t>REGN20423</t>
  </si>
  <si>
    <t>IL13</t>
  </si>
  <si>
    <t>IL-13</t>
  </si>
  <si>
    <t>REGN20423 (IL-13)</t>
  </si>
  <si>
    <t>IL-13 (REGN20423)</t>
  </si>
  <si>
    <t>P762</t>
  </si>
  <si>
    <t>REGN9941</t>
  </si>
  <si>
    <t>CFB mAb</t>
  </si>
  <si>
    <t>CFB (REGN9941)</t>
  </si>
  <si>
    <t>R9941</t>
  </si>
  <si>
    <t>P763</t>
  </si>
  <si>
    <t>REGN21353</t>
  </si>
  <si>
    <t>STEAP1xCD3</t>
  </si>
  <si>
    <t>STEAP1xCD3 (REGN21353)</t>
  </si>
  <si>
    <t>REGN21353 (STEAP1xCD3)</t>
  </si>
  <si>
    <t>P764</t>
  </si>
  <si>
    <t>REGN7252</t>
  </si>
  <si>
    <t>HER2xCD28</t>
  </si>
  <si>
    <t>REGN7252 (HER2xCD28)</t>
  </si>
  <si>
    <t>HER2xCD28 (REGN7252)</t>
  </si>
  <si>
    <t>P766</t>
  </si>
  <si>
    <t>REGN22530</t>
  </si>
  <si>
    <t>ANGPTL7</t>
  </si>
  <si>
    <t>anti-ANGPTL7</t>
  </si>
  <si>
    <t>ANGPTL7 (REGN22530)</t>
  </si>
  <si>
    <t>REGN22530 (ANGPTL7)</t>
  </si>
  <si>
    <t>P767</t>
  </si>
  <si>
    <t>ALN-PRNP</t>
  </si>
  <si>
    <t>PRNP</t>
  </si>
  <si>
    <t>ALN-PRNP (ALN-6457)</t>
  </si>
  <si>
    <t>PRNP (Prion)</t>
  </si>
  <si>
    <t>PRNP (ALN-6457)</t>
  </si>
  <si>
    <t>ALN-6457 (PRNP)</t>
  </si>
  <si>
    <t>P769</t>
  </si>
  <si>
    <t>REGN22044</t>
  </si>
  <si>
    <t>IL12(p35)</t>
  </si>
  <si>
    <t>REGN22044 (IL12p35)</t>
  </si>
  <si>
    <t>IL12p35 (REGN22044)</t>
  </si>
  <si>
    <t>P770</t>
  </si>
  <si>
    <t>IL1RAcP</t>
  </si>
  <si>
    <t>IL1RAcP (REGN10057)</t>
  </si>
  <si>
    <t>P771</t>
  </si>
  <si>
    <t>REGN20566</t>
  </si>
  <si>
    <t>GIPR</t>
  </si>
  <si>
    <t>GIPR Antagonist Mono-Specific Ab (REGN20566)</t>
  </si>
  <si>
    <t>REGN20566 (GIPR)</t>
  </si>
  <si>
    <t>GIPR (REGN20566)</t>
  </si>
  <si>
    <t>P773</t>
  </si>
  <si>
    <t>REGN24493</t>
  </si>
  <si>
    <t>TSHR</t>
  </si>
  <si>
    <t>TSHR Antagonist Mono-specific Ab (Graves)</t>
  </si>
  <si>
    <t>TSHR (REGN24493)</t>
  </si>
  <si>
    <t>P775</t>
  </si>
  <si>
    <t>REGN15257</t>
  </si>
  <si>
    <t>IgE</t>
  </si>
  <si>
    <t>soluble IgE Antagonist Mono-specific Ab (REGN15257) - Food allergy - general</t>
  </si>
  <si>
    <t>soluble IgE (REGN15257)</t>
  </si>
  <si>
    <t>REGN15257 (soluble IgE)</t>
  </si>
  <si>
    <t>P776</t>
  </si>
  <si>
    <t>REGN20876</t>
  </si>
  <si>
    <t>CD40</t>
  </si>
  <si>
    <t>CD40 Antagonist mAb</t>
  </si>
  <si>
    <t>REGN20876 (CD40)</t>
  </si>
  <si>
    <t>CD40 (REGN20876)</t>
  </si>
  <si>
    <t>P778</t>
  </si>
  <si>
    <t>REGN13352</t>
  </si>
  <si>
    <t>cKIT</t>
  </si>
  <si>
    <t>REGN13352 (cKIT)</t>
  </si>
  <si>
    <t>cKIT (REGN13352)</t>
  </si>
  <si>
    <t>P779</t>
  </si>
  <si>
    <t>REGN23262</t>
  </si>
  <si>
    <t>IL4</t>
  </si>
  <si>
    <t>IL4 Antagonist Mono-specific Ab</t>
  </si>
  <si>
    <t>REGN23262 (IL-4)</t>
  </si>
  <si>
    <t>IL-4 (REGN23262)</t>
  </si>
  <si>
    <t>P780</t>
  </si>
  <si>
    <t>HS-20094</t>
  </si>
  <si>
    <t>Olatorepatide (Hansoh)</t>
  </si>
  <si>
    <t>HS-20094 (GLP1/GIP receptor agonist)</t>
  </si>
  <si>
    <t>GLP1/GIP receptor agonist (HS-20094)</t>
  </si>
  <si>
    <t>P781</t>
  </si>
  <si>
    <t>REGN18602</t>
  </si>
  <si>
    <t>CD4</t>
  </si>
  <si>
    <t>CD4 Cytotoxicity Mono-specific Ab</t>
  </si>
  <si>
    <t>REGN18602 (CD4)</t>
  </si>
  <si>
    <t>CD4 (REGN18602)</t>
  </si>
  <si>
    <t>P782</t>
  </si>
  <si>
    <t>REGN15618</t>
  </si>
  <si>
    <t>CD8A</t>
  </si>
  <si>
    <t xml:space="preserve">CD8A Cytotoxicity Mono-specific Ab </t>
  </si>
  <si>
    <t>REGN15618 (CD8)</t>
  </si>
  <si>
    <t>CD8 (REGN15618)</t>
  </si>
  <si>
    <t>P783</t>
  </si>
  <si>
    <t>PSCACART</t>
  </si>
  <si>
    <t>PSCA CAR-T (BPX-601)</t>
  </si>
  <si>
    <t>PSCA (BPX-601)</t>
  </si>
  <si>
    <t>BPX-601</t>
  </si>
  <si>
    <t>PSCA CAR-T</t>
  </si>
  <si>
    <t>P785</t>
  </si>
  <si>
    <t>REGN23415</t>
  </si>
  <si>
    <t>TSHR Antagonist Mono-specific Ab (REGN23415)</t>
  </si>
  <si>
    <t>TSHR (REGN23415)</t>
  </si>
  <si>
    <t>REGN23415 (TSHR)</t>
  </si>
  <si>
    <t>P787</t>
  </si>
  <si>
    <t>ALN-LRRK2</t>
  </si>
  <si>
    <t>LRRK2</t>
  </si>
  <si>
    <t>ALN-LRRK2 (ALN-1711)</t>
  </si>
  <si>
    <t>LRRK2 (ALN-1711)</t>
  </si>
  <si>
    <t>ALN-1711</t>
  </si>
  <si>
    <t>P788</t>
  </si>
  <si>
    <t>REGN16147</t>
  </si>
  <si>
    <t>CEACAM5xCD3</t>
  </si>
  <si>
    <t>CEACAM5xCD3 Ab</t>
  </si>
  <si>
    <t>REGN16147 (CEACAM5xCD3)</t>
  </si>
  <si>
    <t>CEACAM5xCD3 (REGN16147)</t>
  </si>
  <si>
    <t>P789</t>
  </si>
  <si>
    <t>REGN23149</t>
  </si>
  <si>
    <t xml:space="preserve">IL4R Antagonist mono-specific Ab NextGen </t>
  </si>
  <si>
    <t>REGN23149 (IL-4R)</t>
  </si>
  <si>
    <t>P791</t>
  </si>
  <si>
    <t>TSRA-196</t>
  </si>
  <si>
    <t>SERPINA1</t>
  </si>
  <si>
    <t>TSRA-196 (SERPINA1)</t>
  </si>
  <si>
    <t>SERPINA1 (TSRA-196)</t>
  </si>
  <si>
    <t>P792</t>
  </si>
  <si>
    <t>REGN20805</t>
  </si>
  <si>
    <t>PSMAxCD40</t>
  </si>
  <si>
    <t>PSMA x CD40 Cytotoxicity Bispecific Ab (REGN20805)</t>
  </si>
  <si>
    <t>REGN20805 (PSMAxCD40)</t>
  </si>
  <si>
    <t>P794</t>
  </si>
  <si>
    <t>REGN24559</t>
  </si>
  <si>
    <t>PD1xVEGFA</t>
  </si>
  <si>
    <t>PD1 x VEGFA Antagonist</t>
  </si>
  <si>
    <t>PD1xVEGF (REGN24559)</t>
  </si>
  <si>
    <t>REGN24559 (PD1xVEGF)</t>
  </si>
  <si>
    <t>P795</t>
  </si>
  <si>
    <t>REGN24607</t>
  </si>
  <si>
    <t>CD19xCD3</t>
  </si>
  <si>
    <t xml:space="preserve">CD19xCD3 Cytotoxicity Bispecific ab </t>
  </si>
  <si>
    <t>REGN24607 (CD19xCD3)</t>
  </si>
  <si>
    <t>P845</t>
  </si>
  <si>
    <t>ALN-APOE</t>
  </si>
  <si>
    <t>APOE</t>
  </si>
  <si>
    <t>APOE (ALN-8458)</t>
  </si>
  <si>
    <t>ALN-8458</t>
  </si>
  <si>
    <t>P652</t>
  </si>
  <si>
    <t>Evkeeza</t>
  </si>
  <si>
    <t>Evinacumab</t>
  </si>
  <si>
    <t>REGN1500</t>
  </si>
  <si>
    <t>Evkeeza ANGPTL3 (Evinacumab)</t>
  </si>
  <si>
    <t>P729</t>
  </si>
  <si>
    <t>ADI-002</t>
  </si>
  <si>
    <t>Adicet</t>
  </si>
  <si>
    <t>P758</t>
  </si>
  <si>
    <t>REGN17580-M404-M2980</t>
  </si>
  <si>
    <t>Anti-Kit-ProDXd</t>
  </si>
  <si>
    <t>P708</t>
  </si>
  <si>
    <t>REGN10933</t>
  </si>
  <si>
    <t>Anti-Spike</t>
  </si>
  <si>
    <t>P710</t>
  </si>
  <si>
    <t>REGN10934</t>
  </si>
  <si>
    <t>P706</t>
  </si>
  <si>
    <t>REGN10987</t>
  </si>
  <si>
    <t>P709</t>
  </si>
  <si>
    <t>REGN10989</t>
  </si>
  <si>
    <t>P719</t>
  </si>
  <si>
    <t>REGN14256</t>
  </si>
  <si>
    <t>Anti-Spike (Next-Gen)</t>
  </si>
  <si>
    <t>P731</t>
  </si>
  <si>
    <t>REGN14284</t>
  </si>
  <si>
    <t>P720</t>
  </si>
  <si>
    <t>REGN14315</t>
  </si>
  <si>
    <t>P723</t>
  </si>
  <si>
    <t>REGN15160</t>
  </si>
  <si>
    <t>P732</t>
  </si>
  <si>
    <t>REGN17090</t>
  </si>
  <si>
    <t>P740</t>
  </si>
  <si>
    <t>REGN17092</t>
  </si>
  <si>
    <t>P772</t>
  </si>
  <si>
    <t>NTLA-ASS1</t>
  </si>
  <si>
    <t>ASS1</t>
  </si>
  <si>
    <t>P687</t>
  </si>
  <si>
    <t>REGN5713</t>
  </si>
  <si>
    <t>Betv1</t>
  </si>
  <si>
    <t>P688</t>
  </si>
  <si>
    <t>REGN5714</t>
  </si>
  <si>
    <t>Betv1 (IOPS only)</t>
  </si>
  <si>
    <t>P689</t>
  </si>
  <si>
    <t>REGN5715</t>
  </si>
  <si>
    <t>P674</t>
  </si>
  <si>
    <t>Pozelimab</t>
  </si>
  <si>
    <t>REGN3918</t>
  </si>
  <si>
    <t>C5 (Pozelimab)</t>
  </si>
  <si>
    <t>REGN3918 (C5)</t>
  </si>
  <si>
    <t>674a</t>
  </si>
  <si>
    <t>REGN3918-ALN-CC5</t>
  </si>
  <si>
    <t>C5xC5</t>
  </si>
  <si>
    <t>C5 Ophthalmology (Systemic and IVT)</t>
  </si>
  <si>
    <t>REGN3918-ALN-CC5 (C5xC5)</t>
  </si>
  <si>
    <t>C5 (REGN3918) Ophthalmology</t>
  </si>
  <si>
    <t>P796</t>
  </si>
  <si>
    <t>DUX4</t>
  </si>
  <si>
    <t>CACNG1-DUX4 Gene Silencing siRNA</t>
  </si>
  <si>
    <t>REGN23376-REGSi101</t>
  </si>
  <si>
    <t>P747</t>
  </si>
  <si>
    <t>REGN16335</t>
  </si>
  <si>
    <t>CD40xCD40</t>
  </si>
  <si>
    <t>P681</t>
  </si>
  <si>
    <t>REGN4659</t>
  </si>
  <si>
    <t>CTLA4</t>
  </si>
  <si>
    <t>P667</t>
  </si>
  <si>
    <t>REGN3470</t>
  </si>
  <si>
    <t>Ebola (IOPS Only)</t>
  </si>
  <si>
    <t>P668</t>
  </si>
  <si>
    <t>REGN3471</t>
  </si>
  <si>
    <t>P669</t>
  </si>
  <si>
    <t>REGN3479</t>
  </si>
  <si>
    <t>P611</t>
  </si>
  <si>
    <t>Enoticumab</t>
  </si>
  <si>
    <t>Dll4</t>
  </si>
  <si>
    <t>Dll4 Antibody</t>
  </si>
  <si>
    <t>P712</t>
  </si>
  <si>
    <t>NTLA-F8</t>
  </si>
  <si>
    <t>Factor 8</t>
  </si>
  <si>
    <t>P653</t>
  </si>
  <si>
    <t>REGN1908</t>
  </si>
  <si>
    <t>FelD1</t>
  </si>
  <si>
    <t>P654</t>
  </si>
  <si>
    <t>REGN1909</t>
  </si>
  <si>
    <t>FelD1 (IOPS only)</t>
  </si>
  <si>
    <t>P739</t>
  </si>
  <si>
    <t>FGFR2</t>
  </si>
  <si>
    <t>FGFR2b-ProDXd</t>
  </si>
  <si>
    <t>P786</t>
  </si>
  <si>
    <t>REGN18388-M404-M2980</t>
  </si>
  <si>
    <t>FLT3</t>
  </si>
  <si>
    <t>FLT3-ProDXd Cytotoxicity ADC</t>
  </si>
  <si>
    <t>FLT3-ProDXd Cytotoxicity ADC (REGN18388-M404-M2980)</t>
  </si>
  <si>
    <t>P726</t>
  </si>
  <si>
    <t>NTLA-CD63GAA / R5534</t>
  </si>
  <si>
    <t>GAA:Anti-CD63</t>
  </si>
  <si>
    <t>P777</t>
  </si>
  <si>
    <t>REGN1033-M6695</t>
  </si>
  <si>
    <t>GDF8 - GLP1R/GIPR Agonist peptidomimetic ATL</t>
  </si>
  <si>
    <t>REGN1033-M6695 (GDF8xGLP1R agonist)</t>
  </si>
  <si>
    <t>P765</t>
  </si>
  <si>
    <t>REGN1033-M6562</t>
  </si>
  <si>
    <t>GDF8 Antagonist - GLP1R Antagonist</t>
  </si>
  <si>
    <t>REGN1033-M6687-M6695 (GDF8xGLP1R agonist)</t>
  </si>
  <si>
    <t>P685</t>
  </si>
  <si>
    <t>REGN5069</t>
  </si>
  <si>
    <t>GFRa3</t>
  </si>
  <si>
    <t>Px</t>
  </si>
  <si>
    <t>x</t>
  </si>
  <si>
    <t>REGN20564</t>
  </si>
  <si>
    <t>GIPR Antagonist Mono-Specific Ab</t>
  </si>
  <si>
    <t>GIPR Antagonist Mono-Specific Ab (REGN 20564)</t>
  </si>
  <si>
    <t>P697</t>
  </si>
  <si>
    <t>REGN6569</t>
  </si>
  <si>
    <t>GITR</t>
  </si>
  <si>
    <t>P691</t>
  </si>
  <si>
    <t>REGN5372</t>
  </si>
  <si>
    <t>GITR (R&amp;D Only)</t>
  </si>
  <si>
    <t>P735</t>
  </si>
  <si>
    <t>REGN15869-M3190</t>
  </si>
  <si>
    <t>GLP1R-ATL</t>
  </si>
  <si>
    <t>P768</t>
  </si>
  <si>
    <t>REGN7990-M6447</t>
  </si>
  <si>
    <t>GLP1R-ATL#3</t>
  </si>
  <si>
    <t>P201</t>
  </si>
  <si>
    <t>REGN1400-ARC</t>
  </si>
  <si>
    <t>HER3</t>
  </si>
  <si>
    <t>HER3 ARC</t>
  </si>
  <si>
    <t>P774</t>
  </si>
  <si>
    <t>SBT-77-7301</t>
  </si>
  <si>
    <t>HLA-DQ2.5/Gliadin Immune Modulating TCR (Treg)</t>
  </si>
  <si>
    <t>P760</t>
  </si>
  <si>
    <t>REGN18904</t>
  </si>
  <si>
    <t>P699</t>
  </si>
  <si>
    <t>REGN7257</t>
  </si>
  <si>
    <t>IL2Rg</t>
  </si>
  <si>
    <t>P701</t>
  </si>
  <si>
    <t>REGN6490</t>
  </si>
  <si>
    <t>IL36R</t>
  </si>
  <si>
    <t>P784</t>
  </si>
  <si>
    <t>REGN24451</t>
  </si>
  <si>
    <t>IgExCD3</t>
  </si>
  <si>
    <t>Membrane IgE x CD3 Bi-specific Ab (mlgEXCD3)</t>
  </si>
  <si>
    <t>P671</t>
  </si>
  <si>
    <t>REGN3048</t>
  </si>
  <si>
    <t>MERS</t>
  </si>
  <si>
    <t>P676</t>
  </si>
  <si>
    <t>REGN3051</t>
  </si>
  <si>
    <t>MERS - Drug Supply only</t>
  </si>
  <si>
    <t>P200</t>
  </si>
  <si>
    <t>METxMET ARC</t>
  </si>
  <si>
    <t>P573</t>
  </si>
  <si>
    <t>Mini VEGF Trap</t>
  </si>
  <si>
    <t>P724</t>
  </si>
  <si>
    <t>TSVT-MUC16</t>
  </si>
  <si>
    <t>MUC16 (CAR-T)</t>
  </si>
  <si>
    <t>P683</t>
  </si>
  <si>
    <t>REGN4019</t>
  </si>
  <si>
    <t>P612</t>
  </si>
  <si>
    <t>Fasinumab</t>
  </si>
  <si>
    <t>REGN475</t>
  </si>
  <si>
    <t>NGF</t>
  </si>
  <si>
    <t>NGF (Fasinumab)</t>
  </si>
  <si>
    <t>P673</t>
  </si>
  <si>
    <t>REGN3504</t>
  </si>
  <si>
    <t>PD-L1 iPET</t>
  </si>
  <si>
    <t>P745</t>
  </si>
  <si>
    <t>REGN6194</t>
  </si>
  <si>
    <t>PD-L1xCD28</t>
  </si>
  <si>
    <t>P738</t>
  </si>
  <si>
    <t>NTLA-TFRC-GAA</t>
  </si>
  <si>
    <t>TFRC,GAA</t>
  </si>
  <si>
    <t>P797</t>
  </si>
  <si>
    <t>REGN34214-ALN-SNCA</t>
  </si>
  <si>
    <t>TFRC-alpha-synuclein Gene Silencing siRNA</t>
  </si>
  <si>
    <t>Veopoz</t>
  </si>
  <si>
    <t>Atoltivimab-Maftivimab-Odesivimab</t>
  </si>
  <si>
    <t>Lynozyfic</t>
  </si>
  <si>
    <t>Otarmeni</t>
  </si>
  <si>
    <t>Lunsotogene Parvec-cwha</t>
  </si>
  <si>
    <t>Secondary</t>
  </si>
  <si>
    <t>H</t>
  </si>
  <si>
    <t>TLR9</t>
  </si>
  <si>
    <t>Olatorepatide</t>
  </si>
  <si>
    <t>CMP-001</t>
  </si>
  <si>
    <t>MAGEA4</t>
  </si>
  <si>
    <t>BBT-369</t>
  </si>
  <si>
    <t>ACTRIIA/B</t>
  </si>
  <si>
    <t>GLP1</t>
  </si>
  <si>
    <t>GLP1/GIP Receptor Agonist</t>
  </si>
  <si>
    <t>MUC16 CAR-T</t>
  </si>
  <si>
    <t>Market Name</t>
  </si>
  <si>
    <t>Scientific Name</t>
  </si>
  <si>
    <t>DB-020 (Cisplatin)</t>
  </si>
  <si>
    <t>GDF8 (Trevogrumab)</t>
  </si>
  <si>
    <t>C5 siRNA (Cemdisiran)</t>
  </si>
  <si>
    <t>ADI-002 (Adicet)</t>
  </si>
  <si>
    <t>REGN5093-ARC</t>
  </si>
  <si>
    <t>FelD1 (REGN1908)</t>
  </si>
  <si>
    <t>MERS (REGN3048)</t>
  </si>
  <si>
    <t>MUC16xCD28 (REGN5668)</t>
  </si>
  <si>
    <t>CTLA4 (REGN4659)</t>
  </si>
  <si>
    <t>CD8 iPET (REGN5054)</t>
  </si>
  <si>
    <t>MUC16xCD3 (REGN4019)</t>
  </si>
  <si>
    <t>GFRa3 (REGN5069)</t>
  </si>
  <si>
    <t>Betv1 (REGN5713)</t>
  </si>
  <si>
    <t>METxMET-M114 (REGN5093-M114)</t>
  </si>
  <si>
    <t>CD22xCD28 (REGN5837)</t>
  </si>
  <si>
    <t>GITR (REGN6569)</t>
  </si>
  <si>
    <t>NPR1 (REGN5381)</t>
  </si>
  <si>
    <t>IL2Rg (REGN7257)</t>
  </si>
  <si>
    <t>IL36R (REGN6490)</t>
  </si>
  <si>
    <t>NPR1 (REGN9035)</t>
  </si>
  <si>
    <t>Factor 8 (NTLA-F8)</t>
  </si>
  <si>
    <t>TTR</t>
  </si>
  <si>
    <t>Nexiguran ziclumeran / Nex-z</t>
  </si>
  <si>
    <t>APOC3 siRNA (ALN-APOC3)</t>
  </si>
  <si>
    <t>COVID Anti-Spike</t>
  </si>
  <si>
    <t>PNPLA3 (ALN-PNP)</t>
  </si>
  <si>
    <t>MUC16 CAR-T (TSVT-MUC16)</t>
  </si>
  <si>
    <t>COVID Anti-Spike (Next-Gen)</t>
  </si>
  <si>
    <t>ANGPTL3 (ALN-ANG)</t>
  </si>
  <si>
    <t>TLR9 (CMP-001)</t>
  </si>
  <si>
    <t>PD1-IL2Ra-IL2 (REGN10597)</t>
  </si>
  <si>
    <t>GLP1R-ATL (REGN15869-M3190)</t>
  </si>
  <si>
    <t>PD-L1xCD28 (REGN6194)</t>
  </si>
  <si>
    <t>CD40xCD40 (REGN16335)</t>
  </si>
  <si>
    <t>METxMET-ProDXd (REGN13089-M404-M2980)</t>
  </si>
  <si>
    <t>MAPT (ALN-MAPT)</t>
  </si>
  <si>
    <t>Factor 12 mAb (REGN9533)</t>
  </si>
  <si>
    <t>Factor 12 siRNA (ALN-F1202)</t>
  </si>
  <si>
    <t>CFB siRNA (ALN-CFB)</t>
  </si>
  <si>
    <t>FGFR2 (FGFR2b-ProDXd)</t>
  </si>
  <si>
    <t>TFRC-GAA (NTLA-TFRC-GAA</t>
  </si>
  <si>
    <t>TFRC-GAA</t>
  </si>
  <si>
    <t>GJB2 (REGV1221/DB-GJB2)</t>
  </si>
  <si>
    <t>IL13 (REGN18904)</t>
  </si>
  <si>
    <t>IL13 (REGN20423)</t>
  </si>
  <si>
    <t>GPRC5xCD28 (REGN17372)</t>
  </si>
  <si>
    <t>Anti-Kit-ProDXd (REGN17580-M404-M2980)</t>
  </si>
  <si>
    <t>GLP1R (REGN7990-M6324)</t>
  </si>
  <si>
    <t>GLP1R-ATL (REGN7990-M6447)</t>
  </si>
  <si>
    <t>CFB mAb (REGN9941)</t>
  </si>
  <si>
    <t>GDF8-GLP1R (REGN1033-M6562)</t>
  </si>
  <si>
    <t>GDF8-GLP1R/GIPR (REGN1033-M6695)</t>
  </si>
  <si>
    <t>ASS1 (NTLA-ASS1)</t>
  </si>
  <si>
    <t>IgE (REGN15257)</t>
  </si>
  <si>
    <t>IL4 (REGN23262)</t>
  </si>
  <si>
    <t>CD8A (REGN15618)</t>
  </si>
  <si>
    <t>IL12-p35 (REGN22044)</t>
  </si>
  <si>
    <t>Gluten/HLA-DQ2.5 TCR (SBT-77-7301)</t>
  </si>
  <si>
    <t>IgExCD3 (REGN24451)</t>
  </si>
  <si>
    <t>LRRK2 (ALN-LRRK2)</t>
  </si>
  <si>
    <t>PD1xVEGFA (REGN24559)</t>
  </si>
  <si>
    <t>FLT3-ProDXd (REGN183880-M404-M2980)</t>
  </si>
  <si>
    <t>GIPR (REGN20564)</t>
  </si>
  <si>
    <t>CACNG1-DUX4 (REGN3376-REGSi101)</t>
  </si>
  <si>
    <t>HER3 ARC (REGN1400-ARC)</t>
  </si>
  <si>
    <t>Inmazeb* (Ebola)</t>
  </si>
  <si>
    <t>Libtayo* (PD1)</t>
  </si>
  <si>
    <t>Dupixent* (IL4R)</t>
  </si>
  <si>
    <t>Evkeeza* (ANGPTL3)</t>
  </si>
  <si>
    <t>Lynozyfic* (BCMAxCD3)</t>
  </si>
  <si>
    <t>Arcalyst* (IL1 Trap)</t>
  </si>
  <si>
    <t>Kevzara* (IL6R)</t>
  </si>
  <si>
    <t>HSD siRNA (Rapirosiran)</t>
  </si>
  <si>
    <t>Collab</t>
  </si>
  <si>
    <t>REGN</t>
  </si>
  <si>
    <t>REGN (Decibel)</t>
  </si>
  <si>
    <t>Alnylam</t>
  </si>
  <si>
    <t>ADI ?</t>
  </si>
  <si>
    <t>no regn#</t>
  </si>
  <si>
    <t>Hansoh</t>
  </si>
  <si>
    <t>Trap</t>
  </si>
  <si>
    <t>Molecule Type</t>
  </si>
  <si>
    <t>ARC (Antibody-siRNA Conjugate)</t>
  </si>
  <si>
    <t>Intellia</t>
  </si>
  <si>
    <t>APP siRNA (ALN-APP)</t>
  </si>
  <si>
    <t>siRNA</t>
  </si>
  <si>
    <t>mAb (Monoclonal Antibody)</t>
  </si>
  <si>
    <t>Betv1 (REGN5714-IOPS)</t>
  </si>
  <si>
    <t>Betv1 (REGN5715-IOPS)</t>
  </si>
  <si>
    <t>CMP ?</t>
  </si>
  <si>
    <t>TSVT ?</t>
  </si>
  <si>
    <t>BBT ?</t>
  </si>
  <si>
    <t>Vaccine</t>
  </si>
  <si>
    <t>DARIC ?</t>
  </si>
  <si>
    <t>SBT ?</t>
  </si>
  <si>
    <t>BPX ?</t>
  </si>
  <si>
    <t>Tessera</t>
  </si>
  <si>
    <t>REGN-Alnylam</t>
  </si>
  <si>
    <t>Bispecific mAb</t>
  </si>
  <si>
    <t>APOE siRNA (ALN-8458)</t>
  </si>
  <si>
    <t>PRNP-Prion (ALN-6457)</t>
  </si>
  <si>
    <t>Triple mAb (Monoclonal Antibody)</t>
  </si>
  <si>
    <t>OTOF (Otoferlin)</t>
  </si>
  <si>
    <t>rAAV (Recombinant Adeno-Associated Virus)</t>
  </si>
  <si>
    <t>CAR-T Cell Therapy</t>
  </si>
  <si>
    <t>GITR (REGN5372-R&amp;D)</t>
  </si>
  <si>
    <t>Factor 11-A2 Domain (REGN9933)</t>
  </si>
  <si>
    <t>Factor 11-Catalytic Domain (REGN7508)</t>
  </si>
  <si>
    <t>GDF8xGLP1R</t>
  </si>
  <si>
    <t>TFRC</t>
  </si>
  <si>
    <t>GDF8xGLP1R/GIPR</t>
  </si>
  <si>
    <t>Gluten/HLA-DQ2.5 TCR</t>
  </si>
  <si>
    <t>Adicet???</t>
  </si>
  <si>
    <t>Eylea HD* (VEGF Trap)</t>
  </si>
  <si>
    <t>Eylea* (VEGF Trap)</t>
  </si>
  <si>
    <t>Eylea HD* 50ul (VEGF Trap)</t>
  </si>
  <si>
    <t>NGF-Pain (Fasinumab)</t>
  </si>
  <si>
    <t>Praluent* (PCSK9-727)</t>
  </si>
  <si>
    <t>MET ARC (REGN5093-ARC)</t>
  </si>
  <si>
    <t>MET</t>
  </si>
  <si>
    <t>Feld1-IOPS (REGN1909)</t>
  </si>
  <si>
    <t>Ebola-IOPS (REGN3470)</t>
  </si>
  <si>
    <t>Ebola-IOPS (REGN3471)</t>
  </si>
  <si>
    <t>Ebola-IOPS (REGN3479)</t>
  </si>
  <si>
    <t>MERS-Drug Supply (REGN3051)</t>
  </si>
  <si>
    <t>CDU</t>
  </si>
  <si>
    <t>Genetic Medicines</t>
  </si>
  <si>
    <t>Oncology</t>
  </si>
  <si>
    <t>Internal Medicine</t>
  </si>
  <si>
    <t>Hematology</t>
  </si>
  <si>
    <t>OTHER</t>
  </si>
  <si>
    <t>Veopoz (C5 mAb)</t>
  </si>
  <si>
    <t>Enoticumab (DII4)</t>
  </si>
  <si>
    <t>Odronextamab (CD20xCD3)</t>
  </si>
  <si>
    <t>PD-L1 iPET (REGN3508)</t>
  </si>
  <si>
    <t>Anti-Spike (REGN10933)</t>
  </si>
  <si>
    <t>Anti-Spike (REGN10989)</t>
  </si>
  <si>
    <t>Anti-Spike (REGN10934)</t>
  </si>
  <si>
    <t>Anti-Spike (REGN10987)</t>
  </si>
  <si>
    <t>Anti-Spike (Next-Gen) (REGN14256)</t>
  </si>
  <si>
    <t>Anti-Spike (Next-Gen) (REGN14315)</t>
  </si>
  <si>
    <t>NPR1 (Baloncibar)</t>
  </si>
  <si>
    <t>Anti-Spike (Next-Gen) (REGN15160)</t>
  </si>
  <si>
    <t>CD63:GAA (NTLA-CD63GAAxREGN5534)</t>
  </si>
  <si>
    <t>Anti-Spike (Next-Gen) (REGN14284)</t>
  </si>
  <si>
    <t>Anti-Spike (Next-Gen) (REGN17090)</t>
  </si>
  <si>
    <t>Anti-Spike (Next-Gen) (REGN17092)</t>
  </si>
  <si>
    <t>BBT-369 (CD20xCD79a)</t>
  </si>
  <si>
    <t>Program Assignments</t>
  </si>
  <si>
    <t>Molecules (A = Active , I = Inactive)</t>
  </si>
  <si>
    <t>Project Code</t>
  </si>
  <si>
    <t>Parent Number</t>
  </si>
  <si>
    <t>Program &amp; Molecule Name</t>
  </si>
  <si>
    <t>Lead CDU</t>
  </si>
  <si>
    <t>P202</t>
  </si>
  <si>
    <t>REGN35937</t>
  </si>
  <si>
    <t>IL13/IL4 Bispec</t>
  </si>
  <si>
    <t>P651</t>
  </si>
  <si>
    <t>P658</t>
  </si>
  <si>
    <t>N/A</t>
  </si>
  <si>
    <t>P684</t>
  </si>
  <si>
    <t>NPR1 Antagonist (Baloncibar)</t>
  </si>
  <si>
    <t>TLR9 Agonist</t>
  </si>
  <si>
    <t>GN3482</t>
  </si>
  <si>
    <t xml:space="preserve">P </t>
  </si>
  <si>
    <t xml:space="preserve"> </t>
  </si>
  <si>
    <t>PAn</t>
  </si>
  <si>
    <t>An</t>
  </si>
  <si>
    <t>Pc</t>
  </si>
  <si>
    <t>c</t>
  </si>
  <si>
    <t>CACNG1-DUX4 Gene Silencing siRNA (REGN23376-REGSi001)</t>
  </si>
  <si>
    <t>GIPR Mono-Specific (REGN20566)</t>
  </si>
  <si>
    <t>Olatorepatide (GLP1)</t>
  </si>
  <si>
    <t>IL4R Next-Gen (REGN23149)</t>
  </si>
  <si>
    <t>Tessera (TSRA-196)</t>
  </si>
  <si>
    <t>PSMAxCD40 Bi-Specific (REGN20805)</t>
  </si>
  <si>
    <t>CD19xCD3 Bi-Specific (REGN24607)</t>
  </si>
  <si>
    <t>TFRC (ALN-SNCAxREGN34214)</t>
  </si>
  <si>
    <t>C5 Opthalmology (REGN3918)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</si>
</sst>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name val="Aptos Narrow"/>
      <family val="2"/>
    </font>
    <font>
      <i/>
      <sz val="11"/>
      <name val="Aptos Narrow"/>
      <family val="2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4CC"/>
        <bgColor rgb="FF000000"/>
      </patternFill>
    </fill>
    <fill>
      <patternFill patternType="solid">
        <fgColor rgb="FF0F4DBC"/>
        <bgColor rgb="FF000000"/>
      </patternFill>
    </fill>
    <fill>
      <patternFill patternType="solid">
        <fgColor rgb="FFFFC4DB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0" fontId="13" fillId="34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17" fillId="3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3" fillId="34" borderId="10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wrapText="1"/>
    </xf>
    <xf numFmtId="0" fontId="27" fillId="0" borderId="0" xfId="0" applyFont="1" applyAlignment="1">
      <alignment vertical="center"/>
    </xf>
    <xf numFmtId="0" fontId="28" fillId="35" borderId="0" xfId="0" applyFont="1" applyFill="1" applyAlignment="1">
      <alignment horizontal="left" vertical="center"/>
    </xf>
    <xf numFmtId="0" fontId="28" fillId="35" borderId="0" xfId="0" applyFont="1" applyFill="1" applyAlignment="1">
      <alignment vertical="center"/>
    </xf>
    <xf numFmtId="0" fontId="29" fillId="36" borderId="11" xfId="0" applyFont="1" applyFill="1" applyBorder="1" applyAlignment="1">
      <alignment vertical="center"/>
    </xf>
    <xf numFmtId="0" fontId="29" fillId="36" borderId="10" xfId="0" applyFont="1" applyFill="1" applyBorder="1" applyAlignment="1">
      <alignment vertical="center"/>
    </xf>
    <xf numFmtId="0" fontId="30" fillId="37" borderId="13" xfId="0" applyFont="1" applyFill="1" applyBorder="1" applyAlignment="1">
      <alignment horizontal="left" vertical="center" wrapText="1"/>
    </xf>
    <xf numFmtId="0" fontId="30" fillId="37" borderId="12" xfId="0" applyFont="1" applyFill="1" applyBorder="1" applyAlignment="1">
      <alignment horizontal="left" vertical="center" wrapText="1"/>
    </xf>
    <xf numFmtId="0" fontId="31" fillId="0" borderId="12" xfId="0" applyFont="1" applyBorder="1" applyAlignment="1">
      <alignment vertical="center"/>
    </xf>
    <xf numFmtId="0" fontId="27" fillId="0" borderId="12" xfId="0" applyFont="1" applyBorder="1" applyAlignment="1">
      <alignment vertical="center"/>
    </xf>
    <xf numFmtId="0" fontId="27" fillId="0" borderId="12" xfId="0" applyFont="1" applyBorder="1" applyAlignment="1">
      <alignment horizontal="right" vertical="center"/>
    </xf>
    <xf numFmtId="0" fontId="31" fillId="0" borderId="14" xfId="0" applyFont="1" applyBorder="1" applyAlignment="1">
      <alignment vertical="center"/>
    </xf>
    <xf numFmtId="0" fontId="31" fillId="0" borderId="15" xfId="0" applyFont="1" applyBorder="1" applyAlignment="1">
      <alignment vertical="center"/>
    </xf>
    <xf numFmtId="0" fontId="27" fillId="0" borderId="15" xfId="0" applyFont="1" applyBorder="1" applyAlignment="1">
      <alignment vertical="center"/>
    </xf>
    <xf numFmtId="0" fontId="27" fillId="0" borderId="15" xfId="0" applyFont="1" applyBorder="1" applyAlignment="1">
      <alignment horizontal="right" vertical="center"/>
    </xf>
    <xf numFmtId="0" fontId="31" fillId="0" borderId="15" xfId="0" applyFont="1" applyBorder="1" applyAlignment="1">
      <alignment horizontal="right" vertical="center"/>
    </xf>
    <xf numFmtId="0" fontId="27" fillId="0" borderId="15" xfId="0" applyFont="1" applyBorder="1"/>
    <xf numFmtId="0" fontId="31" fillId="0" borderId="16" xfId="0" applyFont="1" applyBorder="1" applyAlignment="1">
      <alignment horizontal="right" vertical="center"/>
    </xf>
    <xf numFmtId="0" fontId="27" fillId="0" borderId="16" xfId="0" applyFont="1" applyBorder="1"/>
    <xf numFmtId="0" fontId="31" fillId="0" borderId="16" xfId="0" applyFont="1" applyBorder="1" applyAlignment="1">
      <alignment vertical="center"/>
    </xf>
    <xf numFmtId="0" fontId="31" fillId="38" borderId="16" xfId="0" applyFont="1" applyFill="1" applyBorder="1" applyAlignment="1">
      <alignment vertical="center"/>
    </xf>
    <xf numFmtId="0" fontId="31" fillId="0" borderId="17" xfId="0" applyFont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31" fillId="0" borderId="19" xfId="0" applyFont="1" applyBorder="1" applyAlignment="1">
      <alignment vertical="center"/>
    </xf>
    <xf numFmtId="0" fontId="31" fillId="38" borderId="15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7" fillId="0" borderId="20" xfId="0" applyFont="1" applyBorder="1" applyAlignment="1">
      <alignment vertical="center"/>
    </xf>
    <xf numFmtId="0" fontId="30" fillId="37" borderId="21" xfId="0" applyFont="1" applyFill="1" applyBorder="1" applyAlignment="1">
      <alignment horizontal="center" vertical="center"/>
    </xf>
    <xf numFmtId="0" fontId="30" fillId="37" borderId="12" xfId="0" applyFont="1" applyFill="1" applyBorder="1" applyAlignment="1">
      <alignment horizontal="center" vertical="center"/>
    </xf>
    <xf numFmtId="0" fontId="30" fillId="37" borderId="21" xfId="0" applyFont="1" applyFill="1" applyBorder="1" applyAlignment="1">
      <alignment horizontal="center" vertical="center" wrapText="1"/>
    </xf>
    <xf numFmtId="0" fontId="30" fillId="37" borderId="12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C5CECD5C-78CB-4E26-B0D8-FF24139C61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6D16-7848-419D-8442-C7F4B102E2A9}">
  <dimension ref="A1:W168"/>
  <sheetViews>
    <sheetView tabSelected="1" topLeftCell="C1" zoomScale="90" zoomScaleNormal="90" workbookViewId="0">
      <selection activeCell="C14" sqref="C14"/>
    </sheetView>
  </sheetViews>
  <sheetFormatPr defaultRowHeight="14.5" x14ac:dyDescent="0.35"/>
  <cols>
    <col min="1" max="1" width="17" bestFit="1" customWidth="1"/>
    <col min="2" max="2" width="21.54296875" style="13" bestFit="1" customWidth="1"/>
    <col min="3" max="3" width="36.54296875" style="7" bestFit="1" customWidth="1"/>
    <col min="4" max="4" width="14.90625" style="4" customWidth="1"/>
    <col min="5" max="5" width="12.90625" style="6" customWidth="1"/>
    <col min="6" max="6" width="17" style="4" customWidth="1"/>
    <col min="7" max="7" width="33.453125" customWidth="1"/>
    <col min="8" max="8" width="30.81640625" customWidth="1"/>
    <col min="9" max="9" width="18" customWidth="1"/>
    <col min="10" max="10" width="44.26953125" bestFit="1" customWidth="1"/>
    <col min="11" max="11" width="43.1796875" bestFit="1" customWidth="1"/>
    <col min="12" max="12" width="36.453125" customWidth="1"/>
    <col min="13" max="13" width="43.26953125" customWidth="1"/>
    <col min="14" max="14" width="37.1796875" customWidth="1"/>
    <col min="15" max="15" width="47" customWidth="1"/>
    <col min="16" max="16" width="28" customWidth="1"/>
    <col min="17" max="17" width="22.26953125" bestFit="1" customWidth="1"/>
    <col min="18" max="18" width="21.1796875" bestFit="1" customWidth="1"/>
    <col min="22" max="22" width="11.81640625" customWidth="1"/>
  </cols>
  <sheetData>
    <row r="1" spans="1:22" x14ac:dyDescent="0.35">
      <c r="C1"/>
    </row>
    <row r="2" spans="1:22" s="3" customFormat="1" ht="17.149999999999999" customHeight="1" x14ac:dyDescent="0.35">
      <c r="A2" s="1" t="s">
        <v>0</v>
      </c>
      <c r="B2" s="14" t="s">
        <v>1</v>
      </c>
      <c r="C2" s="12" t="s">
        <v>2</v>
      </c>
      <c r="D2" s="1" t="s">
        <v>697</v>
      </c>
      <c r="E2" s="1" t="s">
        <v>708</v>
      </c>
      <c r="F2" s="1" t="s">
        <v>709</v>
      </c>
      <c r="G2" s="1" t="s">
        <v>835</v>
      </c>
      <c r="H2" s="1" t="s">
        <v>3</v>
      </c>
      <c r="I2" s="1" t="s">
        <v>4</v>
      </c>
      <c r="J2" s="1" t="s">
        <v>5</v>
      </c>
      <c r="K2" s="1" t="s">
        <v>791</v>
      </c>
      <c r="L2" s="1" t="s">
        <v>783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698</v>
      </c>
    </row>
    <row r="3" spans="1:22" s="5" customFormat="1" x14ac:dyDescent="0.35">
      <c r="A3" t="s">
        <v>666</v>
      </c>
      <c r="B3" s="13">
        <v>200</v>
      </c>
      <c r="C3" s="7" t="s">
        <v>828</v>
      </c>
      <c r="E3" s="6"/>
      <c r="F3" s="4"/>
      <c r="G3" t="s">
        <v>837</v>
      </c>
      <c r="H3" s="18" t="s">
        <v>714</v>
      </c>
      <c r="I3" t="s">
        <v>829</v>
      </c>
      <c r="J3" t="s">
        <v>667</v>
      </c>
      <c r="K3" t="s">
        <v>792</v>
      </c>
      <c r="L3" s="7" t="s">
        <v>784</v>
      </c>
      <c r="M3" s="18" t="s">
        <v>714</v>
      </c>
      <c r="N3" t="s">
        <v>667</v>
      </c>
      <c r="O3"/>
      <c r="P3"/>
      <c r="Q3"/>
      <c r="R3"/>
      <c r="S3" s="7"/>
      <c r="T3" s="7"/>
      <c r="U3" s="7" t="str" cm="1">
        <f t="array" ref="U3:U39">_xlfn.UNIQUE(I3:I51)</f>
        <v>MET</v>
      </c>
      <c r="V3" s="7" t="str" cm="1">
        <f t="array" ref="V3:V15">_xlfn.UNIQUE(J3:J51)</f>
        <v>METxMET ARC</v>
      </c>
    </row>
    <row r="4" spans="1:22" s="5" customFormat="1" ht="16" customHeight="1" x14ac:dyDescent="0.35">
      <c r="A4" t="s">
        <v>641</v>
      </c>
      <c r="B4" s="13">
        <v>201</v>
      </c>
      <c r="C4" s="7" t="s">
        <v>774</v>
      </c>
      <c r="E4" s="6"/>
      <c r="F4" s="4"/>
      <c r="G4" t="s">
        <v>837</v>
      </c>
      <c r="H4" t="s">
        <v>642</v>
      </c>
      <c r="I4" t="s">
        <v>643</v>
      </c>
      <c r="J4" t="s">
        <v>644</v>
      </c>
      <c r="K4" t="s">
        <v>792</v>
      </c>
      <c r="L4" s="7" t="s">
        <v>784</v>
      </c>
      <c r="M4" t="s">
        <v>642</v>
      </c>
      <c r="N4" t="s">
        <v>644</v>
      </c>
      <c r="O4"/>
      <c r="P4"/>
      <c r="Q4"/>
      <c r="R4"/>
      <c r="S4" s="7"/>
      <c r="T4" s="7"/>
      <c r="U4" s="7" t="str">
        <v>HER3</v>
      </c>
      <c r="V4" s="7" t="str">
        <v>HER3 ARC</v>
      </c>
    </row>
    <row r="5" spans="1:22" s="5" customFormat="1" x14ac:dyDescent="0.35">
      <c r="A5" s="7" t="s">
        <v>11</v>
      </c>
      <c r="B5" s="15">
        <v>450</v>
      </c>
      <c r="C5" s="7" t="s">
        <v>780</v>
      </c>
      <c r="E5" s="6" t="s">
        <v>12</v>
      </c>
      <c r="F5" s="8" t="s">
        <v>13</v>
      </c>
      <c r="G5" s="7" t="s">
        <v>838</v>
      </c>
      <c r="H5" s="7" t="s">
        <v>14</v>
      </c>
      <c r="I5" s="7" t="s">
        <v>15</v>
      </c>
      <c r="J5" s="7"/>
      <c r="K5" s="7" t="s">
        <v>790</v>
      </c>
      <c r="L5" s="7" t="s">
        <v>784</v>
      </c>
      <c r="M5" s="7" t="s">
        <v>16</v>
      </c>
      <c r="N5" s="7" t="s">
        <v>17</v>
      </c>
      <c r="O5" s="7" t="s">
        <v>18</v>
      </c>
      <c r="P5" s="7"/>
      <c r="Q5" s="7"/>
      <c r="R5" s="7"/>
      <c r="S5" s="7"/>
      <c r="T5" s="7"/>
      <c r="U5" s="7" t="str">
        <v>IL1 Trap</v>
      </c>
      <c r="V5" s="5">
        <v>0</v>
      </c>
    </row>
    <row r="6" spans="1:22" s="5" customFormat="1" x14ac:dyDescent="0.35">
      <c r="A6" s="7" t="s">
        <v>19</v>
      </c>
      <c r="B6" s="15">
        <v>570</v>
      </c>
      <c r="C6" s="7" t="s">
        <v>823</v>
      </c>
      <c r="E6" s="6" t="s">
        <v>20</v>
      </c>
      <c r="F6" s="8" t="s">
        <v>21</v>
      </c>
      <c r="G6" s="7" t="s">
        <v>838</v>
      </c>
      <c r="H6" s="11" t="s">
        <v>22</v>
      </c>
      <c r="I6" s="11" t="s">
        <v>23</v>
      </c>
      <c r="J6" s="11" t="s">
        <v>24</v>
      </c>
      <c r="K6" s="11" t="s">
        <v>796</v>
      </c>
      <c r="L6" s="11" t="s">
        <v>784</v>
      </c>
      <c r="M6" s="7" t="s">
        <v>25</v>
      </c>
      <c r="N6" s="7" t="s">
        <v>26</v>
      </c>
      <c r="O6" s="11" t="s">
        <v>27</v>
      </c>
      <c r="P6" s="7"/>
      <c r="Q6" s="7"/>
      <c r="R6" s="7"/>
      <c r="S6" s="7"/>
      <c r="T6" s="7"/>
      <c r="U6" s="7" t="str">
        <v>VEGF</v>
      </c>
      <c r="V6" s="5" t="str">
        <v>VEGF Trap HD</v>
      </c>
    </row>
    <row r="7" spans="1:22" s="5" customFormat="1" x14ac:dyDescent="0.35">
      <c r="A7" s="7" t="s">
        <v>28</v>
      </c>
      <c r="B7" s="15">
        <v>571</v>
      </c>
      <c r="C7" s="7" t="s">
        <v>824</v>
      </c>
      <c r="E7" s="6" t="s">
        <v>29</v>
      </c>
      <c r="F7" s="8" t="s">
        <v>21</v>
      </c>
      <c r="G7" s="7" t="s">
        <v>838</v>
      </c>
      <c r="H7" s="11" t="s">
        <v>22</v>
      </c>
      <c r="I7" s="11" t="s">
        <v>23</v>
      </c>
      <c r="J7" s="11" t="s">
        <v>30</v>
      </c>
      <c r="K7" s="11" t="s">
        <v>796</v>
      </c>
      <c r="L7" s="11" t="s">
        <v>784</v>
      </c>
      <c r="M7" s="7" t="s">
        <v>31</v>
      </c>
      <c r="N7" s="7" t="s">
        <v>32</v>
      </c>
      <c r="O7" s="11" t="s">
        <v>27</v>
      </c>
      <c r="P7" s="7"/>
      <c r="Q7" s="7"/>
      <c r="R7" s="7"/>
      <c r="S7" s="7"/>
      <c r="T7" s="7"/>
      <c r="U7" s="5" t="str">
        <v>Mini VEGF Trap</v>
      </c>
      <c r="V7" s="5" t="str">
        <v>VEGF Trap</v>
      </c>
    </row>
    <row r="8" spans="1:22" s="5" customFormat="1" x14ac:dyDescent="0.35">
      <c r="A8" s="7" t="s">
        <v>33</v>
      </c>
      <c r="B8" s="15">
        <v>572</v>
      </c>
      <c r="C8" s="7" t="s">
        <v>825</v>
      </c>
      <c r="E8" s="6" t="s">
        <v>34</v>
      </c>
      <c r="F8" s="8" t="s">
        <v>21</v>
      </c>
      <c r="G8" s="7" t="s">
        <v>838</v>
      </c>
      <c r="H8" s="11" t="s">
        <v>22</v>
      </c>
      <c r="I8" s="11" t="s">
        <v>23</v>
      </c>
      <c r="J8" s="11" t="s">
        <v>35</v>
      </c>
      <c r="K8" s="11" t="s">
        <v>796</v>
      </c>
      <c r="L8" s="11" t="s">
        <v>784</v>
      </c>
      <c r="M8" s="7" t="s">
        <v>36</v>
      </c>
      <c r="N8" s="11" t="s">
        <v>27</v>
      </c>
      <c r="O8" s="7"/>
      <c r="P8" s="7"/>
      <c r="Q8" s="7"/>
      <c r="R8" s="7"/>
      <c r="S8" s="7"/>
      <c r="T8" s="7"/>
      <c r="U8" s="7" t="str">
        <v>IL6R</v>
      </c>
      <c r="V8" s="5" t="str">
        <v>VEGF HHD</v>
      </c>
    </row>
    <row r="9" spans="1:22" s="5" customFormat="1" x14ac:dyDescent="0.35">
      <c r="A9" t="s">
        <v>668</v>
      </c>
      <c r="B9" s="13">
        <v>573</v>
      </c>
      <c r="C9" s="7" t="s">
        <v>669</v>
      </c>
      <c r="E9" s="6"/>
      <c r="F9" s="4"/>
      <c r="G9" s="7" t="s">
        <v>838</v>
      </c>
      <c r="H9" t="s">
        <v>669</v>
      </c>
      <c r="I9" t="s">
        <v>669</v>
      </c>
      <c r="J9"/>
      <c r="K9" t="s">
        <v>790</v>
      </c>
      <c r="L9" s="7" t="s">
        <v>784</v>
      </c>
      <c r="M9" t="s">
        <v>669</v>
      </c>
      <c r="N9" t="s">
        <v>669</v>
      </c>
      <c r="O9"/>
      <c r="P9"/>
      <c r="Q9"/>
      <c r="R9"/>
      <c r="S9" s="7"/>
      <c r="T9" s="7"/>
      <c r="U9" s="7" t="str">
        <v>Dll4</v>
      </c>
      <c r="V9" s="5" t="str">
        <v>Dll4 Antibody</v>
      </c>
    </row>
    <row r="10" spans="1:22" s="5" customFormat="1" x14ac:dyDescent="0.35">
      <c r="A10" s="7" t="s">
        <v>37</v>
      </c>
      <c r="B10" s="15">
        <v>610</v>
      </c>
      <c r="C10" s="7" t="s">
        <v>781</v>
      </c>
      <c r="D10" s="4"/>
      <c r="E10" s="6" t="s">
        <v>38</v>
      </c>
      <c r="F10" s="8" t="s">
        <v>39</v>
      </c>
      <c r="G10" s="7" t="s">
        <v>838</v>
      </c>
      <c r="H10" s="7" t="s">
        <v>40</v>
      </c>
      <c r="I10" s="7" t="s">
        <v>41</v>
      </c>
      <c r="J10" s="7"/>
      <c r="K10" s="7" t="s">
        <v>796</v>
      </c>
      <c r="L10" s="7" t="s">
        <v>784</v>
      </c>
      <c r="M10" s="7" t="s">
        <v>42</v>
      </c>
      <c r="N10" s="7" t="s">
        <v>43</v>
      </c>
      <c r="O10" s="7" t="s">
        <v>44</v>
      </c>
      <c r="P10" s="7" t="s">
        <v>45</v>
      </c>
      <c r="Q10" s="7"/>
      <c r="R10" s="7"/>
      <c r="S10" s="7"/>
      <c r="T10" s="7"/>
      <c r="U10" s="7" t="str">
        <v>NGF</v>
      </c>
      <c r="V10" s="7" t="str">
        <v>FelD1 (IOPS only)</v>
      </c>
    </row>
    <row r="11" spans="1:22" x14ac:dyDescent="0.35">
      <c r="A11" t="s">
        <v>589</v>
      </c>
      <c r="B11" s="13">
        <v>611</v>
      </c>
      <c r="C11" s="7" t="s">
        <v>842</v>
      </c>
      <c r="F11" s="4" t="s">
        <v>590</v>
      </c>
      <c r="G11" s="7" t="s">
        <v>839</v>
      </c>
      <c r="I11" t="s">
        <v>591</v>
      </c>
      <c r="J11" t="s">
        <v>592</v>
      </c>
      <c r="K11" s="7" t="s">
        <v>796</v>
      </c>
      <c r="L11" s="7" t="s">
        <v>788</v>
      </c>
      <c r="M11" t="s">
        <v>592</v>
      </c>
      <c r="N11" t="s">
        <v>590</v>
      </c>
      <c r="S11" s="7"/>
      <c r="T11" s="7"/>
      <c r="U11" t="str">
        <v>IL4R</v>
      </c>
      <c r="V11" t="str">
        <v>Ebola mAb</v>
      </c>
    </row>
    <row r="12" spans="1:22" x14ac:dyDescent="0.35">
      <c r="A12" t="s">
        <v>675</v>
      </c>
      <c r="B12" s="13">
        <v>612</v>
      </c>
      <c r="C12" s="7" t="s">
        <v>826</v>
      </c>
      <c r="F12" s="4" t="s">
        <v>676</v>
      </c>
      <c r="G12" s="7" t="s">
        <v>838</v>
      </c>
      <c r="H12" t="s">
        <v>677</v>
      </c>
      <c r="I12" t="s">
        <v>678</v>
      </c>
      <c r="K12" t="s">
        <v>796</v>
      </c>
      <c r="L12" s="7" t="s">
        <v>784</v>
      </c>
      <c r="M12" t="s">
        <v>677</v>
      </c>
      <c r="N12" t="s">
        <v>679</v>
      </c>
      <c r="S12" s="7"/>
      <c r="T12" s="7"/>
      <c r="U12" s="7" t="str">
        <v>PCSK9</v>
      </c>
      <c r="V12" t="str">
        <v>Ebola (IOPS Only)</v>
      </c>
    </row>
    <row r="13" spans="1:22" x14ac:dyDescent="0.35">
      <c r="A13" s="7" t="s">
        <v>46</v>
      </c>
      <c r="B13" s="15">
        <v>620</v>
      </c>
      <c r="C13" s="7" t="s">
        <v>777</v>
      </c>
      <c r="E13" s="6" t="s">
        <v>47</v>
      </c>
      <c r="F13" s="8" t="s">
        <v>48</v>
      </c>
      <c r="G13" s="7" t="s">
        <v>838</v>
      </c>
      <c r="H13" s="7" t="s">
        <v>49</v>
      </c>
      <c r="I13" s="7" t="s">
        <v>50</v>
      </c>
      <c r="J13" s="7"/>
      <c r="K13" s="7" t="s">
        <v>796</v>
      </c>
      <c r="L13" s="11" t="s">
        <v>784</v>
      </c>
      <c r="M13" s="7" t="s">
        <v>51</v>
      </c>
      <c r="N13" s="7" t="s">
        <v>52</v>
      </c>
      <c r="O13" s="7" t="s">
        <v>53</v>
      </c>
      <c r="P13" s="7" t="s">
        <v>54</v>
      </c>
      <c r="Q13" s="7"/>
      <c r="R13" s="7"/>
      <c r="S13" s="7"/>
      <c r="T13" s="7"/>
      <c r="U13" s="7" t="str">
        <v>GDF8</v>
      </c>
      <c r="V13" s="7" t="str">
        <v>MERS - Drug Supply only</v>
      </c>
    </row>
    <row r="14" spans="1:22" x14ac:dyDescent="0.35">
      <c r="A14" s="7" t="s">
        <v>55</v>
      </c>
      <c r="B14" s="15">
        <v>630</v>
      </c>
      <c r="C14" s="7" t="s">
        <v>827</v>
      </c>
      <c r="E14" s="6" t="s">
        <v>56</v>
      </c>
      <c r="F14" s="8" t="s">
        <v>57</v>
      </c>
      <c r="G14" s="7" t="s">
        <v>838</v>
      </c>
      <c r="H14" s="7" t="s">
        <v>58</v>
      </c>
      <c r="I14" s="7" t="s">
        <v>59</v>
      </c>
      <c r="J14" s="7"/>
      <c r="K14" s="7" t="s">
        <v>796</v>
      </c>
      <c r="L14" s="11" t="s">
        <v>784</v>
      </c>
      <c r="M14" s="7" t="s">
        <v>60</v>
      </c>
      <c r="N14" s="7" t="s">
        <v>61</v>
      </c>
      <c r="O14" s="7" t="s">
        <v>62</v>
      </c>
      <c r="P14" s="7" t="s">
        <v>63</v>
      </c>
      <c r="Q14" s="7"/>
      <c r="R14" s="7"/>
      <c r="S14" s="7"/>
      <c r="T14" s="7"/>
      <c r="U14" s="7" t="str">
        <v>ANGPTL3</v>
      </c>
      <c r="V14" t="str">
        <v>Betv1 (IOPS only)</v>
      </c>
    </row>
    <row r="15" spans="1:22" x14ac:dyDescent="0.35">
      <c r="A15" t="s">
        <v>64</v>
      </c>
      <c r="B15" s="13">
        <v>647</v>
      </c>
      <c r="C15" s="8" t="s">
        <v>711</v>
      </c>
      <c r="F15" s="8" t="s">
        <v>65</v>
      </c>
      <c r="G15" s="7" t="s">
        <v>838</v>
      </c>
      <c r="H15" s="7" t="s">
        <v>66</v>
      </c>
      <c r="I15" s="7" t="s">
        <v>67</v>
      </c>
      <c r="J15" s="7"/>
      <c r="K15" s="7" t="s">
        <v>796</v>
      </c>
      <c r="L15" s="7" t="s">
        <v>784</v>
      </c>
      <c r="M15" s="7" t="s">
        <v>68</v>
      </c>
      <c r="N15" s="7" t="s">
        <v>69</v>
      </c>
      <c r="O15" s="7" t="s">
        <v>70</v>
      </c>
      <c r="P15" s="7"/>
      <c r="Q15" s="7"/>
      <c r="R15" s="7"/>
      <c r="S15" s="7"/>
      <c r="T15" s="7"/>
      <c r="U15" s="7" t="str">
        <v>FelD1</v>
      </c>
      <c r="V15" t="str">
        <v>GITR (R&amp;D Only)</v>
      </c>
    </row>
    <row r="16" spans="1:22" s="5" customFormat="1" x14ac:dyDescent="0.35">
      <c r="A16" s="7" t="s">
        <v>517</v>
      </c>
      <c r="B16" s="15">
        <v>652</v>
      </c>
      <c r="C16" s="7" t="s">
        <v>778</v>
      </c>
      <c r="E16" s="6" t="s">
        <v>518</v>
      </c>
      <c r="F16" s="8" t="s">
        <v>519</v>
      </c>
      <c r="G16" s="7" t="s">
        <v>838</v>
      </c>
      <c r="H16" s="7" t="s">
        <v>520</v>
      </c>
      <c r="I16" s="7" t="s">
        <v>261</v>
      </c>
      <c r="J16" s="7"/>
      <c r="K16" s="7" t="s">
        <v>796</v>
      </c>
      <c r="L16" s="11" t="s">
        <v>784</v>
      </c>
      <c r="M16" s="7" t="s">
        <v>521</v>
      </c>
      <c r="N16" s="7"/>
      <c r="O16" s="7"/>
      <c r="P16" s="7"/>
      <c r="Q16" s="7"/>
      <c r="R16" s="7"/>
      <c r="T16" s="7"/>
      <c r="U16" s="7" t="str">
        <v>Activin A</v>
      </c>
      <c r="V16" s="7"/>
    </row>
    <row r="17" spans="1:22" s="5" customFormat="1" x14ac:dyDescent="0.35">
      <c r="A17" t="s">
        <v>596</v>
      </c>
      <c r="B17" s="13">
        <v>653</v>
      </c>
      <c r="C17" s="7" t="s">
        <v>715</v>
      </c>
      <c r="E17" s="6"/>
      <c r="F17" s="4"/>
      <c r="G17" s="7" t="s">
        <v>838</v>
      </c>
      <c r="H17" t="s">
        <v>597</v>
      </c>
      <c r="I17" t="s">
        <v>598</v>
      </c>
      <c r="J17"/>
      <c r="K17"/>
      <c r="L17" s="7" t="s">
        <v>784</v>
      </c>
      <c r="M17" t="s">
        <v>597</v>
      </c>
      <c r="N17" t="s">
        <v>598</v>
      </c>
      <c r="O17"/>
      <c r="P17"/>
      <c r="Q17"/>
      <c r="R17"/>
      <c r="S17" s="7"/>
      <c r="T17" s="7"/>
      <c r="U17" s="7" t="str">
        <v>CD20xCD3</v>
      </c>
    </row>
    <row r="18" spans="1:22" s="5" customFormat="1" x14ac:dyDescent="0.35">
      <c r="A18" t="s">
        <v>599</v>
      </c>
      <c r="B18" s="13">
        <v>654</v>
      </c>
      <c r="C18" s="7" t="s">
        <v>830</v>
      </c>
      <c r="E18" s="6"/>
      <c r="F18" s="4"/>
      <c r="G18" s="7" t="s">
        <v>838</v>
      </c>
      <c r="H18" t="s">
        <v>600</v>
      </c>
      <c r="I18" t="s">
        <v>598</v>
      </c>
      <c r="J18" t="s">
        <v>601</v>
      </c>
      <c r="K18"/>
      <c r="L18" s="7" t="s">
        <v>784</v>
      </c>
      <c r="M18" t="s">
        <v>600</v>
      </c>
      <c r="N18" t="s">
        <v>601</v>
      </c>
      <c r="O18"/>
      <c r="P18"/>
      <c r="Q18"/>
      <c r="R18"/>
      <c r="S18" s="7"/>
      <c r="T18" s="7"/>
      <c r="U18" s="7" t="str">
        <v>PD1</v>
      </c>
    </row>
    <row r="19" spans="1:22" x14ac:dyDescent="0.35">
      <c r="A19" t="s">
        <v>71</v>
      </c>
      <c r="B19" s="13">
        <v>660</v>
      </c>
      <c r="C19" s="7" t="s">
        <v>75</v>
      </c>
      <c r="F19" s="4" t="s">
        <v>72</v>
      </c>
      <c r="G19" s="7" t="s">
        <v>838</v>
      </c>
      <c r="H19" t="s">
        <v>73</v>
      </c>
      <c r="I19" t="s">
        <v>74</v>
      </c>
      <c r="K19" t="s">
        <v>796</v>
      </c>
      <c r="L19" s="7" t="s">
        <v>784</v>
      </c>
      <c r="M19" t="s">
        <v>75</v>
      </c>
      <c r="N19" t="s">
        <v>76</v>
      </c>
      <c r="R19" s="5"/>
      <c r="T19" s="7"/>
      <c r="U19" s="7" t="str">
        <v>Ebola</v>
      </c>
      <c r="V19" s="7"/>
    </row>
    <row r="20" spans="1:22" x14ac:dyDescent="0.35">
      <c r="A20" t="s">
        <v>77</v>
      </c>
      <c r="B20" s="13">
        <v>662</v>
      </c>
      <c r="C20" t="s">
        <v>843</v>
      </c>
      <c r="F20" s="4" t="s">
        <v>78</v>
      </c>
      <c r="G20" s="7" t="s">
        <v>839</v>
      </c>
      <c r="H20" t="s">
        <v>79</v>
      </c>
      <c r="I20" t="s">
        <v>80</v>
      </c>
      <c r="K20" t="s">
        <v>796</v>
      </c>
      <c r="L20" s="7" t="s">
        <v>784</v>
      </c>
      <c r="M20" t="s">
        <v>81</v>
      </c>
      <c r="N20" t="s">
        <v>82</v>
      </c>
      <c r="O20" t="s">
        <v>83</v>
      </c>
      <c r="Q20" s="5"/>
      <c r="R20" s="5"/>
      <c r="S20" s="7"/>
      <c r="T20" s="7"/>
      <c r="U20" s="7" t="str">
        <v>IL33</v>
      </c>
    </row>
    <row r="21" spans="1:22" x14ac:dyDescent="0.35">
      <c r="A21" s="7" t="s">
        <v>84</v>
      </c>
      <c r="B21" s="15">
        <v>664</v>
      </c>
      <c r="C21" s="7" t="s">
        <v>776</v>
      </c>
      <c r="E21" s="6" t="s">
        <v>85</v>
      </c>
      <c r="F21" s="8" t="s">
        <v>86</v>
      </c>
      <c r="G21" s="7" t="s">
        <v>837</v>
      </c>
      <c r="H21" s="7" t="s">
        <v>87</v>
      </c>
      <c r="I21" s="7" t="s">
        <v>88</v>
      </c>
      <c r="J21" s="7"/>
      <c r="K21" s="7" t="s">
        <v>796</v>
      </c>
      <c r="L21" s="11" t="s">
        <v>784</v>
      </c>
      <c r="M21" s="7" t="s">
        <v>89</v>
      </c>
      <c r="N21" s="7" t="s">
        <v>90</v>
      </c>
      <c r="O21" s="7" t="s">
        <v>91</v>
      </c>
      <c r="P21" s="7"/>
      <c r="Q21" s="7"/>
      <c r="R21" s="7"/>
      <c r="S21" s="7"/>
      <c r="T21" s="7"/>
      <c r="U21" s="7" t="str">
        <v>MERS</v>
      </c>
    </row>
    <row r="22" spans="1:22" x14ac:dyDescent="0.35">
      <c r="A22" s="7" t="s">
        <v>92</v>
      </c>
      <c r="B22" s="15">
        <v>666</v>
      </c>
      <c r="C22" s="7" t="s">
        <v>775</v>
      </c>
      <c r="E22" s="6" t="s">
        <v>93</v>
      </c>
      <c r="F22" s="10" t="s">
        <v>693</v>
      </c>
      <c r="G22" s="9" t="s">
        <v>838</v>
      </c>
      <c r="H22" s="7" t="s">
        <v>94</v>
      </c>
      <c r="I22" s="7" t="s">
        <v>95</v>
      </c>
      <c r="J22" s="7" t="s">
        <v>96</v>
      </c>
      <c r="K22" s="7" t="s">
        <v>811</v>
      </c>
      <c r="L22" s="11" t="s">
        <v>784</v>
      </c>
      <c r="M22" s="7" t="s">
        <v>97</v>
      </c>
      <c r="N22" s="7" t="s">
        <v>98</v>
      </c>
      <c r="O22" s="7"/>
      <c r="P22" s="7"/>
      <c r="Q22" s="7"/>
      <c r="R22" s="7"/>
      <c r="T22" s="7"/>
      <c r="U22" s="7" t="str">
        <v>LAG3</v>
      </c>
      <c r="V22" s="7"/>
    </row>
    <row r="23" spans="1:22" x14ac:dyDescent="0.35">
      <c r="A23" t="s">
        <v>582</v>
      </c>
      <c r="B23" s="13">
        <v>667</v>
      </c>
      <c r="C23" s="7" t="s">
        <v>831</v>
      </c>
      <c r="G23" s="7" t="s">
        <v>838</v>
      </c>
      <c r="H23" t="s">
        <v>583</v>
      </c>
      <c r="I23" t="s">
        <v>95</v>
      </c>
      <c r="J23" t="s">
        <v>584</v>
      </c>
      <c r="L23" s="7" t="s">
        <v>784</v>
      </c>
      <c r="M23" t="s">
        <v>583</v>
      </c>
      <c r="N23" t="s">
        <v>584</v>
      </c>
      <c r="T23" s="7"/>
      <c r="U23" s="7" t="str">
        <v>PD-L1 iPET</v>
      </c>
      <c r="V23" s="7"/>
    </row>
    <row r="24" spans="1:22" x14ac:dyDescent="0.35">
      <c r="A24" t="s">
        <v>585</v>
      </c>
      <c r="B24" s="13">
        <v>668</v>
      </c>
      <c r="C24" s="7" t="s">
        <v>832</v>
      </c>
      <c r="G24" s="7" t="s">
        <v>838</v>
      </c>
      <c r="H24" t="s">
        <v>586</v>
      </c>
      <c r="I24" t="s">
        <v>95</v>
      </c>
      <c r="J24" t="s">
        <v>584</v>
      </c>
      <c r="L24" s="7" t="s">
        <v>784</v>
      </c>
      <c r="M24" t="s">
        <v>586</v>
      </c>
      <c r="N24" t="s">
        <v>584</v>
      </c>
      <c r="S24" s="7"/>
      <c r="T24" s="7"/>
      <c r="U24" s="7" t="str">
        <v>C5</v>
      </c>
    </row>
    <row r="25" spans="1:22" x14ac:dyDescent="0.35">
      <c r="A25" t="s">
        <v>587</v>
      </c>
      <c r="B25" s="13">
        <v>669</v>
      </c>
      <c r="C25" s="7" t="s">
        <v>833</v>
      </c>
      <c r="G25" s="7" t="s">
        <v>838</v>
      </c>
      <c r="H25" t="s">
        <v>588</v>
      </c>
      <c r="I25" t="s">
        <v>95</v>
      </c>
      <c r="J25" t="s">
        <v>584</v>
      </c>
      <c r="L25" s="7" t="s">
        <v>784</v>
      </c>
      <c r="M25" t="s">
        <v>588</v>
      </c>
      <c r="N25" t="s">
        <v>584</v>
      </c>
      <c r="S25" s="7"/>
      <c r="T25" s="7"/>
      <c r="U25" s="7" t="str">
        <v>MUC16xCD3</v>
      </c>
    </row>
    <row r="26" spans="1:22" x14ac:dyDescent="0.35">
      <c r="A26" t="s">
        <v>99</v>
      </c>
      <c r="B26" s="13">
        <v>670</v>
      </c>
      <c r="C26" s="7" t="s">
        <v>103</v>
      </c>
      <c r="F26" s="4" t="s">
        <v>100</v>
      </c>
      <c r="G26" s="7" t="s">
        <v>838</v>
      </c>
      <c r="H26" t="s">
        <v>101</v>
      </c>
      <c r="I26" t="s">
        <v>102</v>
      </c>
      <c r="K26" t="s">
        <v>796</v>
      </c>
      <c r="L26" s="7" t="s">
        <v>784</v>
      </c>
      <c r="M26" t="s">
        <v>103</v>
      </c>
      <c r="N26" t="s">
        <v>104</v>
      </c>
      <c r="O26" t="s">
        <v>105</v>
      </c>
      <c r="Q26" s="5"/>
      <c r="R26" s="5"/>
      <c r="S26" s="7"/>
      <c r="T26" s="7"/>
      <c r="U26" s="7" t="str">
        <v>LEPR</v>
      </c>
    </row>
    <row r="27" spans="1:22" x14ac:dyDescent="0.35">
      <c r="A27" t="s">
        <v>660</v>
      </c>
      <c r="B27" s="13">
        <v>671</v>
      </c>
      <c r="C27" s="7" t="s">
        <v>716</v>
      </c>
      <c r="G27" s="7" t="s">
        <v>838</v>
      </c>
      <c r="H27" t="s">
        <v>661</v>
      </c>
      <c r="I27" t="s">
        <v>662</v>
      </c>
      <c r="L27" s="7" t="s">
        <v>784</v>
      </c>
      <c r="M27" t="s">
        <v>661</v>
      </c>
      <c r="N27" t="s">
        <v>662</v>
      </c>
      <c r="S27" s="7"/>
      <c r="T27" s="7"/>
      <c r="U27" s="7" t="str">
        <v>CTLA4</v>
      </c>
    </row>
    <row r="28" spans="1:22" x14ac:dyDescent="0.35">
      <c r="A28" t="s">
        <v>106</v>
      </c>
      <c r="B28" s="13">
        <v>672</v>
      </c>
      <c r="C28" s="7" t="s">
        <v>110</v>
      </c>
      <c r="F28" s="4" t="s">
        <v>107</v>
      </c>
      <c r="G28" s="7" t="s">
        <v>837</v>
      </c>
      <c r="H28" t="s">
        <v>108</v>
      </c>
      <c r="I28" t="s">
        <v>109</v>
      </c>
      <c r="K28" s="7" t="s">
        <v>796</v>
      </c>
      <c r="L28" s="7" t="s">
        <v>784</v>
      </c>
      <c r="M28" t="s">
        <v>110</v>
      </c>
      <c r="N28" t="s">
        <v>111</v>
      </c>
      <c r="O28" t="s">
        <v>112</v>
      </c>
      <c r="P28" t="s">
        <v>113</v>
      </c>
      <c r="S28" s="7"/>
      <c r="T28" s="7"/>
      <c r="U28" s="7" t="str">
        <v>CD8 iPET</v>
      </c>
    </row>
    <row r="29" spans="1:22" x14ac:dyDescent="0.35">
      <c r="A29" t="s">
        <v>680</v>
      </c>
      <c r="B29" s="13">
        <v>673</v>
      </c>
      <c r="C29" s="7" t="s">
        <v>844</v>
      </c>
      <c r="G29" s="7" t="s">
        <v>837</v>
      </c>
      <c r="H29" t="s">
        <v>681</v>
      </c>
      <c r="I29" t="s">
        <v>682</v>
      </c>
      <c r="L29" s="7" t="s">
        <v>784</v>
      </c>
      <c r="M29" t="s">
        <v>681</v>
      </c>
      <c r="N29" t="s">
        <v>682</v>
      </c>
      <c r="S29" s="7"/>
      <c r="T29" s="7"/>
      <c r="U29" s="7" t="str">
        <v>GFRa3</v>
      </c>
    </row>
    <row r="30" spans="1:22" x14ac:dyDescent="0.35">
      <c r="A30" t="s">
        <v>561</v>
      </c>
      <c r="B30" s="13">
        <v>674</v>
      </c>
      <c r="C30" s="7" t="s">
        <v>841</v>
      </c>
      <c r="E30" s="6" t="s">
        <v>692</v>
      </c>
      <c r="F30" s="4" t="s">
        <v>562</v>
      </c>
      <c r="G30" s="7" t="s">
        <v>839</v>
      </c>
      <c r="H30" t="s">
        <v>563</v>
      </c>
      <c r="I30" t="s">
        <v>152</v>
      </c>
      <c r="K30" t="s">
        <v>796</v>
      </c>
      <c r="L30" s="7" t="s">
        <v>784</v>
      </c>
      <c r="M30" t="s">
        <v>563</v>
      </c>
      <c r="N30" t="s">
        <v>564</v>
      </c>
      <c r="O30" t="s">
        <v>565</v>
      </c>
      <c r="P30" t="s">
        <v>562</v>
      </c>
      <c r="S30" s="7"/>
      <c r="T30" s="7"/>
      <c r="U30" s="7" t="str">
        <v>BCMAxCD3</v>
      </c>
    </row>
    <row r="31" spans="1:22" s="16" customFormat="1" ht="16.5" customHeight="1" x14ac:dyDescent="0.35">
      <c r="A31" t="s">
        <v>160</v>
      </c>
      <c r="B31" s="13">
        <v>675</v>
      </c>
      <c r="C31" s="7" t="s">
        <v>164</v>
      </c>
      <c r="D31" s="4"/>
      <c r="E31" s="6"/>
      <c r="F31" s="4"/>
      <c r="G31" s="7" t="s">
        <v>837</v>
      </c>
      <c r="H31" t="s">
        <v>161</v>
      </c>
      <c r="I31" t="s">
        <v>162</v>
      </c>
      <c r="J31"/>
      <c r="K31"/>
      <c r="L31" s="7" t="s">
        <v>784</v>
      </c>
      <c r="M31" t="s">
        <v>163</v>
      </c>
      <c r="N31" t="s">
        <v>164</v>
      </c>
      <c r="O31"/>
      <c r="P31"/>
      <c r="Q31"/>
      <c r="R31"/>
      <c r="S31" s="17"/>
      <c r="T31" s="17"/>
      <c r="U31" s="17" t="str">
        <v>Betv1</v>
      </c>
    </row>
    <row r="32" spans="1:22" x14ac:dyDescent="0.35">
      <c r="A32" t="s">
        <v>663</v>
      </c>
      <c r="B32" s="13">
        <v>676</v>
      </c>
      <c r="C32" s="7" t="s">
        <v>834</v>
      </c>
      <c r="G32" s="7" t="s">
        <v>838</v>
      </c>
      <c r="H32" t="s">
        <v>664</v>
      </c>
      <c r="I32" t="s">
        <v>662</v>
      </c>
      <c r="J32" t="s">
        <v>665</v>
      </c>
      <c r="L32" s="7" t="s">
        <v>784</v>
      </c>
      <c r="M32" t="s">
        <v>664</v>
      </c>
      <c r="N32" t="s">
        <v>665</v>
      </c>
      <c r="S32" s="7"/>
      <c r="T32" s="7"/>
      <c r="U32" s="7" t="str">
        <v>METxMET</v>
      </c>
    </row>
    <row r="33" spans="1:23" x14ac:dyDescent="0.35">
      <c r="A33" t="s">
        <v>114</v>
      </c>
      <c r="B33" s="13">
        <v>680</v>
      </c>
      <c r="C33" s="4" t="s">
        <v>118</v>
      </c>
      <c r="F33" s="4" t="s">
        <v>115</v>
      </c>
      <c r="G33" s="7" t="s">
        <v>838</v>
      </c>
      <c r="H33" t="s">
        <v>116</v>
      </c>
      <c r="I33" t="s">
        <v>117</v>
      </c>
      <c r="K33" t="s">
        <v>796</v>
      </c>
      <c r="L33" s="7" t="s">
        <v>784</v>
      </c>
      <c r="M33" t="s">
        <v>118</v>
      </c>
      <c r="N33" t="s">
        <v>119</v>
      </c>
      <c r="O33" t="s">
        <v>120</v>
      </c>
      <c r="S33" s="7"/>
      <c r="T33" s="7"/>
      <c r="U33" s="7" t="str">
        <v>GITR</v>
      </c>
    </row>
    <row r="34" spans="1:23" x14ac:dyDescent="0.35">
      <c r="A34" t="s">
        <v>579</v>
      </c>
      <c r="B34" s="13">
        <v>681</v>
      </c>
      <c r="C34" s="7" t="s">
        <v>718</v>
      </c>
      <c r="G34" s="7" t="s">
        <v>837</v>
      </c>
      <c r="H34" t="s">
        <v>580</v>
      </c>
      <c r="I34" t="s">
        <v>581</v>
      </c>
      <c r="L34" s="7" t="s">
        <v>784</v>
      </c>
      <c r="M34" t="s">
        <v>580</v>
      </c>
      <c r="N34" t="s">
        <v>581</v>
      </c>
      <c r="T34" s="7"/>
      <c r="U34" s="7" t="str">
        <v>METxMET-M114</v>
      </c>
      <c r="V34" s="7"/>
    </row>
    <row r="35" spans="1:23" x14ac:dyDescent="0.35">
      <c r="A35" t="s">
        <v>165</v>
      </c>
      <c r="B35" s="13">
        <v>682</v>
      </c>
      <c r="C35" s="7" t="s">
        <v>719</v>
      </c>
      <c r="G35" s="7" t="s">
        <v>837</v>
      </c>
      <c r="H35" t="s">
        <v>166</v>
      </c>
      <c r="I35" t="s">
        <v>167</v>
      </c>
      <c r="K35" t="s">
        <v>796</v>
      </c>
      <c r="L35" s="7" t="s">
        <v>784</v>
      </c>
      <c r="M35" t="s">
        <v>168</v>
      </c>
      <c r="S35" s="7"/>
      <c r="T35" s="7"/>
      <c r="U35" s="7" t="str">
        <v>PSMAxCD28</v>
      </c>
    </row>
    <row r="36" spans="1:23" x14ac:dyDescent="0.35">
      <c r="A36" t="s">
        <v>673</v>
      </c>
      <c r="B36" s="13">
        <v>683</v>
      </c>
      <c r="C36" s="7" t="s">
        <v>720</v>
      </c>
      <c r="G36" s="7" t="s">
        <v>837</v>
      </c>
      <c r="H36" t="s">
        <v>674</v>
      </c>
      <c r="I36" t="s">
        <v>162</v>
      </c>
      <c r="L36" s="7" t="s">
        <v>784</v>
      </c>
      <c r="M36" t="s">
        <v>674</v>
      </c>
      <c r="N36" t="s">
        <v>162</v>
      </c>
      <c r="T36" s="7"/>
      <c r="U36" s="7" t="str">
        <v>CD22xCD28</v>
      </c>
      <c r="V36" s="7"/>
    </row>
    <row r="37" spans="1:23" x14ac:dyDescent="0.35">
      <c r="A37" t="s">
        <v>621</v>
      </c>
      <c r="B37" s="13">
        <v>685</v>
      </c>
      <c r="C37" s="7" t="s">
        <v>721</v>
      </c>
      <c r="G37" s="7" t="s">
        <v>840</v>
      </c>
      <c r="H37" t="s">
        <v>622</v>
      </c>
      <c r="I37" t="s">
        <v>623</v>
      </c>
      <c r="L37" s="7" t="s">
        <v>784</v>
      </c>
      <c r="M37" t="s">
        <v>622</v>
      </c>
      <c r="N37" t="s">
        <v>623</v>
      </c>
      <c r="S37" s="7"/>
      <c r="T37" s="7"/>
      <c r="U37" s="7" t="str">
        <v>MUC16xCD28</v>
      </c>
    </row>
    <row r="38" spans="1:23" x14ac:dyDescent="0.35">
      <c r="A38" s="7" t="s">
        <v>121</v>
      </c>
      <c r="B38" s="15">
        <v>686</v>
      </c>
      <c r="C38" s="7" t="s">
        <v>779</v>
      </c>
      <c r="E38" s="6" t="s">
        <v>694</v>
      </c>
      <c r="F38" s="8" t="s">
        <v>122</v>
      </c>
      <c r="G38" s="7" t="s">
        <v>839</v>
      </c>
      <c r="H38" s="7" t="s">
        <v>123</v>
      </c>
      <c r="I38" s="7" t="s">
        <v>124</v>
      </c>
      <c r="J38" s="7"/>
      <c r="K38" s="7" t="s">
        <v>796</v>
      </c>
      <c r="L38" s="11" t="s">
        <v>784</v>
      </c>
      <c r="M38" s="7" t="s">
        <v>125</v>
      </c>
      <c r="N38" s="7" t="s">
        <v>126</v>
      </c>
      <c r="O38" s="7" t="s">
        <v>127</v>
      </c>
      <c r="P38" s="7"/>
      <c r="Q38" s="7"/>
      <c r="R38" s="7"/>
      <c r="U38" s="7" t="str">
        <v>NPR1</v>
      </c>
      <c r="V38" s="7"/>
      <c r="W38" s="7"/>
    </row>
    <row r="39" spans="1:23" x14ac:dyDescent="0.35">
      <c r="A39" t="s">
        <v>553</v>
      </c>
      <c r="B39" s="13">
        <v>687</v>
      </c>
      <c r="C39" s="7" t="s">
        <v>722</v>
      </c>
      <c r="D39" s="5"/>
      <c r="G39" s="7" t="s">
        <v>838</v>
      </c>
      <c r="H39" t="s">
        <v>554</v>
      </c>
      <c r="I39" t="s">
        <v>555</v>
      </c>
      <c r="L39" s="7" t="s">
        <v>784</v>
      </c>
      <c r="M39" t="s">
        <v>554</v>
      </c>
      <c r="N39" t="s">
        <v>555</v>
      </c>
      <c r="S39" s="7"/>
      <c r="T39" s="7"/>
      <c r="U39" s="7" t="str">
        <v>IL2Rg</v>
      </c>
    </row>
    <row r="40" spans="1:23" s="5" customFormat="1" x14ac:dyDescent="0.35">
      <c r="A40" t="s">
        <v>556</v>
      </c>
      <c r="B40" s="13">
        <v>688</v>
      </c>
      <c r="C40" s="7" t="s">
        <v>797</v>
      </c>
      <c r="D40" s="4"/>
      <c r="E40" s="6"/>
      <c r="F40" s="4"/>
      <c r="G40" s="7" t="s">
        <v>838</v>
      </c>
      <c r="H40" t="s">
        <v>557</v>
      </c>
      <c r="I40" t="s">
        <v>555</v>
      </c>
      <c r="J40" t="s">
        <v>558</v>
      </c>
      <c r="K40"/>
      <c r="L40" s="7" t="s">
        <v>784</v>
      </c>
      <c r="M40" t="s">
        <v>557</v>
      </c>
      <c r="N40" t="s">
        <v>558</v>
      </c>
      <c r="O40"/>
      <c r="P40"/>
      <c r="Q40"/>
      <c r="R40"/>
      <c r="S40" s="7"/>
      <c r="T40" s="7"/>
      <c r="U40" s="7"/>
    </row>
    <row r="41" spans="1:23" ht="15" customHeight="1" x14ac:dyDescent="0.35">
      <c r="A41" t="s">
        <v>559</v>
      </c>
      <c r="B41" s="13">
        <v>689</v>
      </c>
      <c r="C41" s="7" t="s">
        <v>798</v>
      </c>
      <c r="G41" s="7" t="s">
        <v>838</v>
      </c>
      <c r="H41" t="s">
        <v>560</v>
      </c>
      <c r="I41" t="s">
        <v>555</v>
      </c>
      <c r="J41" t="s">
        <v>558</v>
      </c>
      <c r="L41" s="7" t="s">
        <v>784</v>
      </c>
      <c r="M41" t="s">
        <v>560</v>
      </c>
      <c r="N41" t="s">
        <v>558</v>
      </c>
      <c r="T41" s="7"/>
      <c r="U41" s="7"/>
      <c r="V41" s="7"/>
    </row>
    <row r="42" spans="1:23" x14ac:dyDescent="0.35">
      <c r="A42" t="s">
        <v>169</v>
      </c>
      <c r="B42" s="13">
        <v>690</v>
      </c>
      <c r="C42" s="7" t="s">
        <v>173</v>
      </c>
      <c r="G42" s="7" t="s">
        <v>837</v>
      </c>
      <c r="H42" t="s">
        <v>170</v>
      </c>
      <c r="I42" t="s">
        <v>171</v>
      </c>
      <c r="L42" s="7" t="s">
        <v>784</v>
      </c>
      <c r="M42" t="s">
        <v>172</v>
      </c>
      <c r="N42" t="s">
        <v>173</v>
      </c>
      <c r="S42" s="7"/>
      <c r="T42" s="7"/>
      <c r="U42" s="7"/>
    </row>
    <row r="43" spans="1:23" x14ac:dyDescent="0.35">
      <c r="A43" t="s">
        <v>632</v>
      </c>
      <c r="B43" s="13">
        <v>691</v>
      </c>
      <c r="C43" s="7" t="s">
        <v>815</v>
      </c>
      <c r="G43" s="7" t="s">
        <v>837</v>
      </c>
      <c r="H43" t="s">
        <v>633</v>
      </c>
      <c r="I43" t="s">
        <v>631</v>
      </c>
      <c r="J43" t="s">
        <v>634</v>
      </c>
      <c r="L43" s="7" t="s">
        <v>784</v>
      </c>
      <c r="M43" t="s">
        <v>633</v>
      </c>
      <c r="N43" t="s">
        <v>634</v>
      </c>
    </row>
    <row r="44" spans="1:23" x14ac:dyDescent="0.35">
      <c r="A44" t="s">
        <v>128</v>
      </c>
      <c r="B44" s="13">
        <v>692</v>
      </c>
      <c r="C44" s="4" t="s">
        <v>131</v>
      </c>
      <c r="F44" s="4" t="s">
        <v>129</v>
      </c>
      <c r="G44" s="7" t="s">
        <v>839</v>
      </c>
      <c r="H44" t="s">
        <v>130</v>
      </c>
      <c r="I44" t="s">
        <v>124</v>
      </c>
      <c r="L44" s="7" t="s">
        <v>784</v>
      </c>
      <c r="M44" t="s">
        <v>131</v>
      </c>
      <c r="N44" t="s">
        <v>132</v>
      </c>
      <c r="O44" t="s">
        <v>133</v>
      </c>
      <c r="P44" t="s">
        <v>134</v>
      </c>
    </row>
    <row r="45" spans="1:23" x14ac:dyDescent="0.35">
      <c r="A45" t="s">
        <v>174</v>
      </c>
      <c r="B45" s="13">
        <v>693</v>
      </c>
      <c r="C45" s="7" t="s">
        <v>723</v>
      </c>
      <c r="G45" s="7" t="s">
        <v>837</v>
      </c>
      <c r="H45" t="s">
        <v>175</v>
      </c>
      <c r="I45" t="s">
        <v>176</v>
      </c>
      <c r="L45" s="7" t="s">
        <v>784</v>
      </c>
      <c r="M45" t="s">
        <v>177</v>
      </c>
    </row>
    <row r="46" spans="1:23" x14ac:dyDescent="0.35">
      <c r="A46" t="s">
        <v>178</v>
      </c>
      <c r="B46" s="13">
        <v>694</v>
      </c>
      <c r="C46" s="7" t="s">
        <v>182</v>
      </c>
      <c r="G46" s="7" t="s">
        <v>837</v>
      </c>
      <c r="H46" t="s">
        <v>179</v>
      </c>
      <c r="I46" t="s">
        <v>180</v>
      </c>
      <c r="L46" s="7" t="s">
        <v>784</v>
      </c>
      <c r="M46" t="s">
        <v>181</v>
      </c>
      <c r="N46" t="s">
        <v>182</v>
      </c>
    </row>
    <row r="47" spans="1:23" x14ac:dyDescent="0.35">
      <c r="A47" t="s">
        <v>183</v>
      </c>
      <c r="B47" s="13">
        <v>695</v>
      </c>
      <c r="C47" s="7" t="s">
        <v>724</v>
      </c>
      <c r="G47" s="7" t="s">
        <v>839</v>
      </c>
      <c r="H47" t="s">
        <v>184</v>
      </c>
      <c r="I47" t="s">
        <v>185</v>
      </c>
      <c r="L47" s="7" t="s">
        <v>784</v>
      </c>
      <c r="M47" t="s">
        <v>186</v>
      </c>
    </row>
    <row r="48" spans="1:23" x14ac:dyDescent="0.35">
      <c r="A48" t="s">
        <v>187</v>
      </c>
      <c r="B48" s="13">
        <v>696</v>
      </c>
      <c r="C48" s="7" t="s">
        <v>717</v>
      </c>
      <c r="G48" s="7" t="s">
        <v>837</v>
      </c>
      <c r="H48" t="s">
        <v>188</v>
      </c>
      <c r="I48" t="s">
        <v>189</v>
      </c>
      <c r="L48" s="7" t="s">
        <v>784</v>
      </c>
      <c r="M48" t="s">
        <v>190</v>
      </c>
    </row>
    <row r="49" spans="1:17" x14ac:dyDescent="0.35">
      <c r="A49" t="s">
        <v>629</v>
      </c>
      <c r="B49" s="13">
        <v>697</v>
      </c>
      <c r="C49" s="7" t="s">
        <v>725</v>
      </c>
      <c r="G49" s="7" t="s">
        <v>837</v>
      </c>
      <c r="H49" t="s">
        <v>630</v>
      </c>
      <c r="I49" t="s">
        <v>631</v>
      </c>
      <c r="L49" s="7" t="s">
        <v>784</v>
      </c>
      <c r="M49" t="s">
        <v>630</v>
      </c>
      <c r="N49" t="s">
        <v>631</v>
      </c>
    </row>
    <row r="50" spans="1:17" x14ac:dyDescent="0.35">
      <c r="A50" t="s">
        <v>191</v>
      </c>
      <c r="B50" s="13">
        <v>698</v>
      </c>
      <c r="C50" s="7" t="s">
        <v>726</v>
      </c>
      <c r="G50" s="7" t="s">
        <v>838</v>
      </c>
      <c r="H50" t="s">
        <v>192</v>
      </c>
      <c r="I50" t="s">
        <v>193</v>
      </c>
      <c r="L50" s="7" t="s">
        <v>784</v>
      </c>
      <c r="M50" t="s">
        <v>194</v>
      </c>
    </row>
    <row r="51" spans="1:17" x14ac:dyDescent="0.35">
      <c r="A51" t="s">
        <v>650</v>
      </c>
      <c r="B51" s="13">
        <v>699</v>
      </c>
      <c r="C51" s="7" t="s">
        <v>727</v>
      </c>
      <c r="G51" s="7" t="s">
        <v>839</v>
      </c>
      <c r="H51" t="s">
        <v>651</v>
      </c>
      <c r="I51" t="s">
        <v>652</v>
      </c>
      <c r="L51" s="7" t="s">
        <v>784</v>
      </c>
      <c r="M51" t="s">
        <v>651</v>
      </c>
      <c r="N51" t="s">
        <v>652</v>
      </c>
    </row>
    <row r="52" spans="1:17" x14ac:dyDescent="0.35">
      <c r="A52" t="s">
        <v>135</v>
      </c>
      <c r="B52" s="13">
        <v>700</v>
      </c>
      <c r="C52" s="7" t="s">
        <v>139</v>
      </c>
      <c r="F52" s="4" t="s">
        <v>136</v>
      </c>
      <c r="G52" s="7" t="s">
        <v>837</v>
      </c>
      <c r="H52" t="s">
        <v>137</v>
      </c>
      <c r="I52" t="s">
        <v>138</v>
      </c>
      <c r="L52" s="7" t="s">
        <v>784</v>
      </c>
      <c r="M52" t="s">
        <v>139</v>
      </c>
      <c r="N52" t="s">
        <v>140</v>
      </c>
      <c r="O52" t="s">
        <v>141</v>
      </c>
    </row>
    <row r="53" spans="1:17" x14ac:dyDescent="0.35">
      <c r="A53" t="s">
        <v>653</v>
      </c>
      <c r="B53" s="13">
        <v>701</v>
      </c>
      <c r="C53" s="7" t="s">
        <v>728</v>
      </c>
      <c r="G53" s="7" t="s">
        <v>838</v>
      </c>
      <c r="H53" t="s">
        <v>654</v>
      </c>
      <c r="I53" t="s">
        <v>655</v>
      </c>
      <c r="L53" s="7" t="s">
        <v>784</v>
      </c>
      <c r="M53" t="s">
        <v>654</v>
      </c>
      <c r="N53" t="s">
        <v>655</v>
      </c>
    </row>
    <row r="54" spans="1:17" x14ac:dyDescent="0.35">
      <c r="A54" t="s">
        <v>195</v>
      </c>
      <c r="B54" s="13">
        <v>702</v>
      </c>
      <c r="C54" s="7" t="s">
        <v>198</v>
      </c>
      <c r="G54" s="7" t="s">
        <v>836</v>
      </c>
      <c r="H54" t="s">
        <v>196</v>
      </c>
      <c r="I54" t="s">
        <v>731</v>
      </c>
      <c r="J54" t="s">
        <v>732</v>
      </c>
      <c r="K54" t="s">
        <v>795</v>
      </c>
      <c r="L54" s="7" t="s">
        <v>793</v>
      </c>
      <c r="M54" t="s">
        <v>197</v>
      </c>
      <c r="N54" t="s">
        <v>198</v>
      </c>
    </row>
    <row r="55" spans="1:17" x14ac:dyDescent="0.35">
      <c r="A55" t="s">
        <v>142</v>
      </c>
      <c r="B55" s="13">
        <v>703</v>
      </c>
      <c r="C55" s="4" t="s">
        <v>782</v>
      </c>
      <c r="F55" s="4" t="s">
        <v>143</v>
      </c>
      <c r="G55" s="7" t="s">
        <v>836</v>
      </c>
      <c r="H55" t="s">
        <v>144</v>
      </c>
      <c r="I55" t="s">
        <v>147</v>
      </c>
      <c r="K55" t="s">
        <v>795</v>
      </c>
      <c r="L55" s="7" t="s">
        <v>786</v>
      </c>
      <c r="M55" t="s">
        <v>145</v>
      </c>
      <c r="N55" t="s">
        <v>146</v>
      </c>
      <c r="O55" t="s">
        <v>147</v>
      </c>
      <c r="P55" t="s">
        <v>143</v>
      </c>
      <c r="Q55" t="s">
        <v>148</v>
      </c>
    </row>
    <row r="56" spans="1:17" x14ac:dyDescent="0.35">
      <c r="A56" t="s">
        <v>199</v>
      </c>
      <c r="B56" s="13">
        <v>704</v>
      </c>
      <c r="C56" s="7" t="s">
        <v>203</v>
      </c>
      <c r="G56" s="7" t="s">
        <v>837</v>
      </c>
      <c r="H56" t="s">
        <v>200</v>
      </c>
      <c r="I56" t="s">
        <v>201</v>
      </c>
      <c r="L56" s="7" t="s">
        <v>784</v>
      </c>
      <c r="M56" t="s">
        <v>202</v>
      </c>
      <c r="N56" t="s">
        <v>203</v>
      </c>
    </row>
    <row r="57" spans="1:17" x14ac:dyDescent="0.35">
      <c r="A57" t="s">
        <v>204</v>
      </c>
      <c r="B57" s="13">
        <v>705</v>
      </c>
      <c r="C57" s="7" t="s">
        <v>816</v>
      </c>
      <c r="G57" s="7" t="s">
        <v>839</v>
      </c>
      <c r="H57" t="s">
        <v>205</v>
      </c>
      <c r="I57" t="s">
        <v>206</v>
      </c>
      <c r="J57" t="s">
        <v>207</v>
      </c>
      <c r="L57" s="7" t="s">
        <v>784</v>
      </c>
      <c r="M57" t="s">
        <v>208</v>
      </c>
      <c r="N57" t="s">
        <v>209</v>
      </c>
    </row>
    <row r="58" spans="1:17" x14ac:dyDescent="0.35">
      <c r="A58" t="s">
        <v>533</v>
      </c>
      <c r="B58" s="13">
        <v>706</v>
      </c>
      <c r="C58" s="7" t="s">
        <v>848</v>
      </c>
      <c r="G58" s="7" t="s">
        <v>838</v>
      </c>
      <c r="H58" t="s">
        <v>534</v>
      </c>
      <c r="I58" t="s">
        <v>734</v>
      </c>
      <c r="K58" t="s">
        <v>802</v>
      </c>
      <c r="L58" s="7" t="s">
        <v>784</v>
      </c>
      <c r="M58" t="s">
        <v>534</v>
      </c>
      <c r="N58" t="s">
        <v>530</v>
      </c>
    </row>
    <row r="59" spans="1:17" x14ac:dyDescent="0.35">
      <c r="A59" t="s">
        <v>210</v>
      </c>
      <c r="B59" s="13">
        <v>707</v>
      </c>
      <c r="C59" s="7" t="s">
        <v>729</v>
      </c>
      <c r="G59" s="7" t="s">
        <v>838</v>
      </c>
      <c r="H59" t="s">
        <v>211</v>
      </c>
      <c r="I59" t="s">
        <v>193</v>
      </c>
      <c r="L59" s="7" t="s">
        <v>784</v>
      </c>
      <c r="M59" t="s">
        <v>194</v>
      </c>
    </row>
    <row r="60" spans="1:17" x14ac:dyDescent="0.35">
      <c r="A60" t="s">
        <v>528</v>
      </c>
      <c r="B60" s="13">
        <v>708</v>
      </c>
      <c r="C60" s="7" t="s">
        <v>845</v>
      </c>
      <c r="G60" s="7" t="s">
        <v>838</v>
      </c>
      <c r="H60" t="s">
        <v>529</v>
      </c>
      <c r="I60" t="s">
        <v>734</v>
      </c>
      <c r="K60" t="s">
        <v>802</v>
      </c>
      <c r="L60" s="7" t="s">
        <v>784</v>
      </c>
      <c r="M60" t="s">
        <v>529</v>
      </c>
      <c r="N60" t="s">
        <v>530</v>
      </c>
    </row>
    <row r="61" spans="1:17" x14ac:dyDescent="0.35">
      <c r="A61" t="s">
        <v>535</v>
      </c>
      <c r="B61" s="13">
        <v>709</v>
      </c>
      <c r="C61" s="7" t="s">
        <v>846</v>
      </c>
      <c r="G61" s="7" t="s">
        <v>838</v>
      </c>
      <c r="H61" t="s">
        <v>536</v>
      </c>
      <c r="I61" t="s">
        <v>734</v>
      </c>
      <c r="K61" t="s">
        <v>802</v>
      </c>
      <c r="L61" s="7" t="s">
        <v>784</v>
      </c>
      <c r="M61" t="s">
        <v>536</v>
      </c>
      <c r="N61" t="s">
        <v>530</v>
      </c>
    </row>
    <row r="62" spans="1:17" x14ac:dyDescent="0.35">
      <c r="A62" t="s">
        <v>531</v>
      </c>
      <c r="B62" s="13">
        <v>710</v>
      </c>
      <c r="C62" s="7" t="s">
        <v>847</v>
      </c>
      <c r="G62" s="7" t="s">
        <v>838</v>
      </c>
      <c r="H62" t="s">
        <v>532</v>
      </c>
      <c r="I62" t="s">
        <v>734</v>
      </c>
      <c r="K62" t="s">
        <v>802</v>
      </c>
      <c r="L62" s="7" t="s">
        <v>784</v>
      </c>
      <c r="M62" t="s">
        <v>532</v>
      </c>
      <c r="N62" t="s">
        <v>530</v>
      </c>
    </row>
    <row r="63" spans="1:17" x14ac:dyDescent="0.35">
      <c r="A63" t="s">
        <v>212</v>
      </c>
      <c r="B63" s="13">
        <v>711</v>
      </c>
      <c r="C63" s="7" t="s">
        <v>217</v>
      </c>
      <c r="G63" s="7" t="s">
        <v>839</v>
      </c>
      <c r="H63" t="s">
        <v>213</v>
      </c>
      <c r="I63" t="s">
        <v>214</v>
      </c>
      <c r="J63" t="s">
        <v>214</v>
      </c>
      <c r="K63" t="s">
        <v>795</v>
      </c>
      <c r="L63" s="7" t="s">
        <v>784</v>
      </c>
      <c r="M63" t="s">
        <v>215</v>
      </c>
      <c r="N63" t="s">
        <v>216</v>
      </c>
      <c r="O63" t="s">
        <v>217</v>
      </c>
      <c r="P63" t="s">
        <v>218</v>
      </c>
    </row>
    <row r="64" spans="1:17" x14ac:dyDescent="0.35">
      <c r="A64" t="s">
        <v>593</v>
      </c>
      <c r="B64" s="13">
        <v>712</v>
      </c>
      <c r="C64" s="7" t="s">
        <v>730</v>
      </c>
      <c r="G64" s="7" t="s">
        <v>839</v>
      </c>
      <c r="H64" t="s">
        <v>594</v>
      </c>
      <c r="I64" t="s">
        <v>595</v>
      </c>
      <c r="K64" t="s">
        <v>795</v>
      </c>
      <c r="L64" s="7" t="s">
        <v>793</v>
      </c>
      <c r="M64" t="s">
        <v>594</v>
      </c>
      <c r="N64" t="s">
        <v>595</v>
      </c>
    </row>
    <row r="65" spans="1:18" x14ac:dyDescent="0.35">
      <c r="A65" t="s">
        <v>219</v>
      </c>
      <c r="B65" s="13">
        <v>713</v>
      </c>
      <c r="C65" s="7" t="s">
        <v>223</v>
      </c>
      <c r="G65" s="7" t="s">
        <v>839</v>
      </c>
      <c r="H65" t="s">
        <v>220</v>
      </c>
      <c r="I65" t="s">
        <v>221</v>
      </c>
      <c r="L65" s="7" t="s">
        <v>784</v>
      </c>
      <c r="M65" t="s">
        <v>222</v>
      </c>
      <c r="N65" t="s">
        <v>223</v>
      </c>
    </row>
    <row r="66" spans="1:18" x14ac:dyDescent="0.35">
      <c r="A66" t="s">
        <v>224</v>
      </c>
      <c r="B66" s="13">
        <v>714</v>
      </c>
      <c r="C66" s="7" t="s">
        <v>794</v>
      </c>
      <c r="G66" t="s">
        <v>836</v>
      </c>
      <c r="H66" t="s">
        <v>225</v>
      </c>
      <c r="I66" t="s">
        <v>226</v>
      </c>
      <c r="K66" t="s">
        <v>795</v>
      </c>
      <c r="L66" s="7" t="s">
        <v>786</v>
      </c>
      <c r="M66" t="s">
        <v>227</v>
      </c>
      <c r="Q66" s="5"/>
      <c r="R66" s="5"/>
    </row>
    <row r="67" spans="1:18" x14ac:dyDescent="0.35">
      <c r="A67" t="s">
        <v>228</v>
      </c>
      <c r="B67" s="13">
        <v>715</v>
      </c>
      <c r="C67" s="7" t="s">
        <v>817</v>
      </c>
      <c r="G67" s="7" t="s">
        <v>839</v>
      </c>
      <c r="H67" t="s">
        <v>229</v>
      </c>
      <c r="I67" t="s">
        <v>206</v>
      </c>
      <c r="J67" t="s">
        <v>230</v>
      </c>
      <c r="K67" t="s">
        <v>796</v>
      </c>
      <c r="L67" s="7" t="s">
        <v>784</v>
      </c>
      <c r="M67" t="s">
        <v>231</v>
      </c>
      <c r="N67" t="s">
        <v>232</v>
      </c>
    </row>
    <row r="68" spans="1:18" x14ac:dyDescent="0.35">
      <c r="A68" s="7" t="s">
        <v>233</v>
      </c>
      <c r="B68" s="15">
        <v>716</v>
      </c>
      <c r="C68" s="7" t="s">
        <v>234</v>
      </c>
      <c r="E68" s="6" t="s">
        <v>695</v>
      </c>
      <c r="F68" s="9" t="s">
        <v>696</v>
      </c>
      <c r="G68" s="9" t="s">
        <v>836</v>
      </c>
      <c r="H68" s="7" t="s">
        <v>234</v>
      </c>
      <c r="I68" s="7" t="s">
        <v>812</v>
      </c>
      <c r="J68" s="7"/>
      <c r="K68" s="7" t="s">
        <v>813</v>
      </c>
      <c r="L68" s="7" t="s">
        <v>785</v>
      </c>
      <c r="M68" s="7" t="s">
        <v>235</v>
      </c>
      <c r="N68" s="7"/>
      <c r="O68" s="7"/>
      <c r="P68" s="7"/>
      <c r="Q68" s="7"/>
      <c r="R68" s="7"/>
    </row>
    <row r="69" spans="1:18" x14ac:dyDescent="0.35">
      <c r="A69" t="s">
        <v>236</v>
      </c>
      <c r="B69" s="13">
        <v>717</v>
      </c>
      <c r="C69" s="7" t="s">
        <v>733</v>
      </c>
      <c r="G69" t="s">
        <v>836</v>
      </c>
      <c r="H69" t="s">
        <v>237</v>
      </c>
      <c r="I69" t="s">
        <v>238</v>
      </c>
      <c r="K69" t="s">
        <v>795</v>
      </c>
      <c r="L69" s="7" t="s">
        <v>786</v>
      </c>
      <c r="M69" t="s">
        <v>239</v>
      </c>
      <c r="N69" t="s">
        <v>240</v>
      </c>
    </row>
    <row r="70" spans="1:18" x14ac:dyDescent="0.35">
      <c r="A70" t="s">
        <v>241</v>
      </c>
      <c r="B70" s="13">
        <v>718</v>
      </c>
      <c r="C70" s="7" t="s">
        <v>245</v>
      </c>
      <c r="G70" t="s">
        <v>839</v>
      </c>
      <c r="H70" t="s">
        <v>242</v>
      </c>
      <c r="I70" t="s">
        <v>243</v>
      </c>
      <c r="L70" s="7" t="s">
        <v>784</v>
      </c>
      <c r="M70" t="s">
        <v>244</v>
      </c>
      <c r="N70" t="s">
        <v>245</v>
      </c>
    </row>
    <row r="71" spans="1:18" x14ac:dyDescent="0.35">
      <c r="A71" t="s">
        <v>537</v>
      </c>
      <c r="B71" s="13">
        <v>719</v>
      </c>
      <c r="C71" s="7" t="s">
        <v>849</v>
      </c>
      <c r="G71" t="s">
        <v>838</v>
      </c>
      <c r="H71" t="s">
        <v>538</v>
      </c>
      <c r="I71" t="s">
        <v>737</v>
      </c>
      <c r="K71" t="s">
        <v>802</v>
      </c>
      <c r="L71" s="7" t="s">
        <v>784</v>
      </c>
      <c r="M71" t="s">
        <v>538</v>
      </c>
      <c r="N71" t="s">
        <v>539</v>
      </c>
    </row>
    <row r="72" spans="1:18" x14ac:dyDescent="0.35">
      <c r="A72" t="s">
        <v>542</v>
      </c>
      <c r="B72" s="13">
        <v>720</v>
      </c>
      <c r="C72" s="7" t="s">
        <v>850</v>
      </c>
      <c r="G72" t="s">
        <v>838</v>
      </c>
      <c r="H72" t="s">
        <v>543</v>
      </c>
      <c r="I72" t="s">
        <v>737</v>
      </c>
      <c r="K72" t="s">
        <v>802</v>
      </c>
      <c r="L72" s="7" t="s">
        <v>784</v>
      </c>
      <c r="M72" t="s">
        <v>543</v>
      </c>
      <c r="N72" t="s">
        <v>539</v>
      </c>
    </row>
    <row r="73" spans="1:18" x14ac:dyDescent="0.35">
      <c r="A73" t="s">
        <v>246</v>
      </c>
      <c r="B73" s="13">
        <v>721</v>
      </c>
      <c r="C73" s="7" t="s">
        <v>735</v>
      </c>
      <c r="G73" t="s">
        <v>836</v>
      </c>
      <c r="H73" t="s">
        <v>247</v>
      </c>
      <c r="I73" t="s">
        <v>248</v>
      </c>
      <c r="K73" t="s">
        <v>795</v>
      </c>
      <c r="L73" s="7" t="s">
        <v>786</v>
      </c>
      <c r="M73" t="s">
        <v>249</v>
      </c>
    </row>
    <row r="74" spans="1:18" x14ac:dyDescent="0.35">
      <c r="A74" t="s">
        <v>250</v>
      </c>
      <c r="B74" s="13">
        <v>722</v>
      </c>
      <c r="C74" s="7" t="s">
        <v>851</v>
      </c>
      <c r="G74" t="s">
        <v>838</v>
      </c>
      <c r="H74" t="s">
        <v>251</v>
      </c>
      <c r="I74" t="s">
        <v>193</v>
      </c>
      <c r="L74" s="7" t="s">
        <v>784</v>
      </c>
      <c r="M74" t="s">
        <v>252</v>
      </c>
      <c r="N74" t="s">
        <v>253</v>
      </c>
    </row>
    <row r="75" spans="1:18" x14ac:dyDescent="0.35">
      <c r="A75" t="s">
        <v>544</v>
      </c>
      <c r="B75" s="13">
        <v>723</v>
      </c>
      <c r="C75" s="7" t="s">
        <v>852</v>
      </c>
      <c r="G75" t="s">
        <v>838</v>
      </c>
      <c r="H75" t="s">
        <v>545</v>
      </c>
      <c r="I75" t="s">
        <v>737</v>
      </c>
      <c r="K75" t="s">
        <v>802</v>
      </c>
      <c r="L75" s="7" t="s">
        <v>784</v>
      </c>
      <c r="M75" t="s">
        <v>545</v>
      </c>
      <c r="N75" t="s">
        <v>539</v>
      </c>
    </row>
    <row r="76" spans="1:18" x14ac:dyDescent="0.35">
      <c r="A76" t="s">
        <v>670</v>
      </c>
      <c r="B76" s="13">
        <v>724</v>
      </c>
      <c r="C76" s="7" t="s">
        <v>736</v>
      </c>
      <c r="G76" t="s">
        <v>839</v>
      </c>
      <c r="H76" t="s">
        <v>671</v>
      </c>
      <c r="I76" t="s">
        <v>707</v>
      </c>
      <c r="K76" t="s">
        <v>814</v>
      </c>
      <c r="L76" s="7" t="s">
        <v>784</v>
      </c>
      <c r="M76" t="s">
        <v>671</v>
      </c>
      <c r="N76" t="s">
        <v>672</v>
      </c>
    </row>
    <row r="77" spans="1:18" x14ac:dyDescent="0.35">
      <c r="A77" t="s">
        <v>254</v>
      </c>
      <c r="B77" s="13">
        <v>725</v>
      </c>
      <c r="C77" s="7" t="s">
        <v>258</v>
      </c>
      <c r="G77" t="s">
        <v>836</v>
      </c>
      <c r="H77" t="s">
        <v>255</v>
      </c>
      <c r="I77" t="s">
        <v>256</v>
      </c>
      <c r="K77" t="s">
        <v>795</v>
      </c>
      <c r="L77" s="7" t="s">
        <v>786</v>
      </c>
      <c r="M77" t="s">
        <v>257</v>
      </c>
      <c r="N77" t="s">
        <v>258</v>
      </c>
    </row>
    <row r="78" spans="1:18" x14ac:dyDescent="0.35">
      <c r="A78" t="s">
        <v>610</v>
      </c>
      <c r="B78" s="13">
        <v>726</v>
      </c>
      <c r="C78" s="7" t="s">
        <v>853</v>
      </c>
      <c r="G78" t="s">
        <v>836</v>
      </c>
      <c r="H78" t="s">
        <v>611</v>
      </c>
      <c r="I78" t="s">
        <v>612</v>
      </c>
      <c r="K78" t="s">
        <v>792</v>
      </c>
      <c r="L78" s="7" t="s">
        <v>793</v>
      </c>
      <c r="M78" t="s">
        <v>611</v>
      </c>
      <c r="N78" t="s">
        <v>612</v>
      </c>
    </row>
    <row r="79" spans="1:18" x14ac:dyDescent="0.35">
      <c r="A79" t="s">
        <v>259</v>
      </c>
      <c r="B79" s="13">
        <v>727</v>
      </c>
      <c r="C79" s="7" t="s">
        <v>738</v>
      </c>
      <c r="G79" t="s">
        <v>836</v>
      </c>
      <c r="H79" t="s">
        <v>260</v>
      </c>
      <c r="I79" t="s">
        <v>261</v>
      </c>
      <c r="J79" t="s">
        <v>262</v>
      </c>
      <c r="K79" t="s">
        <v>795</v>
      </c>
      <c r="L79" s="7" t="s">
        <v>786</v>
      </c>
      <c r="M79" t="s">
        <v>263</v>
      </c>
      <c r="N79" t="s">
        <v>264</v>
      </c>
    </row>
    <row r="80" spans="1:18" x14ac:dyDescent="0.35">
      <c r="A80" t="s">
        <v>265</v>
      </c>
      <c r="B80" s="13">
        <v>728</v>
      </c>
      <c r="C80" s="7" t="s">
        <v>269</v>
      </c>
      <c r="G80" t="s">
        <v>838</v>
      </c>
      <c r="H80" t="s">
        <v>266</v>
      </c>
      <c r="I80" t="s">
        <v>267</v>
      </c>
      <c r="L80" s="7" t="s">
        <v>784</v>
      </c>
      <c r="M80" t="s">
        <v>268</v>
      </c>
      <c r="N80" t="s">
        <v>269</v>
      </c>
    </row>
    <row r="81" spans="1:18" x14ac:dyDescent="0.35">
      <c r="A81" t="s">
        <v>522</v>
      </c>
      <c r="B81" s="13">
        <v>729</v>
      </c>
      <c r="C81" s="7" t="s">
        <v>713</v>
      </c>
      <c r="F81" s="4" t="s">
        <v>524</v>
      </c>
      <c r="G81" t="s">
        <v>837</v>
      </c>
      <c r="H81" t="s">
        <v>523</v>
      </c>
      <c r="I81" s="7" t="s">
        <v>822</v>
      </c>
      <c r="L81" s="7" t="s">
        <v>787</v>
      </c>
      <c r="M81" t="s">
        <v>523</v>
      </c>
      <c r="N81" t="s">
        <v>524</v>
      </c>
    </row>
    <row r="82" spans="1:18" x14ac:dyDescent="0.35">
      <c r="A82" t="s">
        <v>270</v>
      </c>
      <c r="B82" s="13">
        <v>730</v>
      </c>
      <c r="C82" s="7" t="s">
        <v>740</v>
      </c>
      <c r="G82" t="s">
        <v>837</v>
      </c>
      <c r="H82" t="s">
        <v>271</v>
      </c>
      <c r="I82" t="s">
        <v>272</v>
      </c>
      <c r="L82" s="7" t="s">
        <v>784</v>
      </c>
      <c r="M82" t="s">
        <v>273</v>
      </c>
    </row>
    <row r="83" spans="1:18" x14ac:dyDescent="0.35">
      <c r="A83" t="s">
        <v>540</v>
      </c>
      <c r="B83" s="13">
        <v>731</v>
      </c>
      <c r="C83" s="7" t="s">
        <v>854</v>
      </c>
      <c r="G83" t="s">
        <v>838</v>
      </c>
      <c r="H83" t="s">
        <v>541</v>
      </c>
      <c r="I83" t="s">
        <v>737</v>
      </c>
      <c r="K83" t="s">
        <v>802</v>
      </c>
      <c r="L83" s="7" t="s">
        <v>784</v>
      </c>
      <c r="M83" t="s">
        <v>541</v>
      </c>
      <c r="N83" t="s">
        <v>539</v>
      </c>
    </row>
    <row r="84" spans="1:18" x14ac:dyDescent="0.35">
      <c r="A84" t="s">
        <v>546</v>
      </c>
      <c r="B84" s="13">
        <v>732</v>
      </c>
      <c r="C84" s="7" t="s">
        <v>855</v>
      </c>
      <c r="G84" t="s">
        <v>838</v>
      </c>
      <c r="H84" t="s">
        <v>547</v>
      </c>
      <c r="I84" t="s">
        <v>737</v>
      </c>
      <c r="K84" t="s">
        <v>802</v>
      </c>
      <c r="L84" s="7" t="s">
        <v>784</v>
      </c>
      <c r="M84" t="s">
        <v>547</v>
      </c>
      <c r="N84" t="s">
        <v>539</v>
      </c>
    </row>
    <row r="85" spans="1:18" x14ac:dyDescent="0.35">
      <c r="A85" t="s">
        <v>274</v>
      </c>
      <c r="B85" s="13">
        <v>733</v>
      </c>
      <c r="C85" s="7" t="s">
        <v>746</v>
      </c>
      <c r="G85" t="s">
        <v>839</v>
      </c>
      <c r="H85" t="s">
        <v>275</v>
      </c>
      <c r="I85" t="s">
        <v>276</v>
      </c>
      <c r="J85" t="s">
        <v>277</v>
      </c>
      <c r="K85" t="s">
        <v>796</v>
      </c>
      <c r="L85" s="7" t="s">
        <v>784</v>
      </c>
      <c r="M85" t="s">
        <v>278</v>
      </c>
      <c r="N85" t="s">
        <v>279</v>
      </c>
    </row>
    <row r="86" spans="1:18" x14ac:dyDescent="0.35">
      <c r="A86" t="s">
        <v>280</v>
      </c>
      <c r="B86" s="13">
        <v>734</v>
      </c>
      <c r="C86" s="7" t="s">
        <v>747</v>
      </c>
      <c r="G86" t="s">
        <v>839</v>
      </c>
      <c r="H86" t="s">
        <v>281</v>
      </c>
      <c r="I86" t="s">
        <v>276</v>
      </c>
      <c r="J86" t="s">
        <v>282</v>
      </c>
      <c r="K86" t="s">
        <v>795</v>
      </c>
      <c r="L86" s="7" t="s">
        <v>786</v>
      </c>
      <c r="M86" t="s">
        <v>283</v>
      </c>
      <c r="N86" t="s">
        <v>284</v>
      </c>
    </row>
    <row r="87" spans="1:18" x14ac:dyDescent="0.35">
      <c r="A87" t="s">
        <v>635</v>
      </c>
      <c r="B87" s="13">
        <v>735</v>
      </c>
      <c r="C87" s="7" t="s">
        <v>741</v>
      </c>
      <c r="G87" t="s">
        <v>838</v>
      </c>
      <c r="H87" t="s">
        <v>636</v>
      </c>
      <c r="I87" t="s">
        <v>637</v>
      </c>
      <c r="L87" s="7" t="s">
        <v>784</v>
      </c>
      <c r="M87" t="s">
        <v>636</v>
      </c>
      <c r="N87" t="s">
        <v>637</v>
      </c>
    </row>
    <row r="88" spans="1:18" x14ac:dyDescent="0.35">
      <c r="A88" t="s">
        <v>285</v>
      </c>
      <c r="B88" s="13">
        <v>736</v>
      </c>
      <c r="C88" s="7" t="s">
        <v>739</v>
      </c>
      <c r="G88" t="s">
        <v>837</v>
      </c>
      <c r="H88" t="s">
        <v>701</v>
      </c>
      <c r="I88" t="s">
        <v>699</v>
      </c>
      <c r="L88" s="7" t="s">
        <v>799</v>
      </c>
      <c r="M88" t="s">
        <v>287</v>
      </c>
      <c r="N88" t="s">
        <v>288</v>
      </c>
      <c r="O88" t="s">
        <v>286</v>
      </c>
    </row>
    <row r="89" spans="1:18" x14ac:dyDescent="0.35">
      <c r="A89" t="s">
        <v>289</v>
      </c>
      <c r="B89" s="13">
        <v>737</v>
      </c>
      <c r="C89" s="7" t="s">
        <v>290</v>
      </c>
      <c r="G89" t="s">
        <v>839</v>
      </c>
      <c r="H89" t="s">
        <v>702</v>
      </c>
      <c r="I89" t="s">
        <v>702</v>
      </c>
      <c r="L89" s="7" t="s">
        <v>800</v>
      </c>
      <c r="M89" t="s">
        <v>290</v>
      </c>
      <c r="N89" t="s">
        <v>290</v>
      </c>
      <c r="O89" t="s">
        <v>291</v>
      </c>
    </row>
    <row r="90" spans="1:18" x14ac:dyDescent="0.35">
      <c r="A90" t="s">
        <v>686</v>
      </c>
      <c r="B90" s="13">
        <v>738</v>
      </c>
      <c r="C90" s="7" t="s">
        <v>750</v>
      </c>
      <c r="G90" t="s">
        <v>836</v>
      </c>
      <c r="H90" t="s">
        <v>687</v>
      </c>
      <c r="I90" t="s">
        <v>751</v>
      </c>
      <c r="K90" t="s">
        <v>795</v>
      </c>
      <c r="L90" s="7" t="s">
        <v>793</v>
      </c>
      <c r="M90" t="s">
        <v>687</v>
      </c>
      <c r="N90" t="s">
        <v>688</v>
      </c>
    </row>
    <row r="91" spans="1:18" x14ac:dyDescent="0.35">
      <c r="A91" t="s">
        <v>602</v>
      </c>
      <c r="B91" s="13">
        <v>739</v>
      </c>
      <c r="C91" s="7" t="s">
        <v>749</v>
      </c>
      <c r="G91" t="s">
        <v>837</v>
      </c>
      <c r="H91" t="s">
        <v>603</v>
      </c>
      <c r="I91" t="s">
        <v>603</v>
      </c>
      <c r="L91" s="7" t="s">
        <v>788</v>
      </c>
      <c r="M91" t="s">
        <v>604</v>
      </c>
      <c r="N91" t="s">
        <v>603</v>
      </c>
    </row>
    <row r="92" spans="1:18" x14ac:dyDescent="0.35">
      <c r="A92" t="s">
        <v>548</v>
      </c>
      <c r="B92" s="13">
        <v>740</v>
      </c>
      <c r="C92" s="7" t="s">
        <v>856</v>
      </c>
      <c r="G92" t="s">
        <v>838</v>
      </c>
      <c r="H92" t="s">
        <v>549</v>
      </c>
      <c r="I92" t="s">
        <v>737</v>
      </c>
      <c r="K92" t="s">
        <v>802</v>
      </c>
      <c r="L92" s="7" t="s">
        <v>784</v>
      </c>
      <c r="M92" t="s">
        <v>549</v>
      </c>
      <c r="N92" t="s">
        <v>539</v>
      </c>
    </row>
    <row r="93" spans="1:18" x14ac:dyDescent="0.35">
      <c r="A93" t="s">
        <v>292</v>
      </c>
      <c r="B93" s="13">
        <v>741</v>
      </c>
      <c r="C93" s="7" t="s">
        <v>752</v>
      </c>
      <c r="G93" t="s">
        <v>836</v>
      </c>
      <c r="H93" t="s">
        <v>293</v>
      </c>
      <c r="I93" t="s">
        <v>294</v>
      </c>
      <c r="L93" s="7" t="s">
        <v>785</v>
      </c>
      <c r="M93" t="s">
        <v>295</v>
      </c>
      <c r="N93" t="s">
        <v>295</v>
      </c>
      <c r="O93" t="s">
        <v>296</v>
      </c>
    </row>
    <row r="94" spans="1:18" x14ac:dyDescent="0.35">
      <c r="A94" t="s">
        <v>297</v>
      </c>
      <c r="B94" s="13">
        <v>742</v>
      </c>
      <c r="C94" s="7" t="s">
        <v>748</v>
      </c>
      <c r="G94" t="s">
        <v>836</v>
      </c>
      <c r="H94" t="s">
        <v>298</v>
      </c>
      <c r="I94" t="s">
        <v>299</v>
      </c>
      <c r="J94" t="s">
        <v>300</v>
      </c>
      <c r="K94" t="s">
        <v>795</v>
      </c>
      <c r="L94" s="7" t="s">
        <v>786</v>
      </c>
      <c r="M94" t="s">
        <v>301</v>
      </c>
    </row>
    <row r="95" spans="1:18" x14ac:dyDescent="0.35">
      <c r="A95" t="s">
        <v>302</v>
      </c>
      <c r="B95" s="13">
        <v>743</v>
      </c>
      <c r="C95" s="7" t="s">
        <v>306</v>
      </c>
      <c r="D95" s="5"/>
      <c r="G95" t="s">
        <v>836</v>
      </c>
      <c r="H95" t="s">
        <v>303</v>
      </c>
      <c r="I95" t="s">
        <v>304</v>
      </c>
      <c r="K95" t="s">
        <v>795</v>
      </c>
      <c r="L95" s="7" t="s">
        <v>786</v>
      </c>
      <c r="M95" t="s">
        <v>305</v>
      </c>
      <c r="N95" t="s">
        <v>306</v>
      </c>
    </row>
    <row r="96" spans="1:18" s="5" customFormat="1" x14ac:dyDescent="0.35">
      <c r="A96" t="s">
        <v>307</v>
      </c>
      <c r="B96" s="13">
        <v>744</v>
      </c>
      <c r="C96" s="7" t="s">
        <v>310</v>
      </c>
      <c r="D96" s="4"/>
      <c r="E96" s="6"/>
      <c r="F96" s="4"/>
      <c r="G96" t="s">
        <v>836</v>
      </c>
      <c r="H96" t="s">
        <v>308</v>
      </c>
      <c r="I96" t="s">
        <v>309</v>
      </c>
      <c r="J96"/>
      <c r="K96" t="s">
        <v>795</v>
      </c>
      <c r="L96" s="7" t="s">
        <v>786</v>
      </c>
      <c r="M96" t="s">
        <v>310</v>
      </c>
      <c r="N96" t="s">
        <v>311</v>
      </c>
      <c r="O96"/>
      <c r="P96"/>
      <c r="Q96"/>
      <c r="R96"/>
    </row>
    <row r="97" spans="1:15" x14ac:dyDescent="0.35">
      <c r="A97" t="s">
        <v>683</v>
      </c>
      <c r="B97" s="13">
        <v>745</v>
      </c>
      <c r="C97" s="7" t="s">
        <v>742</v>
      </c>
      <c r="G97" t="s">
        <v>837</v>
      </c>
      <c r="H97" t="s">
        <v>684</v>
      </c>
      <c r="I97" t="s">
        <v>685</v>
      </c>
      <c r="L97" s="7" t="s">
        <v>784</v>
      </c>
      <c r="M97" t="s">
        <v>684</v>
      </c>
      <c r="N97" t="s">
        <v>685</v>
      </c>
    </row>
    <row r="98" spans="1:15" x14ac:dyDescent="0.35">
      <c r="A98" t="s">
        <v>312</v>
      </c>
      <c r="B98" s="13">
        <v>746</v>
      </c>
      <c r="C98" s="7" t="s">
        <v>317</v>
      </c>
      <c r="G98" t="s">
        <v>836</v>
      </c>
      <c r="H98" t="s">
        <v>313</v>
      </c>
      <c r="I98" t="s">
        <v>314</v>
      </c>
      <c r="K98" t="s">
        <v>795</v>
      </c>
      <c r="L98" s="7" t="s">
        <v>786</v>
      </c>
      <c r="M98" t="s">
        <v>315</v>
      </c>
      <c r="N98" t="s">
        <v>316</v>
      </c>
      <c r="O98" t="s">
        <v>317</v>
      </c>
    </row>
    <row r="99" spans="1:15" x14ac:dyDescent="0.35">
      <c r="A99" t="s">
        <v>576</v>
      </c>
      <c r="B99" s="13">
        <v>747</v>
      </c>
      <c r="C99" s="7" t="s">
        <v>743</v>
      </c>
      <c r="G99" t="s">
        <v>838</v>
      </c>
      <c r="H99" t="s">
        <v>577</v>
      </c>
      <c r="I99" t="s">
        <v>578</v>
      </c>
      <c r="L99" s="7" t="s">
        <v>784</v>
      </c>
      <c r="M99" t="s">
        <v>577</v>
      </c>
      <c r="N99" t="s">
        <v>578</v>
      </c>
    </row>
    <row r="100" spans="1:15" x14ac:dyDescent="0.35">
      <c r="A100" t="s">
        <v>318</v>
      </c>
      <c r="B100" s="13">
        <v>748</v>
      </c>
      <c r="C100" t="s">
        <v>744</v>
      </c>
      <c r="G100" t="s">
        <v>837</v>
      </c>
      <c r="H100" t="s">
        <v>319</v>
      </c>
      <c r="I100" t="s">
        <v>320</v>
      </c>
      <c r="L100" s="7" t="s">
        <v>784</v>
      </c>
      <c r="M100" t="s">
        <v>321</v>
      </c>
    </row>
    <row r="101" spans="1:15" x14ac:dyDescent="0.35">
      <c r="A101" t="s">
        <v>322</v>
      </c>
      <c r="B101" s="13">
        <v>749</v>
      </c>
      <c r="C101" s="7" t="s">
        <v>745</v>
      </c>
      <c r="G101" t="s">
        <v>836</v>
      </c>
      <c r="H101" t="s">
        <v>323</v>
      </c>
      <c r="I101" t="s">
        <v>324</v>
      </c>
      <c r="K101" t="s">
        <v>795</v>
      </c>
      <c r="L101" s="7" t="s">
        <v>786</v>
      </c>
      <c r="M101" t="s">
        <v>325</v>
      </c>
      <c r="N101" t="s">
        <v>326</v>
      </c>
      <c r="O101" t="s">
        <v>327</v>
      </c>
    </row>
    <row r="102" spans="1:15" x14ac:dyDescent="0.35">
      <c r="A102" t="s">
        <v>328</v>
      </c>
      <c r="B102" s="13">
        <v>750</v>
      </c>
      <c r="C102" s="7" t="s">
        <v>332</v>
      </c>
      <c r="G102" t="s">
        <v>837</v>
      </c>
      <c r="H102" t="s">
        <v>329</v>
      </c>
      <c r="I102" t="s">
        <v>330</v>
      </c>
      <c r="L102" s="7" t="s">
        <v>784</v>
      </c>
      <c r="M102" t="s">
        <v>331</v>
      </c>
      <c r="N102" t="s">
        <v>332</v>
      </c>
    </row>
    <row r="103" spans="1:15" x14ac:dyDescent="0.35">
      <c r="A103" t="s">
        <v>333</v>
      </c>
      <c r="B103" s="13">
        <v>751</v>
      </c>
      <c r="C103" s="7" t="s">
        <v>755</v>
      </c>
      <c r="G103" t="s">
        <v>839</v>
      </c>
      <c r="H103" t="s">
        <v>334</v>
      </c>
      <c r="I103" t="s">
        <v>335</v>
      </c>
      <c r="L103" s="7" t="s">
        <v>784</v>
      </c>
      <c r="M103" t="s">
        <v>336</v>
      </c>
      <c r="N103" t="s">
        <v>337</v>
      </c>
    </row>
    <row r="104" spans="1:15" x14ac:dyDescent="0.35">
      <c r="A104" t="s">
        <v>338</v>
      </c>
      <c r="B104" s="13">
        <v>752</v>
      </c>
      <c r="C104" s="7" t="s">
        <v>342</v>
      </c>
      <c r="G104" t="s">
        <v>838</v>
      </c>
      <c r="H104" t="s">
        <v>339</v>
      </c>
      <c r="I104" t="s">
        <v>340</v>
      </c>
      <c r="L104" s="7" t="s">
        <v>784</v>
      </c>
      <c r="M104" t="s">
        <v>341</v>
      </c>
      <c r="N104" t="s">
        <v>342</v>
      </c>
    </row>
    <row r="105" spans="1:15" x14ac:dyDescent="0.35">
      <c r="A105" t="s">
        <v>343</v>
      </c>
      <c r="B105" s="13">
        <v>753</v>
      </c>
      <c r="C105" s="7" t="s">
        <v>347</v>
      </c>
      <c r="G105" t="s">
        <v>839</v>
      </c>
      <c r="H105" t="s">
        <v>344</v>
      </c>
      <c r="I105" t="s">
        <v>345</v>
      </c>
      <c r="L105" s="7" t="s">
        <v>784</v>
      </c>
      <c r="M105" t="s">
        <v>346</v>
      </c>
      <c r="N105" t="s">
        <v>347</v>
      </c>
    </row>
    <row r="106" spans="1:15" x14ac:dyDescent="0.35">
      <c r="A106" t="s">
        <v>348</v>
      </c>
      <c r="B106" s="13">
        <v>754</v>
      </c>
      <c r="C106" s="7" t="s">
        <v>857</v>
      </c>
      <c r="G106" t="s">
        <v>839</v>
      </c>
      <c r="H106" t="s">
        <v>703</v>
      </c>
      <c r="I106" t="s">
        <v>351</v>
      </c>
      <c r="L106" s="7" t="s">
        <v>801</v>
      </c>
      <c r="M106" t="s">
        <v>349</v>
      </c>
      <c r="N106" t="s">
        <v>349</v>
      </c>
      <c r="O106" t="s">
        <v>350</v>
      </c>
    </row>
    <row r="107" spans="1:15" x14ac:dyDescent="0.35">
      <c r="A107" t="s">
        <v>352</v>
      </c>
      <c r="B107" s="13">
        <v>755</v>
      </c>
      <c r="C107" s="7" t="s">
        <v>353</v>
      </c>
      <c r="G107" t="s">
        <v>838</v>
      </c>
      <c r="H107" t="s">
        <v>353</v>
      </c>
      <c r="I107" t="s">
        <v>354</v>
      </c>
      <c r="L107" s="7" t="s">
        <v>803</v>
      </c>
      <c r="M107" t="s">
        <v>355</v>
      </c>
    </row>
    <row r="108" spans="1:15" x14ac:dyDescent="0.35">
      <c r="A108" t="s">
        <v>356</v>
      </c>
      <c r="B108" s="13">
        <v>756</v>
      </c>
      <c r="C108" s="7" t="s">
        <v>359</v>
      </c>
      <c r="G108" t="s">
        <v>838</v>
      </c>
      <c r="H108" t="s">
        <v>357</v>
      </c>
      <c r="I108" t="s">
        <v>704</v>
      </c>
      <c r="L108" s="7" t="s">
        <v>784</v>
      </c>
      <c r="M108" t="s">
        <v>358</v>
      </c>
      <c r="N108" t="s">
        <v>359</v>
      </c>
      <c r="O108" t="s">
        <v>360</v>
      </c>
    </row>
    <row r="109" spans="1:15" x14ac:dyDescent="0.35">
      <c r="A109" t="s">
        <v>361</v>
      </c>
      <c r="B109" s="13">
        <v>757</v>
      </c>
      <c r="C109" s="7" t="s">
        <v>365</v>
      </c>
      <c r="G109" t="str">
        <f>_xlfn.XLOOKUP(FULL_MAP!B109,FULL_MAP!B:B,map!E:E)</f>
        <v>Hematology</v>
      </c>
      <c r="H109" t="s">
        <v>362</v>
      </c>
      <c r="I109" t="s">
        <v>363</v>
      </c>
      <c r="L109" s="7" t="s">
        <v>784</v>
      </c>
      <c r="M109" t="s">
        <v>364</v>
      </c>
      <c r="N109" t="s">
        <v>365</v>
      </c>
      <c r="O109" t="s">
        <v>366</v>
      </c>
    </row>
    <row r="110" spans="1:15" x14ac:dyDescent="0.35">
      <c r="A110" t="s">
        <v>525</v>
      </c>
      <c r="B110" s="13">
        <v>758</v>
      </c>
      <c r="C110" t="s">
        <v>756</v>
      </c>
      <c r="G110" t="s">
        <v>837</v>
      </c>
      <c r="H110" t="s">
        <v>526</v>
      </c>
      <c r="I110" t="s">
        <v>527</v>
      </c>
      <c r="L110" s="7" t="s">
        <v>784</v>
      </c>
      <c r="M110" t="s">
        <v>526</v>
      </c>
      <c r="N110" t="s">
        <v>527</v>
      </c>
    </row>
    <row r="111" spans="1:15" x14ac:dyDescent="0.35">
      <c r="A111" t="s">
        <v>367</v>
      </c>
      <c r="B111" s="13">
        <v>759</v>
      </c>
      <c r="C111" s="7" t="s">
        <v>757</v>
      </c>
      <c r="G111" t="s">
        <v>838</v>
      </c>
      <c r="H111" t="s">
        <v>368</v>
      </c>
      <c r="I111" t="s">
        <v>369</v>
      </c>
      <c r="L111" s="7" t="s">
        <v>784</v>
      </c>
      <c r="M111" t="s">
        <v>370</v>
      </c>
    </row>
    <row r="112" spans="1:15" x14ac:dyDescent="0.35">
      <c r="A112" t="s">
        <v>648</v>
      </c>
      <c r="B112" s="13">
        <v>760</v>
      </c>
      <c r="C112" s="7" t="s">
        <v>753</v>
      </c>
      <c r="G112" t="s">
        <v>838</v>
      </c>
      <c r="H112" t="s">
        <v>649</v>
      </c>
      <c r="I112" t="s">
        <v>373</v>
      </c>
      <c r="L112" s="7" t="s">
        <v>784</v>
      </c>
      <c r="M112" t="s">
        <v>649</v>
      </c>
      <c r="N112" t="s">
        <v>374</v>
      </c>
    </row>
    <row r="113" spans="1:16" x14ac:dyDescent="0.35">
      <c r="A113" t="s">
        <v>371</v>
      </c>
      <c r="B113" s="13">
        <v>761</v>
      </c>
      <c r="C113" s="7" t="s">
        <v>754</v>
      </c>
      <c r="G113" t="s">
        <v>838</v>
      </c>
      <c r="H113" t="s">
        <v>372</v>
      </c>
      <c r="I113" t="s">
        <v>373</v>
      </c>
      <c r="L113" s="7" t="s">
        <v>784</v>
      </c>
      <c r="M113" t="s">
        <v>374</v>
      </c>
      <c r="N113" t="s">
        <v>375</v>
      </c>
      <c r="O113" t="s">
        <v>376</v>
      </c>
    </row>
    <row r="114" spans="1:16" x14ac:dyDescent="0.35">
      <c r="A114" t="s">
        <v>377</v>
      </c>
      <c r="B114" s="13">
        <v>762</v>
      </c>
      <c r="C114" s="7" t="s">
        <v>759</v>
      </c>
      <c r="G114" t="s">
        <v>839</v>
      </c>
      <c r="H114" t="s">
        <v>378</v>
      </c>
      <c r="I114" t="s">
        <v>299</v>
      </c>
      <c r="J114" t="s">
        <v>379</v>
      </c>
      <c r="K114" t="s">
        <v>796</v>
      </c>
      <c r="L114" s="7" t="s">
        <v>784</v>
      </c>
      <c r="M114" t="s">
        <v>380</v>
      </c>
      <c r="N114" t="s">
        <v>381</v>
      </c>
    </row>
    <row r="115" spans="1:16" x14ac:dyDescent="0.35">
      <c r="A115" t="s">
        <v>382</v>
      </c>
      <c r="B115" s="13">
        <v>763</v>
      </c>
      <c r="C115" s="7" t="s">
        <v>385</v>
      </c>
      <c r="G115" t="s">
        <v>837</v>
      </c>
      <c r="H115" t="s">
        <v>383</v>
      </c>
      <c r="I115" t="s">
        <v>384</v>
      </c>
      <c r="L115" s="7" t="s">
        <v>784</v>
      </c>
      <c r="M115" t="s">
        <v>385</v>
      </c>
      <c r="N115" t="s">
        <v>386</v>
      </c>
    </row>
    <row r="116" spans="1:16" x14ac:dyDescent="0.35">
      <c r="A116" t="s">
        <v>387</v>
      </c>
      <c r="B116" s="13">
        <v>764</v>
      </c>
      <c r="C116" s="7" t="s">
        <v>391</v>
      </c>
      <c r="G116" t="s">
        <v>837</v>
      </c>
      <c r="H116" t="s">
        <v>388</v>
      </c>
      <c r="I116" t="s">
        <v>389</v>
      </c>
      <c r="L116" s="7" t="s">
        <v>784</v>
      </c>
      <c r="M116" t="s">
        <v>390</v>
      </c>
      <c r="N116" t="s">
        <v>391</v>
      </c>
    </row>
    <row r="117" spans="1:16" x14ac:dyDescent="0.35">
      <c r="A117" t="s">
        <v>617</v>
      </c>
      <c r="B117" s="13">
        <v>765</v>
      </c>
      <c r="C117" s="7" t="s">
        <v>760</v>
      </c>
      <c r="G117" t="s">
        <v>838</v>
      </c>
      <c r="H117" t="s">
        <v>618</v>
      </c>
      <c r="I117" t="s">
        <v>818</v>
      </c>
      <c r="L117" s="7" t="s">
        <v>784</v>
      </c>
      <c r="M117" t="s">
        <v>618</v>
      </c>
      <c r="N117" t="s">
        <v>619</v>
      </c>
      <c r="O117" t="s">
        <v>620</v>
      </c>
    </row>
    <row r="118" spans="1:16" x14ac:dyDescent="0.35">
      <c r="A118" t="s">
        <v>392</v>
      </c>
      <c r="B118" s="13">
        <v>766</v>
      </c>
      <c r="C118" s="7" t="s">
        <v>396</v>
      </c>
      <c r="G118" t="s">
        <v>838</v>
      </c>
      <c r="H118" t="s">
        <v>393</v>
      </c>
      <c r="I118" t="s">
        <v>394</v>
      </c>
      <c r="K118" t="s">
        <v>796</v>
      </c>
      <c r="L118" s="7" t="s">
        <v>784</v>
      </c>
      <c r="M118" t="s">
        <v>395</v>
      </c>
      <c r="N118" t="s">
        <v>396</v>
      </c>
      <c r="O118" t="s">
        <v>397</v>
      </c>
    </row>
    <row r="119" spans="1:16" x14ac:dyDescent="0.35">
      <c r="A119" t="s">
        <v>398</v>
      </c>
      <c r="B119" s="13">
        <v>767</v>
      </c>
      <c r="C119" s="7" t="s">
        <v>810</v>
      </c>
      <c r="G119" t="s">
        <v>836</v>
      </c>
      <c r="H119" t="s">
        <v>399</v>
      </c>
      <c r="I119" t="s">
        <v>400</v>
      </c>
      <c r="K119" t="s">
        <v>795</v>
      </c>
      <c r="L119" s="7" t="s">
        <v>786</v>
      </c>
      <c r="M119" t="s">
        <v>401</v>
      </c>
      <c r="N119" t="s">
        <v>402</v>
      </c>
      <c r="O119" t="s">
        <v>403</v>
      </c>
      <c r="P119" t="s">
        <v>404</v>
      </c>
    </row>
    <row r="120" spans="1:16" x14ac:dyDescent="0.35">
      <c r="A120" t="s">
        <v>638</v>
      </c>
      <c r="B120" s="13">
        <v>768</v>
      </c>
      <c r="C120" s="7" t="s">
        <v>758</v>
      </c>
      <c r="G120" t="s">
        <v>838</v>
      </c>
      <c r="H120" t="s">
        <v>639</v>
      </c>
      <c r="I120" t="s">
        <v>637</v>
      </c>
      <c r="J120" t="s">
        <v>640</v>
      </c>
      <c r="L120" s="7" t="s">
        <v>784</v>
      </c>
      <c r="M120" t="s">
        <v>639</v>
      </c>
      <c r="N120" t="s">
        <v>640</v>
      </c>
    </row>
    <row r="121" spans="1:16" x14ac:dyDescent="0.35">
      <c r="A121" t="s">
        <v>405</v>
      </c>
      <c r="B121" s="13">
        <v>769</v>
      </c>
      <c r="C121" s="7" t="s">
        <v>766</v>
      </c>
      <c r="G121" t="s">
        <v>838</v>
      </c>
      <c r="H121" t="s">
        <v>406</v>
      </c>
      <c r="I121" t="s">
        <v>407</v>
      </c>
      <c r="L121" s="7" t="s">
        <v>784</v>
      </c>
      <c r="M121" t="s">
        <v>408</v>
      </c>
      <c r="N121" t="s">
        <v>409</v>
      </c>
    </row>
    <row r="122" spans="1:16" x14ac:dyDescent="0.35">
      <c r="A122" t="s">
        <v>410</v>
      </c>
      <c r="B122" s="13">
        <v>770</v>
      </c>
      <c r="C122" s="7" t="s">
        <v>412</v>
      </c>
      <c r="G122" t="s">
        <v>838</v>
      </c>
      <c r="H122" t="s">
        <v>14</v>
      </c>
      <c r="I122" t="s">
        <v>411</v>
      </c>
      <c r="L122" s="7" t="s">
        <v>784</v>
      </c>
      <c r="M122" t="s">
        <v>18</v>
      </c>
      <c r="N122" t="s">
        <v>412</v>
      </c>
    </row>
    <row r="123" spans="1:16" x14ac:dyDescent="0.35">
      <c r="A123" t="s">
        <v>413</v>
      </c>
      <c r="B123" s="13">
        <v>771</v>
      </c>
      <c r="C123" s="7" t="s">
        <v>881</v>
      </c>
      <c r="G123" t="s">
        <v>838</v>
      </c>
      <c r="H123" t="s">
        <v>414</v>
      </c>
      <c r="I123" t="s">
        <v>415</v>
      </c>
      <c r="K123" t="s">
        <v>796</v>
      </c>
      <c r="L123" s="7" t="s">
        <v>784</v>
      </c>
      <c r="M123" t="s">
        <v>416</v>
      </c>
      <c r="N123" t="s">
        <v>417</v>
      </c>
      <c r="O123" t="s">
        <v>418</v>
      </c>
    </row>
    <row r="124" spans="1:16" x14ac:dyDescent="0.35">
      <c r="A124" t="s">
        <v>550</v>
      </c>
      <c r="B124" s="13">
        <v>772</v>
      </c>
      <c r="C124" s="7" t="s">
        <v>762</v>
      </c>
      <c r="G124" t="s">
        <v>836</v>
      </c>
      <c r="H124" t="s">
        <v>551</v>
      </c>
      <c r="I124" t="s">
        <v>552</v>
      </c>
      <c r="L124" s="7" t="s">
        <v>793</v>
      </c>
      <c r="M124" t="s">
        <v>551</v>
      </c>
      <c r="N124" t="s">
        <v>552</v>
      </c>
    </row>
    <row r="125" spans="1:16" x14ac:dyDescent="0.35">
      <c r="A125" t="s">
        <v>419</v>
      </c>
      <c r="B125" s="13">
        <v>773</v>
      </c>
      <c r="C125" s="7" t="s">
        <v>423</v>
      </c>
      <c r="G125" t="s">
        <v>838</v>
      </c>
      <c r="H125" t="s">
        <v>420</v>
      </c>
      <c r="I125" t="s">
        <v>421</v>
      </c>
      <c r="K125" t="s">
        <v>796</v>
      </c>
      <c r="L125" s="7" t="s">
        <v>784</v>
      </c>
      <c r="M125" t="s">
        <v>422</v>
      </c>
      <c r="N125" t="s">
        <v>423</v>
      </c>
    </row>
    <row r="126" spans="1:16" x14ac:dyDescent="0.35">
      <c r="A126" t="s">
        <v>645</v>
      </c>
      <c r="B126" s="13">
        <v>774</v>
      </c>
      <c r="C126" s="7" t="s">
        <v>767</v>
      </c>
      <c r="G126" t="s">
        <v>838</v>
      </c>
      <c r="H126" t="s">
        <v>646</v>
      </c>
      <c r="I126" t="s">
        <v>821</v>
      </c>
      <c r="L126" s="7" t="s">
        <v>804</v>
      </c>
      <c r="M126" t="s">
        <v>646</v>
      </c>
      <c r="N126" t="s">
        <v>647</v>
      </c>
    </row>
    <row r="127" spans="1:16" x14ac:dyDescent="0.35">
      <c r="A127" t="s">
        <v>424</v>
      </c>
      <c r="B127" s="13">
        <v>775</v>
      </c>
      <c r="C127" s="7" t="s">
        <v>763</v>
      </c>
      <c r="G127" t="s">
        <v>838</v>
      </c>
      <c r="H127" t="s">
        <v>425</v>
      </c>
      <c r="I127" t="s">
        <v>426</v>
      </c>
      <c r="K127" t="s">
        <v>796</v>
      </c>
      <c r="L127" s="7" t="s">
        <v>784</v>
      </c>
      <c r="M127" t="s">
        <v>427</v>
      </c>
      <c r="N127" t="s">
        <v>428</v>
      </c>
      <c r="O127" t="s">
        <v>429</v>
      </c>
    </row>
    <row r="128" spans="1:16" x14ac:dyDescent="0.35">
      <c r="A128" t="s">
        <v>430</v>
      </c>
      <c r="B128" s="13">
        <v>776</v>
      </c>
      <c r="C128" s="7" t="s">
        <v>435</v>
      </c>
      <c r="G128" t="s">
        <v>836</v>
      </c>
      <c r="H128" t="s">
        <v>431</v>
      </c>
      <c r="I128" t="s">
        <v>432</v>
      </c>
      <c r="K128" t="s">
        <v>796</v>
      </c>
      <c r="L128" s="7" t="s">
        <v>784</v>
      </c>
      <c r="M128" t="s">
        <v>433</v>
      </c>
      <c r="N128" t="s">
        <v>434</v>
      </c>
      <c r="O128" t="s">
        <v>435</v>
      </c>
    </row>
    <row r="129" spans="1:17" x14ac:dyDescent="0.35">
      <c r="A129" t="s">
        <v>613</v>
      </c>
      <c r="B129" s="13">
        <v>777</v>
      </c>
      <c r="C129" s="7" t="s">
        <v>761</v>
      </c>
      <c r="G129" t="s">
        <v>838</v>
      </c>
      <c r="H129" t="s">
        <v>614</v>
      </c>
      <c r="I129" t="s">
        <v>820</v>
      </c>
      <c r="L129" s="7" t="s">
        <v>784</v>
      </c>
      <c r="M129" t="s">
        <v>614</v>
      </c>
      <c r="N129" t="s">
        <v>615</v>
      </c>
      <c r="O129" t="s">
        <v>616</v>
      </c>
    </row>
    <row r="130" spans="1:17" x14ac:dyDescent="0.35">
      <c r="A130" t="s">
        <v>436</v>
      </c>
      <c r="B130" s="13">
        <v>778</v>
      </c>
      <c r="C130" s="7" t="s">
        <v>440</v>
      </c>
      <c r="G130" t="s">
        <v>839</v>
      </c>
      <c r="H130" t="s">
        <v>437</v>
      </c>
      <c r="I130" t="s">
        <v>438</v>
      </c>
      <c r="L130" s="7" t="s">
        <v>784</v>
      </c>
      <c r="M130" t="s">
        <v>439</v>
      </c>
      <c r="N130" t="s">
        <v>440</v>
      </c>
    </row>
    <row r="131" spans="1:17" x14ac:dyDescent="0.35">
      <c r="A131" t="s">
        <v>441</v>
      </c>
      <c r="B131" s="13">
        <v>779</v>
      </c>
      <c r="C131" s="7" t="s">
        <v>764</v>
      </c>
      <c r="G131" t="s">
        <v>838</v>
      </c>
      <c r="H131" t="s">
        <v>442</v>
      </c>
      <c r="I131" t="s">
        <v>443</v>
      </c>
      <c r="K131" t="s">
        <v>796</v>
      </c>
      <c r="L131" s="7" t="s">
        <v>784</v>
      </c>
      <c r="M131" t="s">
        <v>444</v>
      </c>
      <c r="N131" t="s">
        <v>445</v>
      </c>
      <c r="O131" t="s">
        <v>446</v>
      </c>
    </row>
    <row r="132" spans="1:17" x14ac:dyDescent="0.35">
      <c r="A132" t="s">
        <v>447</v>
      </c>
      <c r="B132" s="13">
        <v>780</v>
      </c>
      <c r="C132" t="s">
        <v>882</v>
      </c>
      <c r="F132" s="4" t="s">
        <v>700</v>
      </c>
      <c r="G132" t="s">
        <v>838</v>
      </c>
      <c r="H132" t="s">
        <v>448</v>
      </c>
      <c r="I132" t="s">
        <v>705</v>
      </c>
      <c r="J132" t="s">
        <v>706</v>
      </c>
      <c r="L132" s="7" t="s">
        <v>789</v>
      </c>
      <c r="M132" t="s">
        <v>448</v>
      </c>
      <c r="N132" t="s">
        <v>449</v>
      </c>
      <c r="O132" t="s">
        <v>450</v>
      </c>
      <c r="P132" t="s">
        <v>451</v>
      </c>
    </row>
    <row r="133" spans="1:17" x14ac:dyDescent="0.35">
      <c r="A133" t="s">
        <v>452</v>
      </c>
      <c r="B133" s="13">
        <v>781</v>
      </c>
      <c r="C133" s="7" t="s">
        <v>457</v>
      </c>
      <c r="G133" t="s">
        <v>839</v>
      </c>
      <c r="H133" t="s">
        <v>453</v>
      </c>
      <c r="I133" t="s">
        <v>454</v>
      </c>
      <c r="K133" t="s">
        <v>796</v>
      </c>
      <c r="L133" s="7" t="s">
        <v>784</v>
      </c>
      <c r="M133" t="s">
        <v>455</v>
      </c>
      <c r="N133" t="s">
        <v>456</v>
      </c>
      <c r="O133" t="s">
        <v>457</v>
      </c>
    </row>
    <row r="134" spans="1:17" x14ac:dyDescent="0.35">
      <c r="A134" t="s">
        <v>458</v>
      </c>
      <c r="B134" s="13">
        <v>782</v>
      </c>
      <c r="C134" s="7" t="s">
        <v>765</v>
      </c>
      <c r="G134" t="s">
        <v>839</v>
      </c>
      <c r="H134" t="s">
        <v>459</v>
      </c>
      <c r="I134" t="s">
        <v>460</v>
      </c>
      <c r="K134" t="s">
        <v>796</v>
      </c>
      <c r="L134" s="7" t="s">
        <v>784</v>
      </c>
      <c r="M134" t="s">
        <v>461</v>
      </c>
      <c r="N134" t="s">
        <v>462</v>
      </c>
      <c r="O134" t="s">
        <v>463</v>
      </c>
    </row>
    <row r="135" spans="1:17" x14ac:dyDescent="0.35">
      <c r="A135" t="s">
        <v>464</v>
      </c>
      <c r="B135" s="13">
        <v>783</v>
      </c>
      <c r="C135" s="7" t="s">
        <v>466</v>
      </c>
      <c r="G135" t="s">
        <v>839</v>
      </c>
      <c r="H135" t="s">
        <v>468</v>
      </c>
      <c r="I135" t="s">
        <v>469</v>
      </c>
      <c r="L135" s="7" t="s">
        <v>805</v>
      </c>
      <c r="M135" t="s">
        <v>465</v>
      </c>
      <c r="N135" t="s">
        <v>466</v>
      </c>
      <c r="O135" t="s">
        <v>467</v>
      </c>
      <c r="P135" t="s">
        <v>468</v>
      </c>
      <c r="Q135" t="s">
        <v>469</v>
      </c>
    </row>
    <row r="136" spans="1:17" x14ac:dyDescent="0.35">
      <c r="A136" t="s">
        <v>656</v>
      </c>
      <c r="B136" s="13">
        <v>784</v>
      </c>
      <c r="C136" s="7" t="s">
        <v>768</v>
      </c>
      <c r="G136" t="s">
        <v>838</v>
      </c>
      <c r="H136" t="s">
        <v>657</v>
      </c>
      <c r="I136" t="s">
        <v>658</v>
      </c>
      <c r="J136" t="s">
        <v>659</v>
      </c>
      <c r="L136" s="7" t="s">
        <v>784</v>
      </c>
      <c r="M136" t="s">
        <v>657</v>
      </c>
      <c r="N136" t="s">
        <v>659</v>
      </c>
    </row>
    <row r="137" spans="1:17" x14ac:dyDescent="0.35">
      <c r="A137" t="s">
        <v>470</v>
      </c>
      <c r="B137" s="13">
        <v>785</v>
      </c>
      <c r="C137" s="7" t="s">
        <v>473</v>
      </c>
      <c r="G137" t="s">
        <v>838</v>
      </c>
      <c r="H137" t="s">
        <v>471</v>
      </c>
      <c r="I137" t="s">
        <v>421</v>
      </c>
      <c r="K137" t="s">
        <v>796</v>
      </c>
      <c r="L137" s="7" t="s">
        <v>784</v>
      </c>
      <c r="M137" t="s">
        <v>472</v>
      </c>
      <c r="N137" t="s">
        <v>473</v>
      </c>
      <c r="O137" t="s">
        <v>474</v>
      </c>
    </row>
    <row r="138" spans="1:17" x14ac:dyDescent="0.35">
      <c r="A138" t="s">
        <v>605</v>
      </c>
      <c r="B138" s="13">
        <v>786</v>
      </c>
      <c r="C138" s="7" t="s">
        <v>771</v>
      </c>
      <c r="G138" t="s">
        <v>839</v>
      </c>
      <c r="H138" t="s">
        <v>606</v>
      </c>
      <c r="I138" t="s">
        <v>607</v>
      </c>
      <c r="J138" t="s">
        <v>608</v>
      </c>
      <c r="L138" s="7" t="s">
        <v>784</v>
      </c>
      <c r="M138" t="s">
        <v>606</v>
      </c>
      <c r="N138" t="s">
        <v>609</v>
      </c>
    </row>
    <row r="139" spans="1:17" x14ac:dyDescent="0.35">
      <c r="A139" t="s">
        <v>475</v>
      </c>
      <c r="B139" s="13">
        <v>787</v>
      </c>
      <c r="C139" s="7" t="s">
        <v>769</v>
      </c>
      <c r="G139" t="s">
        <v>836</v>
      </c>
      <c r="H139" t="s">
        <v>476</v>
      </c>
      <c r="I139" t="s">
        <v>477</v>
      </c>
      <c r="L139" s="7" t="s">
        <v>786</v>
      </c>
      <c r="M139" t="s">
        <v>478</v>
      </c>
      <c r="N139" t="s">
        <v>479</v>
      </c>
      <c r="O139" t="s">
        <v>480</v>
      </c>
    </row>
    <row r="140" spans="1:17" x14ac:dyDescent="0.35">
      <c r="A140" t="s">
        <v>481</v>
      </c>
      <c r="B140" s="13">
        <v>788</v>
      </c>
      <c r="C140" s="7" t="s">
        <v>486</v>
      </c>
      <c r="G140" t="s">
        <v>837</v>
      </c>
      <c r="H140" t="s">
        <v>482</v>
      </c>
      <c r="I140" t="s">
        <v>483</v>
      </c>
      <c r="L140" s="7" t="s">
        <v>784</v>
      </c>
      <c r="M140" t="s">
        <v>484</v>
      </c>
      <c r="N140" t="s">
        <v>485</v>
      </c>
      <c r="O140" t="s">
        <v>486</v>
      </c>
    </row>
    <row r="141" spans="1:17" x14ac:dyDescent="0.35">
      <c r="A141" t="s">
        <v>487</v>
      </c>
      <c r="B141" s="13">
        <v>789</v>
      </c>
      <c r="C141" s="7" t="s">
        <v>883</v>
      </c>
      <c r="G141" t="s">
        <v>838</v>
      </c>
      <c r="H141" t="s">
        <v>488</v>
      </c>
      <c r="I141" t="s">
        <v>50</v>
      </c>
      <c r="K141" t="s">
        <v>796</v>
      </c>
      <c r="L141" s="7" t="s">
        <v>784</v>
      </c>
      <c r="M141" t="s">
        <v>489</v>
      </c>
      <c r="N141" t="s">
        <v>490</v>
      </c>
    </row>
    <row r="142" spans="1:17" x14ac:dyDescent="0.35">
      <c r="A142" t="s">
        <v>149</v>
      </c>
      <c r="B142" s="13">
        <v>790</v>
      </c>
      <c r="C142" s="7" t="s">
        <v>712</v>
      </c>
      <c r="F142" s="4" t="s">
        <v>150</v>
      </c>
      <c r="G142" t="s">
        <v>836</v>
      </c>
      <c r="H142" t="s">
        <v>151</v>
      </c>
      <c r="I142" t="s">
        <v>152</v>
      </c>
      <c r="K142" s="7" t="s">
        <v>795</v>
      </c>
      <c r="L142" s="7" t="s">
        <v>786</v>
      </c>
      <c r="M142" t="s">
        <v>153</v>
      </c>
      <c r="N142" t="s">
        <v>154</v>
      </c>
    </row>
    <row r="143" spans="1:17" x14ac:dyDescent="0.35">
      <c r="A143" t="s">
        <v>491</v>
      </c>
      <c r="B143" s="13">
        <v>791</v>
      </c>
      <c r="C143" s="7" t="s">
        <v>884</v>
      </c>
      <c r="G143" t="s">
        <v>836</v>
      </c>
      <c r="H143" t="s">
        <v>492</v>
      </c>
      <c r="I143" t="s">
        <v>493</v>
      </c>
      <c r="L143" s="7" t="s">
        <v>806</v>
      </c>
      <c r="M143" t="s">
        <v>494</v>
      </c>
      <c r="N143" t="s">
        <v>495</v>
      </c>
    </row>
    <row r="144" spans="1:17" ht="16.5" customHeight="1" x14ac:dyDescent="0.35">
      <c r="A144" t="s">
        <v>496</v>
      </c>
      <c r="B144" s="13">
        <v>792</v>
      </c>
      <c r="C144" s="7" t="s">
        <v>885</v>
      </c>
      <c r="G144" t="s">
        <v>837</v>
      </c>
      <c r="H144" t="s">
        <v>497</v>
      </c>
      <c r="I144" t="s">
        <v>498</v>
      </c>
      <c r="K144" t="s">
        <v>808</v>
      </c>
      <c r="L144" s="7" t="s">
        <v>784</v>
      </c>
      <c r="M144" t="s">
        <v>499</v>
      </c>
      <c r="N144" t="s">
        <v>500</v>
      </c>
    </row>
    <row r="145" spans="1:18" x14ac:dyDescent="0.35">
      <c r="A145" t="s">
        <v>155</v>
      </c>
      <c r="B145" s="13">
        <v>793</v>
      </c>
      <c r="C145" s="7" t="s">
        <v>710</v>
      </c>
      <c r="F145" s="4" t="s">
        <v>156</v>
      </c>
      <c r="G145" t="s">
        <v>836</v>
      </c>
      <c r="H145" t="s">
        <v>157</v>
      </c>
      <c r="I145" t="s">
        <v>158</v>
      </c>
      <c r="L145" s="7" t="s">
        <v>785</v>
      </c>
      <c r="M145" t="s">
        <v>159</v>
      </c>
    </row>
    <row r="146" spans="1:18" x14ac:dyDescent="0.35">
      <c r="A146" t="s">
        <v>501</v>
      </c>
      <c r="B146" s="13">
        <v>794</v>
      </c>
      <c r="C146" s="7" t="s">
        <v>770</v>
      </c>
      <c r="G146" t="s">
        <v>837</v>
      </c>
      <c r="H146" t="s">
        <v>502</v>
      </c>
      <c r="I146" t="s">
        <v>503</v>
      </c>
      <c r="L146" s="7" t="s">
        <v>784</v>
      </c>
      <c r="M146" t="s">
        <v>504</v>
      </c>
      <c r="N146" t="s">
        <v>505</v>
      </c>
      <c r="O146" t="s">
        <v>506</v>
      </c>
    </row>
    <row r="147" spans="1:18" x14ac:dyDescent="0.35">
      <c r="A147" t="s">
        <v>507</v>
      </c>
      <c r="B147" s="13">
        <v>795</v>
      </c>
      <c r="C147" s="7" t="s">
        <v>886</v>
      </c>
      <c r="G147" t="s">
        <v>836</v>
      </c>
      <c r="H147" t="s">
        <v>508</v>
      </c>
      <c r="I147" t="s">
        <v>509</v>
      </c>
      <c r="K147" t="s">
        <v>808</v>
      </c>
      <c r="L147" s="7" t="s">
        <v>784</v>
      </c>
      <c r="M147" t="s">
        <v>510</v>
      </c>
      <c r="N147" t="s">
        <v>511</v>
      </c>
      <c r="O147" t="s">
        <v>509</v>
      </c>
    </row>
    <row r="148" spans="1:18" x14ac:dyDescent="0.35">
      <c r="A148" t="s">
        <v>572</v>
      </c>
      <c r="B148" s="13">
        <v>796</v>
      </c>
      <c r="C148" s="7" t="s">
        <v>773</v>
      </c>
      <c r="G148" t="s">
        <v>836</v>
      </c>
      <c r="H148" t="s">
        <v>575</v>
      </c>
      <c r="I148" t="s">
        <v>573</v>
      </c>
      <c r="J148" t="s">
        <v>574</v>
      </c>
      <c r="K148" t="s">
        <v>795</v>
      </c>
      <c r="L148" s="7" t="s">
        <v>784</v>
      </c>
      <c r="M148" t="s">
        <v>575</v>
      </c>
      <c r="N148" t="s">
        <v>574</v>
      </c>
    </row>
    <row r="149" spans="1:18" x14ac:dyDescent="0.35">
      <c r="A149" t="s">
        <v>689</v>
      </c>
      <c r="B149" s="13">
        <v>797</v>
      </c>
      <c r="C149" s="7" t="s">
        <v>887</v>
      </c>
      <c r="G149" t="s">
        <v>836</v>
      </c>
      <c r="H149" t="s">
        <v>690</v>
      </c>
      <c r="I149" t="s">
        <v>819</v>
      </c>
      <c r="K149" t="s">
        <v>792</v>
      </c>
      <c r="L149" s="7" t="s">
        <v>807</v>
      </c>
      <c r="M149" t="s">
        <v>690</v>
      </c>
      <c r="N149" t="s">
        <v>691</v>
      </c>
    </row>
    <row r="150" spans="1:18" x14ac:dyDescent="0.35">
      <c r="A150" t="s">
        <v>512</v>
      </c>
      <c r="B150" s="13">
        <v>845</v>
      </c>
      <c r="C150" s="7" t="s">
        <v>809</v>
      </c>
      <c r="G150" t="s">
        <v>836</v>
      </c>
      <c r="H150" t="s">
        <v>513</v>
      </c>
      <c r="I150" t="s">
        <v>514</v>
      </c>
      <c r="K150" t="s">
        <v>795</v>
      </c>
      <c r="L150" s="7" t="s">
        <v>786</v>
      </c>
      <c r="M150" t="s">
        <v>515</v>
      </c>
      <c r="N150" t="s">
        <v>516</v>
      </c>
      <c r="Q150" s="5"/>
      <c r="R150" s="5"/>
    </row>
    <row r="151" spans="1:18" x14ac:dyDescent="0.35">
      <c r="A151" t="s">
        <v>561</v>
      </c>
      <c r="B151" s="13">
        <v>674</v>
      </c>
      <c r="C151" s="7" t="s">
        <v>888</v>
      </c>
      <c r="G151" t="s">
        <v>838</v>
      </c>
      <c r="H151" t="s">
        <v>567</v>
      </c>
      <c r="I151" t="s">
        <v>568</v>
      </c>
      <c r="J151" t="s">
        <v>569</v>
      </c>
      <c r="K151" t="s">
        <v>792</v>
      </c>
      <c r="L151" s="7" t="s">
        <v>807</v>
      </c>
      <c r="M151" t="s">
        <v>563</v>
      </c>
      <c r="N151" t="s">
        <v>569</v>
      </c>
      <c r="O151" t="s">
        <v>570</v>
      </c>
      <c r="P151" t="s">
        <v>571</v>
      </c>
    </row>
    <row r="152" spans="1:18" x14ac:dyDescent="0.35">
      <c r="A152" t="s">
        <v>624</v>
      </c>
      <c r="B152" s="13" t="s">
        <v>625</v>
      </c>
      <c r="C152" s="7" t="s">
        <v>772</v>
      </c>
      <c r="G152" t="s">
        <v>838</v>
      </c>
      <c r="H152" t="s">
        <v>626</v>
      </c>
      <c r="I152" t="s">
        <v>415</v>
      </c>
      <c r="J152" t="s">
        <v>627</v>
      </c>
      <c r="K152" t="s">
        <v>796</v>
      </c>
      <c r="L152" s="7" t="s">
        <v>784</v>
      </c>
      <c r="M152" t="s">
        <v>626</v>
      </c>
      <c r="N152" t="s">
        <v>628</v>
      </c>
    </row>
    <row r="155" spans="1:18" x14ac:dyDescent="0.35">
      <c r="A155">
        <v>100</v>
      </c>
    </row>
    <row r="156" spans="1:18" x14ac:dyDescent="0.35">
      <c r="A156">
        <v>110</v>
      </c>
    </row>
    <row r="157" spans="1:18" x14ac:dyDescent="0.35">
      <c r="A157">
        <v>123</v>
      </c>
    </row>
    <row r="158" spans="1:18" x14ac:dyDescent="0.35">
      <c r="A158">
        <v>150</v>
      </c>
    </row>
    <row r="159" spans="1:18" x14ac:dyDescent="0.35">
      <c r="A159">
        <v>160</v>
      </c>
    </row>
    <row r="160" spans="1:18" x14ac:dyDescent="0.35">
      <c r="A160">
        <v>170</v>
      </c>
    </row>
    <row r="161" spans="1:1" x14ac:dyDescent="0.35">
      <c r="A161">
        <v>651</v>
      </c>
    </row>
    <row r="162" spans="1:1" x14ac:dyDescent="0.35">
      <c r="A162">
        <v>658</v>
      </c>
    </row>
    <row r="163" spans="1:1" x14ac:dyDescent="0.35">
      <c r="A163">
        <v>684</v>
      </c>
    </row>
    <row r="164" spans="1:1" x14ac:dyDescent="0.35">
      <c r="A164">
        <v>737</v>
      </c>
    </row>
    <row r="165" spans="1:1" x14ac:dyDescent="0.35">
      <c r="A165">
        <v>739</v>
      </c>
    </row>
    <row r="166" spans="1:1" x14ac:dyDescent="0.35">
      <c r="A166">
        <v>798</v>
      </c>
    </row>
    <row r="167" spans="1:1" x14ac:dyDescent="0.35">
      <c r="A167">
        <v>799</v>
      </c>
    </row>
    <row r="168" spans="1:1" x14ac:dyDescent="0.35">
      <c r="A168">
        <v>822</v>
      </c>
    </row>
  </sheetData>
  <autoFilter ref="A2:R96" xr:uid="{0A376D16-7848-419D-8442-C7F4B102E2A9}">
    <sortState xmlns:xlrd2="http://schemas.microsoft.com/office/spreadsheetml/2017/richdata2" ref="A3:R152">
      <sortCondition ref="B2:B96"/>
    </sortState>
  </autoFilter>
  <phoneticPr fontId="26" type="noConversion"/>
  <conditionalFormatting sqref="U3:V4">
    <cfRule type="duplicateValues" dxfId="0" priority="1"/>
  </conditionalFormatting>
  <pageMargins left="0.7" right="0.7" top="0.75" bottom="0.75" header="0.3" footer="0.3"/>
  <headerFooter>
    <oddFooter>&amp;C_x000D_&amp;1#&amp;"Aptos"&amp;12&amp;K898989 Regeneron - Confidential</oddFooter>
  </headerFooter>
  <customProperties>
    <customPr name="SheetOptions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6BA3-484D-4B98-8C6C-31451B8B41EF}">
  <dimension ref="A1:E176"/>
  <sheetViews>
    <sheetView workbookViewId="0">
      <selection activeCell="I9" sqref="I9"/>
    </sheetView>
  </sheetViews>
  <sheetFormatPr defaultRowHeight="14.5" x14ac:dyDescent="0.35"/>
  <cols>
    <col min="2" max="2" width="30.08984375" bestFit="1" customWidth="1"/>
    <col min="3" max="3" width="22.453125" bestFit="1" customWidth="1"/>
    <col min="4" max="4" width="65.90625" bestFit="1" customWidth="1"/>
    <col min="5" max="5" width="16.08984375" bestFit="1" customWidth="1"/>
  </cols>
  <sheetData>
    <row r="1" spans="1:5" x14ac:dyDescent="0.35">
      <c r="A1" s="19"/>
      <c r="B1" s="20" t="s">
        <v>858</v>
      </c>
      <c r="C1" s="21">
        <v>0</v>
      </c>
      <c r="D1" s="21"/>
      <c r="E1" s="21"/>
    </row>
    <row r="2" spans="1:5" x14ac:dyDescent="0.35">
      <c r="A2" s="19"/>
      <c r="B2" s="22"/>
      <c r="C2" s="23"/>
      <c r="D2" s="23"/>
      <c r="E2" s="23"/>
    </row>
    <row r="3" spans="1:5" x14ac:dyDescent="0.35">
      <c r="A3" s="19"/>
      <c r="B3" s="22" t="s">
        <v>859</v>
      </c>
      <c r="C3" s="23"/>
      <c r="D3" s="23"/>
      <c r="E3" s="23"/>
    </row>
    <row r="4" spans="1:5" ht="29" customHeight="1" x14ac:dyDescent="0.35">
      <c r="A4" s="46"/>
      <c r="B4" s="24" t="s">
        <v>860</v>
      </c>
      <c r="C4" s="47" t="s">
        <v>3</v>
      </c>
      <c r="D4" s="49" t="s">
        <v>862</v>
      </c>
      <c r="E4" s="49" t="s">
        <v>863</v>
      </c>
    </row>
    <row r="5" spans="1:5" x14ac:dyDescent="0.35">
      <c r="A5" s="46"/>
      <c r="B5" s="25" t="s">
        <v>861</v>
      </c>
      <c r="C5" s="48"/>
      <c r="D5" s="50"/>
      <c r="E5" s="50"/>
    </row>
    <row r="6" spans="1:5" x14ac:dyDescent="0.35">
      <c r="A6" s="19" t="s">
        <v>666</v>
      </c>
      <c r="B6" s="26">
        <v>200</v>
      </c>
      <c r="C6" s="26" t="s">
        <v>714</v>
      </c>
      <c r="D6" s="27" t="s">
        <v>667</v>
      </c>
      <c r="E6" s="26" t="s">
        <v>837</v>
      </c>
    </row>
    <row r="7" spans="1:5" x14ac:dyDescent="0.35">
      <c r="A7" s="19" t="s">
        <v>641</v>
      </c>
      <c r="B7" s="26">
        <v>201</v>
      </c>
      <c r="C7" s="26" t="s">
        <v>642</v>
      </c>
      <c r="D7" s="27" t="s">
        <v>644</v>
      </c>
      <c r="E7" s="26" t="s">
        <v>837</v>
      </c>
    </row>
    <row r="8" spans="1:5" x14ac:dyDescent="0.35">
      <c r="A8" s="19" t="s">
        <v>864</v>
      </c>
      <c r="B8" s="26">
        <v>202</v>
      </c>
      <c r="C8" s="26" t="s">
        <v>865</v>
      </c>
      <c r="D8" s="27" t="s">
        <v>866</v>
      </c>
      <c r="E8" s="26" t="s">
        <v>838</v>
      </c>
    </row>
    <row r="9" spans="1:5" x14ac:dyDescent="0.35">
      <c r="A9" s="19" t="s">
        <v>11</v>
      </c>
      <c r="B9" s="26">
        <v>450</v>
      </c>
      <c r="C9" s="26" t="s">
        <v>16</v>
      </c>
      <c r="D9" s="27" t="s">
        <v>17</v>
      </c>
      <c r="E9" s="26" t="s">
        <v>838</v>
      </c>
    </row>
    <row r="10" spans="1:5" x14ac:dyDescent="0.35">
      <c r="A10" s="19" t="s">
        <v>19</v>
      </c>
      <c r="B10" s="26">
        <v>570</v>
      </c>
      <c r="C10" s="26" t="s">
        <v>30</v>
      </c>
      <c r="D10" s="27" t="s">
        <v>31</v>
      </c>
      <c r="E10" s="26" t="s">
        <v>838</v>
      </c>
    </row>
    <row r="11" spans="1:5" x14ac:dyDescent="0.35">
      <c r="A11" s="19" t="s">
        <v>28</v>
      </c>
      <c r="B11" s="26">
        <v>571</v>
      </c>
      <c r="C11" s="26" t="s">
        <v>24</v>
      </c>
      <c r="D11" s="27" t="s">
        <v>25</v>
      </c>
      <c r="E11" s="26" t="s">
        <v>838</v>
      </c>
    </row>
    <row r="12" spans="1:5" x14ac:dyDescent="0.35">
      <c r="A12" s="19" t="s">
        <v>33</v>
      </c>
      <c r="B12" s="26">
        <v>572</v>
      </c>
      <c r="C12" s="26" t="s">
        <v>35</v>
      </c>
      <c r="D12" s="27" t="s">
        <v>36</v>
      </c>
      <c r="E12" s="26" t="s">
        <v>838</v>
      </c>
    </row>
    <row r="13" spans="1:5" x14ac:dyDescent="0.35">
      <c r="A13" s="19" t="s">
        <v>668</v>
      </c>
      <c r="B13" s="26">
        <v>573</v>
      </c>
      <c r="C13" s="26" t="s">
        <v>669</v>
      </c>
      <c r="D13" s="27" t="s">
        <v>669</v>
      </c>
      <c r="E13" s="26" t="s">
        <v>838</v>
      </c>
    </row>
    <row r="14" spans="1:5" x14ac:dyDescent="0.35">
      <c r="A14" s="19" t="s">
        <v>37</v>
      </c>
      <c r="B14" s="26">
        <v>610</v>
      </c>
      <c r="C14" s="26" t="s">
        <v>42</v>
      </c>
      <c r="D14" s="27" t="s">
        <v>43</v>
      </c>
      <c r="E14" s="26" t="s">
        <v>838</v>
      </c>
    </row>
    <row r="15" spans="1:5" x14ac:dyDescent="0.35">
      <c r="A15" s="19" t="s">
        <v>589</v>
      </c>
      <c r="B15" s="26">
        <v>611</v>
      </c>
      <c r="C15" s="26" t="s">
        <v>592</v>
      </c>
      <c r="D15" s="27" t="s">
        <v>590</v>
      </c>
      <c r="E15" s="26" t="s">
        <v>839</v>
      </c>
    </row>
    <row r="16" spans="1:5" x14ac:dyDescent="0.35">
      <c r="A16" s="19" t="s">
        <v>675</v>
      </c>
      <c r="B16" s="26">
        <v>612</v>
      </c>
      <c r="C16" s="26" t="s">
        <v>677</v>
      </c>
      <c r="D16" s="27" t="s">
        <v>679</v>
      </c>
      <c r="E16" s="26" t="s">
        <v>838</v>
      </c>
    </row>
    <row r="17" spans="1:5" x14ac:dyDescent="0.35">
      <c r="A17" s="19" t="s">
        <v>46</v>
      </c>
      <c r="B17" s="26">
        <v>620</v>
      </c>
      <c r="C17" s="26" t="s">
        <v>51</v>
      </c>
      <c r="D17" s="27" t="s">
        <v>52</v>
      </c>
      <c r="E17" s="26" t="s">
        <v>838</v>
      </c>
    </row>
    <row r="18" spans="1:5" x14ac:dyDescent="0.35">
      <c r="A18" s="19" t="s">
        <v>55</v>
      </c>
      <c r="B18" s="26">
        <v>630</v>
      </c>
      <c r="C18" s="26" t="s">
        <v>60</v>
      </c>
      <c r="D18" s="27" t="s">
        <v>61</v>
      </c>
      <c r="E18" s="26" t="s">
        <v>838</v>
      </c>
    </row>
    <row r="19" spans="1:5" x14ac:dyDescent="0.35">
      <c r="A19" s="19" t="s">
        <v>64</v>
      </c>
      <c r="B19" s="26">
        <v>647</v>
      </c>
      <c r="C19" s="26" t="s">
        <v>66</v>
      </c>
      <c r="D19" s="27" t="s">
        <v>68</v>
      </c>
      <c r="E19" s="26" t="s">
        <v>838</v>
      </c>
    </row>
    <row r="20" spans="1:5" x14ac:dyDescent="0.35">
      <c r="A20" s="19" t="s">
        <v>867</v>
      </c>
      <c r="B20" s="28">
        <v>651</v>
      </c>
      <c r="C20" s="27"/>
      <c r="D20" s="27"/>
      <c r="E20" s="27"/>
    </row>
    <row r="21" spans="1:5" x14ac:dyDescent="0.35">
      <c r="A21" s="19" t="s">
        <v>517</v>
      </c>
      <c r="B21" s="26">
        <v>652</v>
      </c>
      <c r="C21" s="26" t="s">
        <v>520</v>
      </c>
      <c r="D21" s="27" t="s">
        <v>521</v>
      </c>
      <c r="E21" s="26" t="s">
        <v>838</v>
      </c>
    </row>
    <row r="22" spans="1:5" x14ac:dyDescent="0.35">
      <c r="A22" s="19" t="s">
        <v>596</v>
      </c>
      <c r="B22" s="26">
        <v>653</v>
      </c>
      <c r="C22" s="26" t="s">
        <v>597</v>
      </c>
      <c r="D22" s="27" t="s">
        <v>598</v>
      </c>
      <c r="E22" s="26" t="s">
        <v>838</v>
      </c>
    </row>
    <row r="23" spans="1:5" x14ac:dyDescent="0.35">
      <c r="A23" s="19" t="s">
        <v>599</v>
      </c>
      <c r="B23" s="26">
        <v>654</v>
      </c>
      <c r="C23" s="26" t="s">
        <v>600</v>
      </c>
      <c r="D23" s="27" t="s">
        <v>601</v>
      </c>
      <c r="E23" s="26" t="s">
        <v>838</v>
      </c>
    </row>
    <row r="24" spans="1:5" x14ac:dyDescent="0.35">
      <c r="A24" s="19" t="s">
        <v>868</v>
      </c>
      <c r="B24" s="28">
        <v>658</v>
      </c>
      <c r="C24" s="27"/>
      <c r="D24" s="27"/>
      <c r="E24" s="27"/>
    </row>
    <row r="25" spans="1:5" x14ac:dyDescent="0.35">
      <c r="A25" s="19" t="s">
        <v>71</v>
      </c>
      <c r="B25" s="26">
        <v>660</v>
      </c>
      <c r="C25" s="26" t="s">
        <v>73</v>
      </c>
      <c r="D25" s="27" t="s">
        <v>75</v>
      </c>
      <c r="E25" s="26" t="s">
        <v>838</v>
      </c>
    </row>
    <row r="26" spans="1:5" x14ac:dyDescent="0.35">
      <c r="A26" s="19" t="s">
        <v>77</v>
      </c>
      <c r="B26" s="26">
        <v>662</v>
      </c>
      <c r="C26" s="26" t="s">
        <v>79</v>
      </c>
      <c r="D26" s="27" t="s">
        <v>81</v>
      </c>
      <c r="E26" s="26" t="s">
        <v>839</v>
      </c>
    </row>
    <row r="27" spans="1:5" x14ac:dyDescent="0.35">
      <c r="A27" s="19" t="s">
        <v>84</v>
      </c>
      <c r="B27" s="26">
        <v>664</v>
      </c>
      <c r="C27" s="26" t="s">
        <v>87</v>
      </c>
      <c r="D27" s="27" t="s">
        <v>89</v>
      </c>
      <c r="E27" s="26" t="s">
        <v>837</v>
      </c>
    </row>
    <row r="28" spans="1:5" x14ac:dyDescent="0.35">
      <c r="A28" s="19" t="s">
        <v>92</v>
      </c>
      <c r="B28" s="26">
        <v>666</v>
      </c>
      <c r="C28" s="26" t="s">
        <v>96</v>
      </c>
      <c r="D28" s="27" t="s">
        <v>97</v>
      </c>
      <c r="E28" s="26" t="s">
        <v>838</v>
      </c>
    </row>
    <row r="29" spans="1:5" x14ac:dyDescent="0.35">
      <c r="A29" s="19" t="s">
        <v>582</v>
      </c>
      <c r="B29" s="26">
        <v>667</v>
      </c>
      <c r="C29" s="26" t="s">
        <v>583</v>
      </c>
      <c r="D29" s="27" t="s">
        <v>584</v>
      </c>
      <c r="E29" s="26" t="s">
        <v>838</v>
      </c>
    </row>
    <row r="30" spans="1:5" x14ac:dyDescent="0.35">
      <c r="A30" s="19" t="s">
        <v>585</v>
      </c>
      <c r="B30" s="26">
        <v>668</v>
      </c>
      <c r="C30" s="26" t="s">
        <v>586</v>
      </c>
      <c r="D30" s="27" t="s">
        <v>584</v>
      </c>
      <c r="E30" s="26" t="s">
        <v>838</v>
      </c>
    </row>
    <row r="31" spans="1:5" x14ac:dyDescent="0.35">
      <c r="A31" s="19" t="s">
        <v>587</v>
      </c>
      <c r="B31" s="26">
        <v>669</v>
      </c>
      <c r="C31" s="26" t="s">
        <v>588</v>
      </c>
      <c r="D31" s="27" t="s">
        <v>584</v>
      </c>
      <c r="E31" s="26" t="s">
        <v>838</v>
      </c>
    </row>
    <row r="32" spans="1:5" x14ac:dyDescent="0.35">
      <c r="A32" s="19" t="s">
        <v>99</v>
      </c>
      <c r="B32" s="26">
        <v>670</v>
      </c>
      <c r="C32" s="26" t="s">
        <v>101</v>
      </c>
      <c r="D32" s="27" t="s">
        <v>103</v>
      </c>
      <c r="E32" s="26" t="s">
        <v>838</v>
      </c>
    </row>
    <row r="33" spans="1:5" x14ac:dyDescent="0.35">
      <c r="A33" s="19" t="s">
        <v>660</v>
      </c>
      <c r="B33" s="26">
        <v>671</v>
      </c>
      <c r="C33" s="26" t="s">
        <v>661</v>
      </c>
      <c r="D33" s="27" t="s">
        <v>662</v>
      </c>
      <c r="E33" s="26" t="s">
        <v>869</v>
      </c>
    </row>
    <row r="34" spans="1:5" x14ac:dyDescent="0.35">
      <c r="A34" s="19" t="s">
        <v>106</v>
      </c>
      <c r="B34" s="26">
        <v>672</v>
      </c>
      <c r="C34" s="26" t="s">
        <v>108</v>
      </c>
      <c r="D34" s="27" t="s">
        <v>110</v>
      </c>
      <c r="E34" s="26" t="s">
        <v>837</v>
      </c>
    </row>
    <row r="35" spans="1:5" x14ac:dyDescent="0.35">
      <c r="A35" s="19" t="s">
        <v>680</v>
      </c>
      <c r="B35" s="26">
        <v>673</v>
      </c>
      <c r="C35" s="26" t="s">
        <v>681</v>
      </c>
      <c r="D35" s="27" t="s">
        <v>682</v>
      </c>
      <c r="E35" s="26" t="s">
        <v>837</v>
      </c>
    </row>
    <row r="36" spans="1:5" x14ac:dyDescent="0.35">
      <c r="A36" s="19" t="s">
        <v>561</v>
      </c>
      <c r="B36" s="26">
        <v>674</v>
      </c>
      <c r="C36" s="26" t="s">
        <v>563</v>
      </c>
      <c r="D36" s="27" t="s">
        <v>564</v>
      </c>
      <c r="E36" s="26" t="s">
        <v>839</v>
      </c>
    </row>
    <row r="37" spans="1:5" x14ac:dyDescent="0.35">
      <c r="A37" s="19" t="s">
        <v>160</v>
      </c>
      <c r="B37" s="26">
        <v>675</v>
      </c>
      <c r="C37" s="26" t="s">
        <v>161</v>
      </c>
      <c r="D37" s="27" t="s">
        <v>162</v>
      </c>
      <c r="E37" s="26" t="s">
        <v>837</v>
      </c>
    </row>
    <row r="38" spans="1:5" x14ac:dyDescent="0.35">
      <c r="A38" s="19" t="s">
        <v>663</v>
      </c>
      <c r="B38" s="26">
        <v>676</v>
      </c>
      <c r="C38" s="26" t="s">
        <v>664</v>
      </c>
      <c r="D38" s="27" t="s">
        <v>665</v>
      </c>
      <c r="E38" s="26" t="s">
        <v>838</v>
      </c>
    </row>
    <row r="39" spans="1:5" x14ac:dyDescent="0.35">
      <c r="A39" s="19" t="s">
        <v>114</v>
      </c>
      <c r="B39" s="26">
        <v>680</v>
      </c>
      <c r="C39" s="26" t="s">
        <v>116</v>
      </c>
      <c r="D39" s="27" t="s">
        <v>118</v>
      </c>
      <c r="E39" s="26" t="s">
        <v>838</v>
      </c>
    </row>
    <row r="40" spans="1:5" x14ac:dyDescent="0.35">
      <c r="A40" s="19" t="s">
        <v>579</v>
      </c>
      <c r="B40" s="26">
        <v>681</v>
      </c>
      <c r="C40" s="26" t="s">
        <v>580</v>
      </c>
      <c r="D40" s="27" t="s">
        <v>581</v>
      </c>
      <c r="E40" s="26" t="s">
        <v>837</v>
      </c>
    </row>
    <row r="41" spans="1:5" x14ac:dyDescent="0.35">
      <c r="A41" s="19" t="s">
        <v>165</v>
      </c>
      <c r="B41" s="26">
        <v>682</v>
      </c>
      <c r="C41" s="26" t="s">
        <v>166</v>
      </c>
      <c r="D41" s="27" t="s">
        <v>167</v>
      </c>
      <c r="E41" s="26" t="s">
        <v>837</v>
      </c>
    </row>
    <row r="42" spans="1:5" x14ac:dyDescent="0.35">
      <c r="A42" s="19" t="s">
        <v>673</v>
      </c>
      <c r="B42" s="26">
        <v>683</v>
      </c>
      <c r="C42" s="26" t="s">
        <v>674</v>
      </c>
      <c r="D42" s="27" t="s">
        <v>162</v>
      </c>
      <c r="E42" s="26" t="s">
        <v>837</v>
      </c>
    </row>
    <row r="43" spans="1:5" x14ac:dyDescent="0.35">
      <c r="A43" s="19" t="s">
        <v>870</v>
      </c>
      <c r="B43" s="28">
        <v>684</v>
      </c>
      <c r="C43" s="27"/>
      <c r="D43" s="27"/>
      <c r="E43" s="27"/>
    </row>
    <row r="44" spans="1:5" x14ac:dyDescent="0.35">
      <c r="A44" s="19" t="s">
        <v>621</v>
      </c>
      <c r="B44" s="26">
        <v>685</v>
      </c>
      <c r="C44" s="26" t="s">
        <v>622</v>
      </c>
      <c r="D44" s="27" t="s">
        <v>623</v>
      </c>
      <c r="E44" s="26" t="s">
        <v>869</v>
      </c>
    </row>
    <row r="45" spans="1:5" x14ac:dyDescent="0.35">
      <c r="A45" s="19" t="s">
        <v>121</v>
      </c>
      <c r="B45" s="26">
        <v>686</v>
      </c>
      <c r="C45" s="26" t="s">
        <v>123</v>
      </c>
      <c r="D45" s="27" t="s">
        <v>125</v>
      </c>
      <c r="E45" s="26" t="s">
        <v>839</v>
      </c>
    </row>
    <row r="46" spans="1:5" x14ac:dyDescent="0.35">
      <c r="A46" s="19" t="s">
        <v>553</v>
      </c>
      <c r="B46" s="26">
        <v>687</v>
      </c>
      <c r="C46" s="26" t="s">
        <v>554</v>
      </c>
      <c r="D46" s="27" t="s">
        <v>555</v>
      </c>
      <c r="E46" s="26" t="s">
        <v>838</v>
      </c>
    </row>
    <row r="47" spans="1:5" x14ac:dyDescent="0.35">
      <c r="A47" s="19" t="s">
        <v>556</v>
      </c>
      <c r="B47" s="26">
        <v>688</v>
      </c>
      <c r="C47" s="26" t="s">
        <v>557</v>
      </c>
      <c r="D47" s="27" t="s">
        <v>558</v>
      </c>
      <c r="E47" s="26" t="s">
        <v>838</v>
      </c>
    </row>
    <row r="48" spans="1:5" x14ac:dyDescent="0.35">
      <c r="A48" s="19" t="s">
        <v>559</v>
      </c>
      <c r="B48" s="26">
        <v>689</v>
      </c>
      <c r="C48" s="26" t="s">
        <v>560</v>
      </c>
      <c r="D48" s="27" t="s">
        <v>558</v>
      </c>
      <c r="E48" s="26" t="s">
        <v>838</v>
      </c>
    </row>
    <row r="49" spans="1:5" x14ac:dyDescent="0.35">
      <c r="A49" s="19" t="s">
        <v>169</v>
      </c>
      <c r="B49" s="26">
        <v>690</v>
      </c>
      <c r="C49" s="26" t="s">
        <v>170</v>
      </c>
      <c r="D49" s="27" t="s">
        <v>171</v>
      </c>
      <c r="E49" s="26" t="s">
        <v>837</v>
      </c>
    </row>
    <row r="50" spans="1:5" x14ac:dyDescent="0.35">
      <c r="A50" s="19" t="s">
        <v>632</v>
      </c>
      <c r="B50" s="26">
        <v>691</v>
      </c>
      <c r="C50" s="26" t="s">
        <v>633</v>
      </c>
      <c r="D50" s="27" t="s">
        <v>634</v>
      </c>
      <c r="E50" s="26" t="s">
        <v>837</v>
      </c>
    </row>
    <row r="51" spans="1:5" x14ac:dyDescent="0.35">
      <c r="A51" s="19" t="s">
        <v>128</v>
      </c>
      <c r="B51" s="26">
        <v>692</v>
      </c>
      <c r="C51" s="26" t="s">
        <v>130</v>
      </c>
      <c r="D51" s="27" t="s">
        <v>131</v>
      </c>
      <c r="E51" s="26" t="s">
        <v>839</v>
      </c>
    </row>
    <row r="52" spans="1:5" x14ac:dyDescent="0.35">
      <c r="A52" s="19" t="s">
        <v>174</v>
      </c>
      <c r="B52" s="26">
        <v>693</v>
      </c>
      <c r="C52" s="26" t="s">
        <v>175</v>
      </c>
      <c r="D52" s="27" t="s">
        <v>176</v>
      </c>
      <c r="E52" s="26" t="s">
        <v>837</v>
      </c>
    </row>
    <row r="53" spans="1:5" x14ac:dyDescent="0.35">
      <c r="A53" s="19" t="s">
        <v>178</v>
      </c>
      <c r="B53" s="26">
        <v>694</v>
      </c>
      <c r="C53" s="26" t="s">
        <v>179</v>
      </c>
      <c r="D53" s="27" t="s">
        <v>180</v>
      </c>
      <c r="E53" s="26" t="s">
        <v>837</v>
      </c>
    </row>
    <row r="54" spans="1:5" x14ac:dyDescent="0.35">
      <c r="A54" s="19" t="s">
        <v>183</v>
      </c>
      <c r="B54" s="26">
        <v>695</v>
      </c>
      <c r="C54" s="26" t="s">
        <v>184</v>
      </c>
      <c r="D54" s="27" t="s">
        <v>185</v>
      </c>
      <c r="E54" s="26" t="s">
        <v>839</v>
      </c>
    </row>
    <row r="55" spans="1:5" x14ac:dyDescent="0.35">
      <c r="A55" s="19" t="s">
        <v>187</v>
      </c>
      <c r="B55" s="26">
        <v>696</v>
      </c>
      <c r="C55" s="26" t="s">
        <v>188</v>
      </c>
      <c r="D55" s="27" t="s">
        <v>189</v>
      </c>
      <c r="E55" s="26" t="s">
        <v>837</v>
      </c>
    </row>
    <row r="56" spans="1:5" x14ac:dyDescent="0.35">
      <c r="A56" s="19" t="s">
        <v>629</v>
      </c>
      <c r="B56" s="26">
        <v>697</v>
      </c>
      <c r="C56" s="26" t="s">
        <v>630</v>
      </c>
      <c r="D56" s="27" t="s">
        <v>631</v>
      </c>
      <c r="E56" s="26" t="s">
        <v>837</v>
      </c>
    </row>
    <row r="57" spans="1:5" x14ac:dyDescent="0.35">
      <c r="A57" s="19" t="s">
        <v>191</v>
      </c>
      <c r="B57" s="26">
        <v>698</v>
      </c>
      <c r="C57" s="26" t="s">
        <v>192</v>
      </c>
      <c r="D57" s="27" t="s">
        <v>193</v>
      </c>
      <c r="E57" s="26" t="s">
        <v>838</v>
      </c>
    </row>
    <row r="58" spans="1:5" x14ac:dyDescent="0.35">
      <c r="A58" s="19" t="s">
        <v>650</v>
      </c>
      <c r="B58" s="26">
        <v>699</v>
      </c>
      <c r="C58" s="26" t="s">
        <v>651</v>
      </c>
      <c r="D58" s="27" t="s">
        <v>652</v>
      </c>
      <c r="E58" s="26" t="s">
        <v>839</v>
      </c>
    </row>
    <row r="59" spans="1:5" x14ac:dyDescent="0.35">
      <c r="A59" s="19" t="s">
        <v>135</v>
      </c>
      <c r="B59" s="26">
        <v>700</v>
      </c>
      <c r="C59" s="26" t="s">
        <v>137</v>
      </c>
      <c r="D59" s="27" t="s">
        <v>139</v>
      </c>
      <c r="E59" s="26" t="s">
        <v>837</v>
      </c>
    </row>
    <row r="60" spans="1:5" x14ac:dyDescent="0.35">
      <c r="A60" s="19" t="s">
        <v>653</v>
      </c>
      <c r="B60" s="26">
        <v>701</v>
      </c>
      <c r="C60" s="26" t="s">
        <v>654</v>
      </c>
      <c r="D60" s="27" t="s">
        <v>655</v>
      </c>
      <c r="E60" s="26" t="s">
        <v>838</v>
      </c>
    </row>
    <row r="61" spans="1:5" x14ac:dyDescent="0.35">
      <c r="A61" s="19" t="s">
        <v>195</v>
      </c>
      <c r="B61" s="26">
        <v>702</v>
      </c>
      <c r="C61" s="26" t="s">
        <v>196</v>
      </c>
      <c r="D61" s="27" t="s">
        <v>197</v>
      </c>
      <c r="E61" s="26" t="s">
        <v>839</v>
      </c>
    </row>
    <row r="62" spans="1:5" x14ac:dyDescent="0.35">
      <c r="A62" s="19" t="s">
        <v>142</v>
      </c>
      <c r="B62" s="26">
        <v>703</v>
      </c>
      <c r="C62" s="26" t="s">
        <v>144</v>
      </c>
      <c r="D62" s="27" t="s">
        <v>145</v>
      </c>
      <c r="E62" s="26" t="s">
        <v>836</v>
      </c>
    </row>
    <row r="63" spans="1:5" x14ac:dyDescent="0.35">
      <c r="A63" s="19" t="s">
        <v>199</v>
      </c>
      <c r="B63" s="26">
        <v>704</v>
      </c>
      <c r="C63" s="26" t="s">
        <v>200</v>
      </c>
      <c r="D63" s="27" t="s">
        <v>201</v>
      </c>
      <c r="E63" s="26" t="s">
        <v>837</v>
      </c>
    </row>
    <row r="64" spans="1:5" x14ac:dyDescent="0.35">
      <c r="A64" s="19" t="s">
        <v>204</v>
      </c>
      <c r="B64" s="26">
        <v>705</v>
      </c>
      <c r="C64" s="26" t="s">
        <v>205</v>
      </c>
      <c r="D64" s="27" t="s">
        <v>208</v>
      </c>
      <c r="E64" s="26" t="s">
        <v>839</v>
      </c>
    </row>
    <row r="65" spans="1:5" x14ac:dyDescent="0.35">
      <c r="A65" s="19" t="s">
        <v>533</v>
      </c>
      <c r="B65" s="26">
        <v>706</v>
      </c>
      <c r="C65" s="26" t="s">
        <v>534</v>
      </c>
      <c r="D65" s="27" t="s">
        <v>530</v>
      </c>
      <c r="E65" s="26" t="s">
        <v>838</v>
      </c>
    </row>
    <row r="66" spans="1:5" x14ac:dyDescent="0.35">
      <c r="A66" s="19" t="s">
        <v>210</v>
      </c>
      <c r="B66" s="26">
        <v>707</v>
      </c>
      <c r="C66" s="26" t="s">
        <v>211</v>
      </c>
      <c r="D66" s="27" t="s">
        <v>193</v>
      </c>
      <c r="E66" s="26" t="s">
        <v>838</v>
      </c>
    </row>
    <row r="67" spans="1:5" x14ac:dyDescent="0.35">
      <c r="A67" s="19" t="s">
        <v>528</v>
      </c>
      <c r="B67" s="26">
        <v>708</v>
      </c>
      <c r="C67" s="26" t="s">
        <v>529</v>
      </c>
      <c r="D67" s="27" t="s">
        <v>530</v>
      </c>
      <c r="E67" s="26" t="s">
        <v>838</v>
      </c>
    </row>
    <row r="68" spans="1:5" x14ac:dyDescent="0.35">
      <c r="A68" s="19" t="s">
        <v>535</v>
      </c>
      <c r="B68" s="26">
        <v>709</v>
      </c>
      <c r="C68" s="26" t="s">
        <v>536</v>
      </c>
      <c r="D68" s="27" t="s">
        <v>530</v>
      </c>
      <c r="E68" s="26" t="s">
        <v>838</v>
      </c>
    </row>
    <row r="69" spans="1:5" x14ac:dyDescent="0.35">
      <c r="A69" s="19" t="s">
        <v>531</v>
      </c>
      <c r="B69" s="26">
        <v>710</v>
      </c>
      <c r="C69" s="26" t="s">
        <v>532</v>
      </c>
      <c r="D69" s="27" t="s">
        <v>530</v>
      </c>
      <c r="E69" s="26" t="s">
        <v>838</v>
      </c>
    </row>
    <row r="70" spans="1:5" x14ac:dyDescent="0.35">
      <c r="A70" s="19" t="s">
        <v>212</v>
      </c>
      <c r="B70" s="26">
        <v>711</v>
      </c>
      <c r="C70" s="26" t="s">
        <v>215</v>
      </c>
      <c r="D70" s="27" t="s">
        <v>216</v>
      </c>
      <c r="E70" s="26" t="s">
        <v>839</v>
      </c>
    </row>
    <row r="71" spans="1:5" x14ac:dyDescent="0.35">
      <c r="A71" s="19" t="s">
        <v>593</v>
      </c>
      <c r="B71" s="26">
        <v>712</v>
      </c>
      <c r="C71" s="26" t="s">
        <v>594</v>
      </c>
      <c r="D71" s="27" t="s">
        <v>595</v>
      </c>
      <c r="E71" s="26" t="s">
        <v>839</v>
      </c>
    </row>
    <row r="72" spans="1:5" x14ac:dyDescent="0.35">
      <c r="A72" s="19" t="s">
        <v>219</v>
      </c>
      <c r="B72" s="26">
        <v>713</v>
      </c>
      <c r="C72" s="26" t="s">
        <v>220</v>
      </c>
      <c r="D72" s="27" t="s">
        <v>221</v>
      </c>
      <c r="E72" s="26" t="s">
        <v>839</v>
      </c>
    </row>
    <row r="73" spans="1:5" x14ac:dyDescent="0.35">
      <c r="A73" s="19" t="s">
        <v>224</v>
      </c>
      <c r="B73" s="26">
        <v>714</v>
      </c>
      <c r="C73" s="26" t="s">
        <v>225</v>
      </c>
      <c r="D73" s="27" t="s">
        <v>226</v>
      </c>
      <c r="E73" s="26" t="s">
        <v>836</v>
      </c>
    </row>
    <row r="74" spans="1:5" x14ac:dyDescent="0.35">
      <c r="A74" s="19" t="s">
        <v>228</v>
      </c>
      <c r="B74" s="26">
        <v>715</v>
      </c>
      <c r="C74" s="26" t="s">
        <v>229</v>
      </c>
      <c r="D74" s="27" t="s">
        <v>231</v>
      </c>
      <c r="E74" s="26" t="s">
        <v>839</v>
      </c>
    </row>
    <row r="75" spans="1:5" x14ac:dyDescent="0.35">
      <c r="A75" s="19" t="s">
        <v>233</v>
      </c>
      <c r="B75" s="26">
        <v>716</v>
      </c>
      <c r="C75" s="26" t="s">
        <v>234</v>
      </c>
      <c r="D75" s="27" t="s">
        <v>158</v>
      </c>
      <c r="E75" s="26" t="s">
        <v>836</v>
      </c>
    </row>
    <row r="76" spans="1:5" x14ac:dyDescent="0.35">
      <c r="A76" s="19" t="s">
        <v>236</v>
      </c>
      <c r="B76" s="26">
        <v>717</v>
      </c>
      <c r="C76" s="29" t="s">
        <v>237</v>
      </c>
      <c r="D76" s="27" t="s">
        <v>238</v>
      </c>
      <c r="E76" s="26" t="s">
        <v>838</v>
      </c>
    </row>
    <row r="77" spans="1:5" x14ac:dyDescent="0.35">
      <c r="A77" s="19" t="s">
        <v>241</v>
      </c>
      <c r="B77" s="26">
        <v>718</v>
      </c>
      <c r="C77" s="26" t="s">
        <v>242</v>
      </c>
      <c r="D77" s="27" t="s">
        <v>243</v>
      </c>
      <c r="E77" s="26" t="s">
        <v>839</v>
      </c>
    </row>
    <row r="78" spans="1:5" x14ac:dyDescent="0.35">
      <c r="A78" s="19" t="s">
        <v>537</v>
      </c>
      <c r="B78" s="26">
        <v>719</v>
      </c>
      <c r="C78" s="26" t="s">
        <v>538</v>
      </c>
      <c r="D78" s="27" t="s">
        <v>539</v>
      </c>
      <c r="E78" s="26" t="s">
        <v>838</v>
      </c>
    </row>
    <row r="79" spans="1:5" x14ac:dyDescent="0.35">
      <c r="A79" s="19" t="s">
        <v>542</v>
      </c>
      <c r="B79" s="26">
        <v>720</v>
      </c>
      <c r="C79" s="26" t="s">
        <v>543</v>
      </c>
      <c r="D79" s="27" t="s">
        <v>539</v>
      </c>
      <c r="E79" s="26" t="s">
        <v>838</v>
      </c>
    </row>
    <row r="80" spans="1:5" x14ac:dyDescent="0.35">
      <c r="A80" s="19" t="s">
        <v>246</v>
      </c>
      <c r="B80" s="26">
        <v>721</v>
      </c>
      <c r="C80" s="26" t="s">
        <v>247</v>
      </c>
      <c r="D80" s="27" t="s">
        <v>248</v>
      </c>
      <c r="E80" s="26" t="s">
        <v>836</v>
      </c>
    </row>
    <row r="81" spans="1:5" x14ac:dyDescent="0.35">
      <c r="A81" s="19" t="s">
        <v>250</v>
      </c>
      <c r="B81" s="26">
        <v>722</v>
      </c>
      <c r="C81" s="26" t="s">
        <v>251</v>
      </c>
      <c r="D81" s="27" t="s">
        <v>871</v>
      </c>
      <c r="E81" s="26" t="s">
        <v>838</v>
      </c>
    </row>
    <row r="82" spans="1:5" x14ac:dyDescent="0.35">
      <c r="A82" s="19" t="s">
        <v>544</v>
      </c>
      <c r="B82" s="26">
        <v>723</v>
      </c>
      <c r="C82" s="26" t="s">
        <v>545</v>
      </c>
      <c r="D82" s="27" t="s">
        <v>539</v>
      </c>
      <c r="E82" s="26" t="s">
        <v>838</v>
      </c>
    </row>
    <row r="83" spans="1:5" x14ac:dyDescent="0.35">
      <c r="A83" s="19" t="s">
        <v>670</v>
      </c>
      <c r="B83" s="26">
        <v>724</v>
      </c>
      <c r="C83" s="26" t="s">
        <v>671</v>
      </c>
      <c r="D83" s="27" t="s">
        <v>672</v>
      </c>
      <c r="E83" s="26" t="s">
        <v>839</v>
      </c>
    </row>
    <row r="84" spans="1:5" x14ac:dyDescent="0.35">
      <c r="A84" s="19" t="s">
        <v>254</v>
      </c>
      <c r="B84" s="26">
        <v>725</v>
      </c>
      <c r="C84" s="26" t="s">
        <v>255</v>
      </c>
      <c r="D84" s="27" t="s">
        <v>256</v>
      </c>
      <c r="E84" s="26" t="s">
        <v>836</v>
      </c>
    </row>
    <row r="85" spans="1:5" x14ac:dyDescent="0.35">
      <c r="A85" s="19" t="s">
        <v>610</v>
      </c>
      <c r="B85" s="26">
        <v>726</v>
      </c>
      <c r="C85" s="26" t="s">
        <v>611</v>
      </c>
      <c r="D85" s="27" t="s">
        <v>612</v>
      </c>
      <c r="E85" s="26" t="s">
        <v>836</v>
      </c>
    </row>
    <row r="86" spans="1:5" x14ac:dyDescent="0.35">
      <c r="A86" s="19" t="s">
        <v>265</v>
      </c>
      <c r="B86" s="26">
        <v>728</v>
      </c>
      <c r="C86" s="26" t="s">
        <v>266</v>
      </c>
      <c r="D86" s="27" t="s">
        <v>267</v>
      </c>
      <c r="E86" s="26" t="s">
        <v>838</v>
      </c>
    </row>
    <row r="87" spans="1:5" x14ac:dyDescent="0.35">
      <c r="A87" s="19" t="s">
        <v>522</v>
      </c>
      <c r="B87" s="26">
        <v>729</v>
      </c>
      <c r="C87" s="26" t="s">
        <v>523</v>
      </c>
      <c r="D87" s="27" t="s">
        <v>524</v>
      </c>
      <c r="E87" s="26" t="s">
        <v>837</v>
      </c>
    </row>
    <row r="88" spans="1:5" x14ac:dyDescent="0.35">
      <c r="A88" s="19" t="s">
        <v>270</v>
      </c>
      <c r="B88" s="26">
        <v>730</v>
      </c>
      <c r="C88" s="26" t="s">
        <v>271</v>
      </c>
      <c r="D88" s="27" t="s">
        <v>272</v>
      </c>
      <c r="E88" s="26" t="s">
        <v>837</v>
      </c>
    </row>
    <row r="89" spans="1:5" x14ac:dyDescent="0.35">
      <c r="A89" s="19" t="s">
        <v>540</v>
      </c>
      <c r="B89" s="26">
        <v>731</v>
      </c>
      <c r="C89" s="26" t="s">
        <v>541</v>
      </c>
      <c r="D89" s="27" t="s">
        <v>539</v>
      </c>
      <c r="E89" s="26" t="s">
        <v>838</v>
      </c>
    </row>
    <row r="90" spans="1:5" x14ac:dyDescent="0.35">
      <c r="A90" s="19" t="s">
        <v>546</v>
      </c>
      <c r="B90" s="26">
        <v>732</v>
      </c>
      <c r="C90" s="26" t="s">
        <v>547</v>
      </c>
      <c r="D90" s="27" t="s">
        <v>539</v>
      </c>
      <c r="E90" s="26" t="s">
        <v>838</v>
      </c>
    </row>
    <row r="91" spans="1:5" x14ac:dyDescent="0.35">
      <c r="A91" s="19" t="s">
        <v>274</v>
      </c>
      <c r="B91" s="26">
        <v>733</v>
      </c>
      <c r="C91" s="26" t="s">
        <v>275</v>
      </c>
      <c r="D91" s="27" t="s">
        <v>277</v>
      </c>
      <c r="E91" s="26" t="s">
        <v>839</v>
      </c>
    </row>
    <row r="92" spans="1:5" x14ac:dyDescent="0.35">
      <c r="A92" s="19" t="s">
        <v>280</v>
      </c>
      <c r="B92" s="26">
        <v>734</v>
      </c>
      <c r="C92" s="26" t="s">
        <v>281</v>
      </c>
      <c r="D92" s="27" t="s">
        <v>282</v>
      </c>
      <c r="E92" s="26" t="s">
        <v>839</v>
      </c>
    </row>
    <row r="93" spans="1:5" x14ac:dyDescent="0.35">
      <c r="A93" s="19" t="s">
        <v>635</v>
      </c>
      <c r="B93" s="30">
        <v>735</v>
      </c>
      <c r="C93" s="30" t="s">
        <v>636</v>
      </c>
      <c r="D93" s="27" t="s">
        <v>637</v>
      </c>
      <c r="E93" s="30" t="s">
        <v>838</v>
      </c>
    </row>
    <row r="94" spans="1:5" x14ac:dyDescent="0.35">
      <c r="A94" s="19" t="s">
        <v>285</v>
      </c>
      <c r="B94" s="26">
        <v>736</v>
      </c>
      <c r="C94" s="26" t="s">
        <v>286</v>
      </c>
      <c r="D94" s="27" t="s">
        <v>872</v>
      </c>
      <c r="E94" s="26" t="s">
        <v>837</v>
      </c>
    </row>
    <row r="95" spans="1:5" x14ac:dyDescent="0.35">
      <c r="A95" s="19" t="s">
        <v>289</v>
      </c>
      <c r="B95" s="26">
        <v>737</v>
      </c>
      <c r="C95" s="26" t="s">
        <v>290</v>
      </c>
      <c r="D95" s="27" t="s">
        <v>290</v>
      </c>
      <c r="E95" s="26" t="s">
        <v>839</v>
      </c>
    </row>
    <row r="96" spans="1:5" x14ac:dyDescent="0.35">
      <c r="A96" s="19" t="s">
        <v>686</v>
      </c>
      <c r="B96" s="26">
        <v>738</v>
      </c>
      <c r="C96" s="26" t="s">
        <v>687</v>
      </c>
      <c r="D96" s="27" t="s">
        <v>688</v>
      </c>
      <c r="E96" s="26" t="s">
        <v>836</v>
      </c>
    </row>
    <row r="97" spans="1:5" x14ac:dyDescent="0.35">
      <c r="A97" s="19" t="s">
        <v>602</v>
      </c>
      <c r="B97" s="26">
        <v>739</v>
      </c>
      <c r="C97" s="26" t="s">
        <v>604</v>
      </c>
      <c r="D97" s="27" t="s">
        <v>603</v>
      </c>
      <c r="E97" s="26" t="s">
        <v>837</v>
      </c>
    </row>
    <row r="98" spans="1:5" x14ac:dyDescent="0.35">
      <c r="A98" s="19" t="s">
        <v>548</v>
      </c>
      <c r="B98" s="26">
        <v>740</v>
      </c>
      <c r="C98" s="26" t="s">
        <v>549</v>
      </c>
      <c r="D98" s="27" t="s">
        <v>539</v>
      </c>
      <c r="E98" s="26" t="s">
        <v>838</v>
      </c>
    </row>
    <row r="99" spans="1:5" x14ac:dyDescent="0.35">
      <c r="A99" s="19" t="s">
        <v>292</v>
      </c>
      <c r="B99" s="26">
        <v>741</v>
      </c>
      <c r="C99" s="30" t="s">
        <v>293</v>
      </c>
      <c r="D99" s="27" t="s">
        <v>295</v>
      </c>
      <c r="E99" s="26" t="s">
        <v>836</v>
      </c>
    </row>
    <row r="100" spans="1:5" x14ac:dyDescent="0.35">
      <c r="A100" s="19" t="s">
        <v>297</v>
      </c>
      <c r="B100" s="26">
        <v>742</v>
      </c>
      <c r="C100" s="30" t="s">
        <v>298</v>
      </c>
      <c r="D100" s="27" t="s">
        <v>300</v>
      </c>
      <c r="E100" s="26" t="s">
        <v>839</v>
      </c>
    </row>
    <row r="101" spans="1:5" x14ac:dyDescent="0.35">
      <c r="A101" s="19" t="s">
        <v>302</v>
      </c>
      <c r="B101" s="26">
        <v>743</v>
      </c>
      <c r="C101" s="30" t="s">
        <v>303</v>
      </c>
      <c r="D101" s="27" t="s">
        <v>304</v>
      </c>
      <c r="E101" s="26" t="s">
        <v>836</v>
      </c>
    </row>
    <row r="102" spans="1:5" x14ac:dyDescent="0.35">
      <c r="A102" s="19" t="s">
        <v>307</v>
      </c>
      <c r="B102" s="26">
        <v>744</v>
      </c>
      <c r="C102" s="31" t="s">
        <v>308</v>
      </c>
      <c r="D102" s="27" t="s">
        <v>309</v>
      </c>
      <c r="E102" s="30" t="s">
        <v>836</v>
      </c>
    </row>
    <row r="103" spans="1:5" x14ac:dyDescent="0.35">
      <c r="A103" s="19" t="s">
        <v>683</v>
      </c>
      <c r="B103" s="30">
        <v>745</v>
      </c>
      <c r="C103" s="31" t="s">
        <v>684</v>
      </c>
      <c r="D103" s="27" t="s">
        <v>685</v>
      </c>
      <c r="E103" s="26" t="s">
        <v>837</v>
      </c>
    </row>
    <row r="104" spans="1:5" x14ac:dyDescent="0.35">
      <c r="A104" s="19" t="s">
        <v>312</v>
      </c>
      <c r="B104" s="32">
        <v>746</v>
      </c>
      <c r="C104" s="31" t="s">
        <v>313</v>
      </c>
      <c r="D104" s="27" t="s">
        <v>315</v>
      </c>
      <c r="E104" s="26" t="s">
        <v>836</v>
      </c>
    </row>
    <row r="105" spans="1:5" x14ac:dyDescent="0.35">
      <c r="A105" s="19" t="s">
        <v>576</v>
      </c>
      <c r="B105" s="32">
        <v>747</v>
      </c>
      <c r="C105" s="31" t="s">
        <v>577</v>
      </c>
      <c r="D105" s="27" t="s">
        <v>578</v>
      </c>
      <c r="E105" s="30" t="s">
        <v>838</v>
      </c>
    </row>
    <row r="106" spans="1:5" x14ac:dyDescent="0.35">
      <c r="A106" s="19" t="s">
        <v>318</v>
      </c>
      <c r="B106" s="32">
        <v>748</v>
      </c>
      <c r="C106" s="31" t="s">
        <v>319</v>
      </c>
      <c r="D106" s="27" t="s">
        <v>320</v>
      </c>
      <c r="E106" s="26" t="s">
        <v>837</v>
      </c>
    </row>
    <row r="107" spans="1:5" x14ac:dyDescent="0.35">
      <c r="A107" s="19" t="s">
        <v>322</v>
      </c>
      <c r="B107" s="32">
        <v>749</v>
      </c>
      <c r="C107" s="31" t="s">
        <v>323</v>
      </c>
      <c r="D107" s="27" t="s">
        <v>325</v>
      </c>
      <c r="E107" s="26" t="s">
        <v>836</v>
      </c>
    </row>
    <row r="108" spans="1:5" x14ac:dyDescent="0.35">
      <c r="A108" s="19" t="s">
        <v>328</v>
      </c>
      <c r="B108" s="32">
        <v>750</v>
      </c>
      <c r="C108" s="31" t="s">
        <v>329</v>
      </c>
      <c r="D108" s="27" t="s">
        <v>330</v>
      </c>
      <c r="E108" s="26" t="s">
        <v>837</v>
      </c>
    </row>
    <row r="109" spans="1:5" x14ac:dyDescent="0.35">
      <c r="A109" s="19" t="s">
        <v>333</v>
      </c>
      <c r="B109" s="32">
        <v>751</v>
      </c>
      <c r="C109" s="31" t="s">
        <v>334</v>
      </c>
      <c r="D109" s="27" t="s">
        <v>335</v>
      </c>
      <c r="E109" s="26" t="s">
        <v>839</v>
      </c>
    </row>
    <row r="110" spans="1:5" x14ac:dyDescent="0.35">
      <c r="A110" s="19" t="s">
        <v>338</v>
      </c>
      <c r="B110" s="32">
        <v>752</v>
      </c>
      <c r="C110" s="31" t="s">
        <v>339</v>
      </c>
      <c r="D110" s="27" t="s">
        <v>340</v>
      </c>
      <c r="E110" s="26" t="s">
        <v>838</v>
      </c>
    </row>
    <row r="111" spans="1:5" x14ac:dyDescent="0.35">
      <c r="A111" s="19" t="s">
        <v>343</v>
      </c>
      <c r="B111" s="32">
        <v>753</v>
      </c>
      <c r="C111" s="31" t="s">
        <v>344</v>
      </c>
      <c r="D111" s="27" t="s">
        <v>345</v>
      </c>
      <c r="E111" s="26" t="s">
        <v>839</v>
      </c>
    </row>
    <row r="112" spans="1:5" x14ac:dyDescent="0.35">
      <c r="A112" s="19" t="s">
        <v>348</v>
      </c>
      <c r="B112" s="32">
        <v>754</v>
      </c>
      <c r="C112" s="31" t="s">
        <v>349</v>
      </c>
      <c r="D112" s="27" t="s">
        <v>349</v>
      </c>
      <c r="E112" s="26" t="s">
        <v>839</v>
      </c>
    </row>
    <row r="113" spans="1:5" x14ac:dyDescent="0.35">
      <c r="A113" s="19" t="s">
        <v>352</v>
      </c>
      <c r="B113" s="32">
        <v>755</v>
      </c>
      <c r="C113" s="31" t="s">
        <v>353</v>
      </c>
      <c r="D113" s="27" t="s">
        <v>353</v>
      </c>
      <c r="E113" s="26" t="s">
        <v>839</v>
      </c>
    </row>
    <row r="114" spans="1:5" x14ac:dyDescent="0.35">
      <c r="A114" s="19" t="s">
        <v>356</v>
      </c>
      <c r="B114" s="32">
        <v>756</v>
      </c>
      <c r="C114" s="31" t="s">
        <v>357</v>
      </c>
      <c r="D114" s="27" t="s">
        <v>358</v>
      </c>
      <c r="E114" s="26" t="s">
        <v>838</v>
      </c>
    </row>
    <row r="115" spans="1:5" x14ac:dyDescent="0.35">
      <c r="A115" s="19" t="s">
        <v>361</v>
      </c>
      <c r="B115" s="32">
        <v>757</v>
      </c>
      <c r="C115" s="31" t="s">
        <v>362</v>
      </c>
      <c r="D115" s="27" t="s">
        <v>364</v>
      </c>
      <c r="E115" s="26" t="s">
        <v>839</v>
      </c>
    </row>
    <row r="116" spans="1:5" x14ac:dyDescent="0.35">
      <c r="A116" s="19" t="s">
        <v>525</v>
      </c>
      <c r="B116" s="33">
        <v>758</v>
      </c>
      <c r="C116" s="30" t="s">
        <v>526</v>
      </c>
      <c r="D116" s="27" t="s">
        <v>527</v>
      </c>
      <c r="E116" s="26" t="s">
        <v>837</v>
      </c>
    </row>
    <row r="117" spans="1:5" x14ac:dyDescent="0.35">
      <c r="A117" s="19" t="s">
        <v>367</v>
      </c>
      <c r="B117" s="33">
        <v>759</v>
      </c>
      <c r="C117" s="30" t="s">
        <v>368</v>
      </c>
      <c r="D117" s="27" t="s">
        <v>369</v>
      </c>
      <c r="E117" s="26" t="s">
        <v>838</v>
      </c>
    </row>
    <row r="118" spans="1:5" x14ac:dyDescent="0.35">
      <c r="A118" s="19" t="s">
        <v>648</v>
      </c>
      <c r="B118" s="33">
        <v>760</v>
      </c>
      <c r="C118" s="30" t="s">
        <v>649</v>
      </c>
      <c r="D118" s="27" t="s">
        <v>374</v>
      </c>
      <c r="E118" s="26" t="s">
        <v>838</v>
      </c>
    </row>
    <row r="119" spans="1:5" x14ac:dyDescent="0.35">
      <c r="A119" s="19" t="s">
        <v>371</v>
      </c>
      <c r="B119" s="33">
        <v>761</v>
      </c>
      <c r="C119" s="30" t="s">
        <v>372</v>
      </c>
      <c r="D119" s="27" t="s">
        <v>374</v>
      </c>
      <c r="E119" s="26" t="s">
        <v>838</v>
      </c>
    </row>
    <row r="120" spans="1:5" x14ac:dyDescent="0.35">
      <c r="A120" s="19" t="s">
        <v>377</v>
      </c>
      <c r="B120" s="33">
        <v>762</v>
      </c>
      <c r="C120" s="30" t="s">
        <v>378</v>
      </c>
      <c r="D120" s="27" t="s">
        <v>379</v>
      </c>
      <c r="E120" s="26" t="s">
        <v>839</v>
      </c>
    </row>
    <row r="121" spans="1:5" x14ac:dyDescent="0.35">
      <c r="A121" s="19" t="s">
        <v>382</v>
      </c>
      <c r="B121" s="33">
        <v>763</v>
      </c>
      <c r="C121" s="30" t="s">
        <v>383</v>
      </c>
      <c r="D121" s="27" t="s">
        <v>384</v>
      </c>
      <c r="E121" s="26" t="s">
        <v>837</v>
      </c>
    </row>
    <row r="122" spans="1:5" x14ac:dyDescent="0.35">
      <c r="A122" s="19" t="s">
        <v>387</v>
      </c>
      <c r="B122" s="32">
        <v>764</v>
      </c>
      <c r="C122" s="31" t="s">
        <v>388</v>
      </c>
      <c r="D122" s="27" t="s">
        <v>389</v>
      </c>
      <c r="E122" s="26" t="s">
        <v>837</v>
      </c>
    </row>
    <row r="123" spans="1:5" x14ac:dyDescent="0.35">
      <c r="A123" s="19" t="s">
        <v>617</v>
      </c>
      <c r="B123" s="32">
        <v>765</v>
      </c>
      <c r="C123" s="31" t="s">
        <v>618</v>
      </c>
      <c r="D123" s="27" t="s">
        <v>619</v>
      </c>
      <c r="E123" s="26" t="s">
        <v>838</v>
      </c>
    </row>
    <row r="124" spans="1:5" x14ac:dyDescent="0.35">
      <c r="A124" s="19" t="s">
        <v>392</v>
      </c>
      <c r="B124" s="32">
        <v>766</v>
      </c>
      <c r="C124" s="31" t="s">
        <v>393</v>
      </c>
      <c r="D124" s="27" t="s">
        <v>395</v>
      </c>
      <c r="E124" s="26" t="s">
        <v>838</v>
      </c>
    </row>
    <row r="125" spans="1:5" x14ac:dyDescent="0.35">
      <c r="A125" s="19" t="s">
        <v>398</v>
      </c>
      <c r="B125" s="33">
        <v>767</v>
      </c>
      <c r="C125" s="30" t="s">
        <v>401</v>
      </c>
      <c r="D125" s="27" t="s">
        <v>402</v>
      </c>
      <c r="E125" s="26" t="s">
        <v>836</v>
      </c>
    </row>
    <row r="126" spans="1:5" x14ac:dyDescent="0.35">
      <c r="A126" s="19" t="s">
        <v>638</v>
      </c>
      <c r="B126" s="33">
        <v>768</v>
      </c>
      <c r="C126" s="34" t="s">
        <v>639</v>
      </c>
      <c r="D126" s="27" t="s">
        <v>640</v>
      </c>
      <c r="E126" s="26" t="s">
        <v>838</v>
      </c>
    </row>
    <row r="127" spans="1:5" x14ac:dyDescent="0.35">
      <c r="A127" s="19" t="s">
        <v>405</v>
      </c>
      <c r="B127" s="33">
        <v>769</v>
      </c>
      <c r="C127" s="34" t="s">
        <v>406</v>
      </c>
      <c r="D127" s="27" t="s">
        <v>407</v>
      </c>
      <c r="E127" s="26" t="s">
        <v>838</v>
      </c>
    </row>
    <row r="128" spans="1:5" x14ac:dyDescent="0.35">
      <c r="A128" s="19" t="s">
        <v>410</v>
      </c>
      <c r="B128" s="35">
        <v>770</v>
      </c>
      <c r="C128" s="36" t="s">
        <v>14</v>
      </c>
      <c r="D128" s="27" t="s">
        <v>411</v>
      </c>
      <c r="E128" s="37" t="s">
        <v>838</v>
      </c>
    </row>
    <row r="129" spans="1:5" x14ac:dyDescent="0.35">
      <c r="A129" s="19" t="s">
        <v>413</v>
      </c>
      <c r="B129" s="37">
        <v>771</v>
      </c>
      <c r="C129" s="37" t="s">
        <v>414</v>
      </c>
      <c r="D129" s="27" t="s">
        <v>627</v>
      </c>
      <c r="E129" s="37" t="s">
        <v>838</v>
      </c>
    </row>
    <row r="130" spans="1:5" x14ac:dyDescent="0.35">
      <c r="A130" s="19" t="s">
        <v>550</v>
      </c>
      <c r="B130" s="37">
        <v>772</v>
      </c>
      <c r="C130" s="37" t="s">
        <v>551</v>
      </c>
      <c r="D130" s="27" t="s">
        <v>552</v>
      </c>
      <c r="E130" s="37" t="s">
        <v>836</v>
      </c>
    </row>
    <row r="131" spans="1:5" x14ac:dyDescent="0.35">
      <c r="A131" s="19" t="s">
        <v>419</v>
      </c>
      <c r="B131" s="37">
        <v>773</v>
      </c>
      <c r="C131" s="37" t="s">
        <v>420</v>
      </c>
      <c r="D131" s="27" t="s">
        <v>422</v>
      </c>
      <c r="E131" s="37" t="s">
        <v>838</v>
      </c>
    </row>
    <row r="132" spans="1:5" x14ac:dyDescent="0.35">
      <c r="A132" s="19" t="s">
        <v>645</v>
      </c>
      <c r="B132" s="37">
        <v>774</v>
      </c>
      <c r="C132" s="37" t="s">
        <v>646</v>
      </c>
      <c r="D132" s="27" t="s">
        <v>647</v>
      </c>
      <c r="E132" s="37" t="s">
        <v>838</v>
      </c>
    </row>
    <row r="133" spans="1:5" x14ac:dyDescent="0.35">
      <c r="A133" s="19" t="s">
        <v>424</v>
      </c>
      <c r="B133" s="37">
        <v>775</v>
      </c>
      <c r="C133" s="37" t="s">
        <v>425</v>
      </c>
      <c r="D133" s="27" t="s">
        <v>427</v>
      </c>
      <c r="E133" s="37" t="s">
        <v>838</v>
      </c>
    </row>
    <row r="134" spans="1:5" x14ac:dyDescent="0.35">
      <c r="A134" s="19" t="s">
        <v>430</v>
      </c>
      <c r="B134" s="37">
        <v>776</v>
      </c>
      <c r="C134" s="37" t="s">
        <v>431</v>
      </c>
      <c r="D134" s="27" t="s">
        <v>433</v>
      </c>
      <c r="E134" s="37" t="s">
        <v>836</v>
      </c>
    </row>
    <row r="135" spans="1:5" x14ac:dyDescent="0.35">
      <c r="A135" s="19" t="s">
        <v>613</v>
      </c>
      <c r="B135" s="38">
        <v>777</v>
      </c>
      <c r="C135" s="37" t="s">
        <v>614</v>
      </c>
      <c r="D135" s="27" t="s">
        <v>615</v>
      </c>
      <c r="E135" s="37" t="s">
        <v>838</v>
      </c>
    </row>
    <row r="136" spans="1:5" x14ac:dyDescent="0.35">
      <c r="A136" s="19" t="s">
        <v>436</v>
      </c>
      <c r="B136" s="37">
        <v>778</v>
      </c>
      <c r="C136" s="37" t="s">
        <v>437</v>
      </c>
      <c r="D136" s="27" t="s">
        <v>438</v>
      </c>
      <c r="E136" s="37" t="s">
        <v>839</v>
      </c>
    </row>
    <row r="137" spans="1:5" x14ac:dyDescent="0.35">
      <c r="A137" s="19" t="s">
        <v>441</v>
      </c>
      <c r="B137" s="38">
        <v>779</v>
      </c>
      <c r="C137" s="37" t="s">
        <v>442</v>
      </c>
      <c r="D137" s="27" t="s">
        <v>444</v>
      </c>
      <c r="E137" s="37" t="s">
        <v>838</v>
      </c>
    </row>
    <row r="138" spans="1:5" x14ac:dyDescent="0.35">
      <c r="A138" s="19" t="s">
        <v>447</v>
      </c>
      <c r="B138" s="38">
        <v>780</v>
      </c>
      <c r="C138" s="37" t="s">
        <v>448</v>
      </c>
      <c r="D138" s="27" t="s">
        <v>449</v>
      </c>
      <c r="E138" s="37" t="s">
        <v>838</v>
      </c>
    </row>
    <row r="139" spans="1:5" x14ac:dyDescent="0.35">
      <c r="A139" s="19" t="s">
        <v>452</v>
      </c>
      <c r="B139" s="38">
        <v>781</v>
      </c>
      <c r="C139" s="39" t="s">
        <v>453</v>
      </c>
      <c r="D139" s="27" t="s">
        <v>455</v>
      </c>
      <c r="E139" s="37" t="s">
        <v>839</v>
      </c>
    </row>
    <row r="140" spans="1:5" x14ac:dyDescent="0.35">
      <c r="A140" s="19" t="s">
        <v>458</v>
      </c>
      <c r="B140" s="38">
        <v>782</v>
      </c>
      <c r="C140" s="39" t="s">
        <v>459</v>
      </c>
      <c r="D140" s="27" t="s">
        <v>461</v>
      </c>
      <c r="E140" s="37" t="s">
        <v>839</v>
      </c>
    </row>
    <row r="141" spans="1:5" x14ac:dyDescent="0.35">
      <c r="A141" s="19" t="s">
        <v>656</v>
      </c>
      <c r="B141" s="37">
        <v>784</v>
      </c>
      <c r="C141" s="39" t="s">
        <v>657</v>
      </c>
      <c r="D141" s="27" t="s">
        <v>659</v>
      </c>
      <c r="E141" s="40" t="s">
        <v>838</v>
      </c>
    </row>
    <row r="142" spans="1:5" x14ac:dyDescent="0.35">
      <c r="A142" s="19" t="s">
        <v>470</v>
      </c>
      <c r="B142" s="37">
        <v>785</v>
      </c>
      <c r="C142" s="39" t="s">
        <v>471</v>
      </c>
      <c r="D142" s="27" t="s">
        <v>472</v>
      </c>
      <c r="E142" s="40" t="s">
        <v>838</v>
      </c>
    </row>
    <row r="143" spans="1:5" x14ac:dyDescent="0.35">
      <c r="A143" s="19" t="s">
        <v>605</v>
      </c>
      <c r="B143" s="41">
        <v>786</v>
      </c>
      <c r="C143" s="41" t="s">
        <v>606</v>
      </c>
      <c r="D143" s="27" t="s">
        <v>609</v>
      </c>
      <c r="E143" s="41" t="s">
        <v>839</v>
      </c>
    </row>
    <row r="144" spans="1:5" x14ac:dyDescent="0.35">
      <c r="A144" s="19" t="s">
        <v>475</v>
      </c>
      <c r="B144" s="42">
        <v>787</v>
      </c>
      <c r="C144" s="30" t="s">
        <v>873</v>
      </c>
      <c r="D144" s="27" t="s">
        <v>477</v>
      </c>
      <c r="E144" s="30" t="s">
        <v>836</v>
      </c>
    </row>
    <row r="145" spans="1:5" x14ac:dyDescent="0.35">
      <c r="A145" s="19" t="s">
        <v>481</v>
      </c>
      <c r="B145" s="38">
        <v>788</v>
      </c>
      <c r="C145" s="39" t="s">
        <v>482</v>
      </c>
      <c r="D145" s="27" t="s">
        <v>484</v>
      </c>
      <c r="E145" s="40" t="s">
        <v>837</v>
      </c>
    </row>
    <row r="146" spans="1:5" x14ac:dyDescent="0.35">
      <c r="A146" s="19" t="s">
        <v>487</v>
      </c>
      <c r="B146" s="37">
        <v>789</v>
      </c>
      <c r="C146" s="39" t="s">
        <v>488</v>
      </c>
      <c r="D146" s="27" t="s">
        <v>489</v>
      </c>
      <c r="E146" s="40" t="s">
        <v>838</v>
      </c>
    </row>
    <row r="147" spans="1:5" x14ac:dyDescent="0.35">
      <c r="A147" s="19" t="s">
        <v>149</v>
      </c>
      <c r="B147" s="37">
        <v>790</v>
      </c>
      <c r="C147" s="39" t="s">
        <v>151</v>
      </c>
      <c r="D147" s="27" t="s">
        <v>150</v>
      </c>
      <c r="E147" s="40" t="s">
        <v>839</v>
      </c>
    </row>
    <row r="148" spans="1:5" x14ac:dyDescent="0.35">
      <c r="A148" s="19" t="s">
        <v>491</v>
      </c>
      <c r="B148" s="37">
        <v>791</v>
      </c>
      <c r="C148" s="39" t="s">
        <v>492</v>
      </c>
      <c r="D148" s="27" t="s">
        <v>806</v>
      </c>
      <c r="E148" s="40" t="s">
        <v>836</v>
      </c>
    </row>
    <row r="149" spans="1:5" x14ac:dyDescent="0.35">
      <c r="A149" s="19" t="s">
        <v>496</v>
      </c>
      <c r="B149" s="37">
        <v>792</v>
      </c>
      <c r="C149" s="39" t="s">
        <v>497</v>
      </c>
      <c r="D149" s="27" t="s">
        <v>499</v>
      </c>
      <c r="E149" s="40" t="s">
        <v>837</v>
      </c>
    </row>
    <row r="150" spans="1:5" x14ac:dyDescent="0.35">
      <c r="A150" s="19" t="s">
        <v>155</v>
      </c>
      <c r="B150" s="38">
        <v>793</v>
      </c>
      <c r="C150" s="39" t="s">
        <v>157</v>
      </c>
      <c r="D150" s="27" t="s">
        <v>157</v>
      </c>
      <c r="E150" s="40" t="s">
        <v>836</v>
      </c>
    </row>
    <row r="151" spans="1:5" x14ac:dyDescent="0.35">
      <c r="A151" s="19" t="s">
        <v>501</v>
      </c>
      <c r="B151" s="38">
        <v>794</v>
      </c>
      <c r="C151" s="39" t="s">
        <v>502</v>
      </c>
      <c r="D151" s="27" t="s">
        <v>504</v>
      </c>
      <c r="E151" s="40" t="s">
        <v>837</v>
      </c>
    </row>
    <row r="152" spans="1:5" x14ac:dyDescent="0.35">
      <c r="A152" s="19" t="s">
        <v>507</v>
      </c>
      <c r="B152" s="38">
        <v>795</v>
      </c>
      <c r="C152" s="39" t="s">
        <v>508</v>
      </c>
      <c r="D152" s="27" t="s">
        <v>510</v>
      </c>
      <c r="E152" s="40" t="s">
        <v>836</v>
      </c>
    </row>
    <row r="153" spans="1:5" x14ac:dyDescent="0.35">
      <c r="A153" s="19" t="s">
        <v>572</v>
      </c>
      <c r="B153" s="38">
        <v>796</v>
      </c>
      <c r="C153" s="39" t="s">
        <v>575</v>
      </c>
      <c r="D153" s="27" t="s">
        <v>574</v>
      </c>
      <c r="E153" s="40" t="s">
        <v>836</v>
      </c>
    </row>
    <row r="154" spans="1:5" x14ac:dyDescent="0.35">
      <c r="A154" s="19" t="s">
        <v>689</v>
      </c>
      <c r="B154" s="38">
        <v>797</v>
      </c>
      <c r="C154" s="39" t="s">
        <v>690</v>
      </c>
      <c r="D154" s="27" t="s">
        <v>691</v>
      </c>
      <c r="E154" s="40" t="s">
        <v>836</v>
      </c>
    </row>
    <row r="155" spans="1:5" x14ac:dyDescent="0.35">
      <c r="A155" s="19" t="s">
        <v>512</v>
      </c>
      <c r="B155" s="37">
        <v>845</v>
      </c>
      <c r="C155" s="39" t="s">
        <v>513</v>
      </c>
      <c r="D155" s="27" t="s">
        <v>514</v>
      </c>
      <c r="E155" s="40" t="s">
        <v>836</v>
      </c>
    </row>
    <row r="156" spans="1:5" x14ac:dyDescent="0.35">
      <c r="A156" s="19" t="s">
        <v>874</v>
      </c>
      <c r="B156" s="37" t="s">
        <v>875</v>
      </c>
      <c r="C156" s="39" t="s">
        <v>260</v>
      </c>
      <c r="D156" s="27" t="s">
        <v>262</v>
      </c>
      <c r="E156" s="40" t="s">
        <v>838</v>
      </c>
    </row>
    <row r="157" spans="1:5" x14ac:dyDescent="0.35">
      <c r="A157" s="19" t="s">
        <v>561</v>
      </c>
      <c r="B157" s="37" t="s">
        <v>566</v>
      </c>
      <c r="C157" s="39" t="s">
        <v>563</v>
      </c>
      <c r="D157" s="27" t="s">
        <v>569</v>
      </c>
      <c r="E157" s="40" t="s">
        <v>838</v>
      </c>
    </row>
    <row r="158" spans="1:5" x14ac:dyDescent="0.35">
      <c r="A158" s="19" t="s">
        <v>876</v>
      </c>
      <c r="B158" s="43" t="s">
        <v>877</v>
      </c>
      <c r="C158" s="43" t="s">
        <v>465</v>
      </c>
      <c r="D158" s="19" t="s">
        <v>466</v>
      </c>
      <c r="E158" s="43" t="s">
        <v>839</v>
      </c>
    </row>
    <row r="159" spans="1:5" x14ac:dyDescent="0.35">
      <c r="A159" s="19" t="s">
        <v>878</v>
      </c>
      <c r="B159" s="44" t="s">
        <v>879</v>
      </c>
      <c r="C159" s="19" t="s">
        <v>573</v>
      </c>
      <c r="D159" s="19" t="s">
        <v>880</v>
      </c>
      <c r="E159" s="43" t="s">
        <v>836</v>
      </c>
    </row>
    <row r="160" spans="1:5" x14ac:dyDescent="0.35">
      <c r="A160" s="19" t="s">
        <v>624</v>
      </c>
      <c r="B160" s="43" t="s">
        <v>625</v>
      </c>
      <c r="C160" s="43" t="s">
        <v>626</v>
      </c>
      <c r="D160" s="19" t="s">
        <v>627</v>
      </c>
      <c r="E160" s="43" t="s">
        <v>838</v>
      </c>
    </row>
    <row r="161" spans="1:5" x14ac:dyDescent="0.35">
      <c r="A161" s="45"/>
      <c r="B161" s="45"/>
      <c r="C161" s="19"/>
      <c r="D161" s="19"/>
      <c r="E161" s="19"/>
    </row>
    <row r="162" spans="1:5" x14ac:dyDescent="0.35">
      <c r="A162" s="45"/>
      <c r="B162" s="45"/>
      <c r="C162" s="19"/>
      <c r="D162" s="19"/>
      <c r="E162" s="19"/>
    </row>
    <row r="163" spans="1:5" x14ac:dyDescent="0.35">
      <c r="A163" s="45"/>
      <c r="B163" s="45"/>
      <c r="C163" s="19"/>
      <c r="D163" s="19"/>
      <c r="E163" s="19"/>
    </row>
    <row r="164" spans="1:5" x14ac:dyDescent="0.35">
      <c r="A164" s="45"/>
      <c r="B164" s="45"/>
      <c r="C164" s="19"/>
      <c r="D164" s="19"/>
      <c r="E164" s="19"/>
    </row>
    <row r="165" spans="1:5" x14ac:dyDescent="0.35">
      <c r="A165" s="45"/>
      <c r="B165" s="45"/>
      <c r="C165" s="19"/>
      <c r="D165" s="19"/>
      <c r="E165" s="19"/>
    </row>
    <row r="166" spans="1:5" x14ac:dyDescent="0.35">
      <c r="A166" s="45"/>
      <c r="B166" s="45"/>
      <c r="C166" s="19"/>
      <c r="D166" s="19"/>
      <c r="E166" s="19"/>
    </row>
    <row r="167" spans="1:5" x14ac:dyDescent="0.35">
      <c r="A167" s="45"/>
      <c r="B167" s="45"/>
      <c r="C167" s="19"/>
      <c r="D167" s="19"/>
      <c r="E167" s="19"/>
    </row>
    <row r="168" spans="1:5" x14ac:dyDescent="0.35">
      <c r="A168" s="45"/>
      <c r="B168" s="45"/>
      <c r="C168" s="19"/>
      <c r="D168" s="19"/>
      <c r="E168" s="19"/>
    </row>
    <row r="169" spans="1:5" x14ac:dyDescent="0.35">
      <c r="A169" s="45"/>
      <c r="B169" s="45"/>
      <c r="C169" s="19"/>
      <c r="D169" s="19"/>
      <c r="E169" s="19"/>
    </row>
    <row r="170" spans="1:5" x14ac:dyDescent="0.35">
      <c r="A170" s="45"/>
      <c r="B170" s="45"/>
      <c r="C170" s="19"/>
      <c r="D170" s="19"/>
      <c r="E170" s="19"/>
    </row>
    <row r="171" spans="1:5" x14ac:dyDescent="0.35">
      <c r="A171" s="45"/>
      <c r="B171" s="45"/>
      <c r="C171" s="19"/>
      <c r="D171" s="19"/>
      <c r="E171" s="19"/>
    </row>
    <row r="172" spans="1:5" x14ac:dyDescent="0.35">
      <c r="A172" s="45"/>
      <c r="B172" s="45"/>
      <c r="C172" s="19"/>
      <c r="D172" s="19"/>
      <c r="E172" s="19"/>
    </row>
    <row r="173" spans="1:5" x14ac:dyDescent="0.35">
      <c r="A173" s="45"/>
      <c r="B173" s="45"/>
      <c r="C173" s="19"/>
      <c r="D173" s="19"/>
      <c r="E173" s="19"/>
    </row>
    <row r="174" spans="1:5" x14ac:dyDescent="0.35">
      <c r="A174" s="45"/>
      <c r="B174" s="45"/>
      <c r="C174" s="19"/>
      <c r="D174" s="19"/>
      <c r="E174" s="19"/>
    </row>
    <row r="175" spans="1:5" x14ac:dyDescent="0.35">
      <c r="A175" s="45"/>
      <c r="B175" s="45"/>
      <c r="C175" s="19"/>
      <c r="D175" s="19"/>
      <c r="E175" s="19"/>
    </row>
    <row r="176" spans="1:5" x14ac:dyDescent="0.35">
      <c r="A176" s="45"/>
      <c r="B176" s="45"/>
      <c r="C176" s="19"/>
      <c r="D176" s="19"/>
      <c r="E176" s="19"/>
    </row>
  </sheetData>
  <mergeCells count="20">
    <mergeCell ref="A175:B175"/>
    <mergeCell ref="A176:B176"/>
    <mergeCell ref="A169:B169"/>
    <mergeCell ref="A170:B170"/>
    <mergeCell ref="A171:B171"/>
    <mergeCell ref="A172:B172"/>
    <mergeCell ref="A173:B173"/>
    <mergeCell ref="A174:B174"/>
    <mergeCell ref="A168:B168"/>
    <mergeCell ref="A4:A5"/>
    <mergeCell ref="C4:C5"/>
    <mergeCell ref="D4:D5"/>
    <mergeCell ref="E4:E5"/>
    <mergeCell ref="A161:B161"/>
    <mergeCell ref="A162:B162"/>
    <mergeCell ref="A163:B163"/>
    <mergeCell ref="A164:B164"/>
    <mergeCell ref="A165:B165"/>
    <mergeCell ref="A166:B166"/>
    <mergeCell ref="A167:B1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FULL_MAP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Olenchak</dc:creator>
  <cp:lastModifiedBy>Danielle Olenchak</cp:lastModifiedBy>
  <dcterms:created xsi:type="dcterms:W3CDTF">2026-07-16T14:46:20Z</dcterms:created>
  <dcterms:modified xsi:type="dcterms:W3CDTF">2026-08-27T16:56:35Z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e73edcd3-4650-4991-9134-be59e64529f0_Enabled">
    <vt:lpwstr>true</vt:lpwstr>
  </property>
  <property fmtid="{D5CDD505-2E9C-101B-9397-08002B2CF9AE}" pid="5" name="MSIP_Label_e73edcd3-4650-4991-9134-be59e64529f0_SetDate">
    <vt:lpwstr>2026-07-16T14:48:28Z</vt:lpwstr>
  </property>
  <property fmtid="{D5CDD505-2E9C-101B-9397-08002B2CF9AE}" pid="6" name="MSIP_Label_e73edcd3-4650-4991-9134-be59e64529f0_Method">
    <vt:lpwstr>Standard</vt:lpwstr>
  </property>
  <property fmtid="{D5CDD505-2E9C-101B-9397-08002B2CF9AE}" pid="7" name="MSIP_Label_e73edcd3-4650-4991-9134-be59e64529f0_Name">
    <vt:lpwstr>Confidential</vt:lpwstr>
  </property>
  <property fmtid="{D5CDD505-2E9C-101B-9397-08002B2CF9AE}" pid="8" name="MSIP_Label_e73edcd3-4650-4991-9134-be59e64529f0_SiteId">
    <vt:lpwstr>3e9aadf8-6a16-490f-8dcd-c68860caae0b</vt:lpwstr>
  </property>
  <property fmtid="{D5CDD505-2E9C-101B-9397-08002B2CF9AE}" pid="9" name="MSIP_Label_e73edcd3-4650-4991-9134-be59e64529f0_ActionId">
    <vt:lpwstr>1cdbe0df-addf-4006-8cb4-faa86ed1097c</vt:lpwstr>
  </property>
  <property fmtid="{D5CDD505-2E9C-101B-9397-08002B2CF9AE}" pid="10" name="MSIP_Label_e73edcd3-4650-4991-9134-be59e64529f0_ContentBits">
    <vt:lpwstr>2</vt:lpwstr>
  </property>
  <property fmtid="{D5CDD505-2E9C-101B-9397-08002B2CF9AE}" pid="11" name="MSIP_Label_e73edcd3-4650-4991-9134-be59e64529f0_Tag">
    <vt:lpwstr>10, 3, 0, 1</vt:lpwstr>
  </property>
</Properties>
</file>