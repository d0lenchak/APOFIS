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n-my.sharepoint.com/personal/danielle_olenchak_regeneron_com/Documents/Desktop/APOFIS/DATA/"/>
    </mc:Choice>
  </mc:AlternateContent>
  <xr:revisionPtr revIDLastSave="26" documentId="8_{36D5B5D1-855A-44E7-8486-EF96C2F5208F}" xr6:coauthVersionLast="47" xr6:coauthVersionMax="47" xr10:uidLastSave="{579D3168-56F5-4B01-B9D3-6B568F765692}"/>
  <bookViews>
    <workbookView xWindow="20680" yWindow="3310" windowWidth="16050" windowHeight="15450" xr2:uid="{40B26A8C-8D22-4E1E-B815-C4F8BFB66DD5}"/>
  </bookViews>
  <sheets>
    <sheet name="BSB Data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\S">#REF!</definedName>
    <definedName name="___________a1" hidden="1">{#N/A,#N/A,FALSE,"Pharm";#N/A,#N/A,FALSE,"WWCM"}</definedName>
    <definedName name="___________aaa1" hidden="1">{#N/A,#N/A,FALSE,"REPORT"}</definedName>
    <definedName name="___________aas1" hidden="1">{#N/A,#N/A,FALSE,"REPORT"}</definedName>
    <definedName name="___________ACS2000" hidden="1">{#N/A,#N/A,FALSE,"REPORT"}</definedName>
    <definedName name="___________new1" hidden="1">{#N/A,#N/A,FALSE,"Pharm";#N/A,#N/A,FALSE,"WWCM"}</definedName>
    <definedName name="___________r" hidden="1">{#N/A,#N/A,FALSE,"Pharm";#N/A,#N/A,FALSE,"WWCM"}</definedName>
    <definedName name="___________tm1" hidden="1">{#N/A,#N/A,FALSE,"Pharm";#N/A,#N/A,FALSE,"WWCM"}</definedName>
    <definedName name="_________a1" hidden="1">{#N/A,#N/A,FALSE,"Pharm";#N/A,#N/A,FALSE,"WWCM"}</definedName>
    <definedName name="_________aaa1" hidden="1">{#N/A,#N/A,FALSE,"REPORT"}</definedName>
    <definedName name="_________aas1" hidden="1">{#N/A,#N/A,FALSE,"REPORT"}</definedName>
    <definedName name="_________ACS2000" hidden="1">{#N/A,#N/A,FALSE,"REPORT"}</definedName>
    <definedName name="_________new1" hidden="1">{#N/A,#N/A,FALSE,"Pharm";#N/A,#N/A,FALSE,"WWCM"}</definedName>
    <definedName name="_________r" hidden="1">{#N/A,#N/A,FALSE,"Pharm";#N/A,#N/A,FALSE,"WWCM"}</definedName>
    <definedName name="_________tm1" hidden="1">{#N/A,#N/A,FALSE,"Pharm";#N/A,#N/A,FALSE,"WWCM"}</definedName>
    <definedName name="________a1" hidden="1">{#N/A,#N/A,FALSE,"Pharm";#N/A,#N/A,FALSE,"WWCM"}</definedName>
    <definedName name="________aaa1" hidden="1">{#N/A,#N/A,FALSE,"REPORT"}</definedName>
    <definedName name="________aas1" hidden="1">{#N/A,#N/A,FALSE,"REPORT"}</definedName>
    <definedName name="________ACS2000" hidden="1">{#N/A,#N/A,FALSE,"REPORT"}</definedName>
    <definedName name="________new1" hidden="1">{#N/A,#N/A,FALSE,"Pharm";#N/A,#N/A,FALSE,"WWCM"}</definedName>
    <definedName name="________r" hidden="1">{#N/A,#N/A,FALSE,"Pharm";#N/A,#N/A,FALSE,"WWCM"}</definedName>
    <definedName name="________tm1" hidden="1">{#N/A,#N/A,FALSE,"Pharm";#N/A,#N/A,FALSE,"WWCM"}</definedName>
    <definedName name="_______a1" hidden="1">{#N/A,#N/A,FALSE,"Pharm";#N/A,#N/A,FALSE,"WWCM"}</definedName>
    <definedName name="_______aaa1" hidden="1">{#N/A,#N/A,FALSE,"REPORT"}</definedName>
    <definedName name="_______aas1" hidden="1">{#N/A,#N/A,FALSE,"REPORT"}</definedName>
    <definedName name="_______ACS2000" hidden="1">{#N/A,#N/A,FALSE,"REPORT"}</definedName>
    <definedName name="_______B08" hidden="1">{"'TYPE (2)'!$A$1:$Q$76"}</definedName>
    <definedName name="_______new1" hidden="1">{#N/A,#N/A,FALSE,"Pharm";#N/A,#N/A,FALSE,"WWCM"}</definedName>
    <definedName name="_______r" hidden="1">{#N/A,#N/A,FALSE,"Pharm";#N/A,#N/A,FALSE,"WWCM"}</definedName>
    <definedName name="_______tm1" hidden="1">{#N/A,#N/A,FALSE,"Pharm";#N/A,#N/A,FALSE,"WWCM"}</definedName>
    <definedName name="______a1" hidden="1">{#N/A,#N/A,FALSE,"Pharm";#N/A,#N/A,FALSE,"WWCM"}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B08" hidden="1">{"'TYPE (2)'!$A$1:$Q$76"}</definedName>
    <definedName name="______new1" hidden="1">{#N/A,#N/A,FALSE,"Pharm";#N/A,#N/A,FALSE,"WWCM"}</definedName>
    <definedName name="______r" hidden="1">{#N/A,#N/A,FALSE,"Pharm";#N/A,#N/A,FALSE,"WWCM"}</definedName>
    <definedName name="______tm1" hidden="1">{#N/A,#N/A,FALSE,"Pharm";#N/A,#N/A,FALSE,"WWCM"}</definedName>
    <definedName name="_____a1" hidden="1">{#N/A,#N/A,FALSE,"Pharm";#N/A,#N/A,FALSE,"WWCM"}</definedName>
    <definedName name="_____aaa1" hidden="1">{#N/A,#N/A,FALSE,"REPORT"}</definedName>
    <definedName name="_____aas1" hidden="1">{#N/A,#N/A,FALSE,"REPORT"}</definedName>
    <definedName name="_____ACS2000" hidden="1">{#N/A,#N/A,FALSE,"REPORT"}</definedName>
    <definedName name="_____B08" hidden="1">{"'TYPE (2)'!$A$1:$Q$76"}</definedName>
    <definedName name="_____new1" hidden="1">{#N/A,#N/A,FALSE,"Pharm";#N/A,#N/A,FALSE,"WWCM"}</definedName>
    <definedName name="_____r" hidden="1">{#N/A,#N/A,FALSE,"Pharm";#N/A,#N/A,FALSE,"WWCM"}</definedName>
    <definedName name="_____tm1" hidden="1">{#N/A,#N/A,FALSE,"Pharm";#N/A,#N/A,FALSE,"WWCM"}</definedName>
    <definedName name="____a1" hidden="1">{#N/A,#N/A,FALSE,"Pharm";#N/A,#N/A,FALSE,"WWCM"}</definedName>
    <definedName name="____aaa1" hidden="1">{#N/A,#N/A,FALSE,"REPORT"}</definedName>
    <definedName name="____aas1" hidden="1">{#N/A,#N/A,FALSE,"REPORT"}</definedName>
    <definedName name="____ACS2000" hidden="1">{#N/A,#N/A,FALSE,"REPORT"}</definedName>
    <definedName name="____B08" hidden="1">{"'TYPE (2)'!$A$1:$Q$76"}</definedName>
    <definedName name="____new1" hidden="1">{#N/A,#N/A,FALSE,"Pharm";#N/A,#N/A,FALSE,"WWCM"}</definedName>
    <definedName name="____r" hidden="1">{#N/A,#N/A,FALSE,"Pharm";#N/A,#N/A,FALSE,"WWCM"}</definedName>
    <definedName name="____tm1" hidden="1">{#N/A,#N/A,FALSE,"Pharm";#N/A,#N/A,FALSE,"WWCM"}</definedName>
    <definedName name="___a1" hidden="1">{#N/A,#N/A,FALSE,"Pharm";#N/A,#N/A,FALSE,"WWCM"}</definedName>
    <definedName name="___aaa1" hidden="1">{#N/A,#N/A,FALSE,"REPORT"}</definedName>
    <definedName name="___aas1" hidden="1">{#N/A,#N/A,FALSE,"REPORT"}</definedName>
    <definedName name="___ACS2000" hidden="1">{#N/A,#N/A,FALSE,"REPORT"}</definedName>
    <definedName name="___B08" hidden="1">{"'TYPE (2)'!$A$1:$Q$76"}</definedName>
    <definedName name="___new1" hidden="1">{#N/A,#N/A,FALSE,"Pharm";#N/A,#N/A,FALSE,"WWCM"}</definedName>
    <definedName name="___r" hidden="1">{#N/A,#N/A,FALSE,"Pharm";#N/A,#N/A,FALSE,"WWCM"}</definedName>
    <definedName name="___tm1" hidden="1">{#N/A,#N/A,FALSE,"Pharm";#N/A,#N/A,FALSE,"WWCM"}</definedName>
    <definedName name="__1__123Graph_ACHART_1" hidden="1">'[1]Results from Nov 98'!$B$5:$B$9</definedName>
    <definedName name="__123Graph_A" hidden="1">#REF!</definedName>
    <definedName name="__123Graph_AGRPH_EXPIRE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[2]Core!$F$26:$F$78</definedName>
    <definedName name="__123Graph_F" hidden="1">#REF!</definedName>
    <definedName name="__123Graph_XGRPH_EXPIRE" hidden="1">#REF!</definedName>
    <definedName name="__2__123Graph_ACHART_2" hidden="1">'[1]Results from Nov 98'!$C$31:$C$51</definedName>
    <definedName name="__3__123Graph_BCHART_1" hidden="1">#REF!</definedName>
    <definedName name="__4__123Graph_CCHART_1" hidden="1">#REF!</definedName>
    <definedName name="__5__123Graph_DCHART_1" hidden="1">#REF!</definedName>
    <definedName name="__6__123Graph_ECHART_1" hidden="1">'[1]Results from Nov 98'!$F$5:$F$9</definedName>
    <definedName name="__7__123Graph_XCHART_2" hidden="1">#REF!</definedName>
    <definedName name="__a1" hidden="1">{#N/A,#N/A,FALSE,"Pharm";#N/A,#N/A,FALSE,"WWCM"}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B08" hidden="1">{"'TYPE (2)'!$A$1:$Q$76"}</definedName>
    <definedName name="__FDS_HYPERLINK_TOGGLE_STATE__" hidden="1">"ON"</definedName>
    <definedName name="__IntlFixup" hidden="1">TRUE</definedName>
    <definedName name="__IntlFixupTable" hidden="1">#REF!</definedName>
    <definedName name="__new1" hidden="1">{#N/A,#N/A,FALSE,"Pharm";#N/A,#N/A,FALSE,"WWCM"}</definedName>
    <definedName name="__r" hidden="1">{#N/A,#N/A,FALSE,"Pharm";#N/A,#N/A,FALSE,"WWCM"}</definedName>
    <definedName name="__tm1" hidden="1">{#N/A,#N/A,FALSE,"Pharm";#N/A,#N/A,FALSE,"WWCM"}</definedName>
    <definedName name="_1__123Graph_ACHART_1" hidden="1">#REF!</definedName>
    <definedName name="_1__FDSAUDITLINK__" hidden="1">{"fdsup://directions/FAT Viewer?action=UPDATE&amp;creator=factset&amp;DYN_ARGS=TRUE&amp;DOC_NAME=FAT:FQL_AUDITING_CLIENT_TEMPLATE.FAT&amp;display_string=Audit&amp;VAR:KEY=QJOLOPGHWH&amp;VAR:QUERY=RkZfRU5UUlBSX1ZBTF9EQUlMWShOT1csLCwsLCdESUwnKQ==&amp;WINDOW=FIRST_POPUP&amp;HEIGHT=450&amp;WIDTH=","450&amp;START_MAXIMIZED=FALSE&amp;VAR:CALENDAR=US&amp;VAR:SYMBOL=VRTX&amp;VAR:INDEX=0"}</definedName>
    <definedName name="_10__123Graph_XCHART_1" hidden="1">#REF!</definedName>
    <definedName name="_12__123Graph_BCHART_1" hidden="1">#REF!</definedName>
    <definedName name="_12__123Graph_XCHART_2" hidden="1">#REF!</definedName>
    <definedName name="_16__123Graph_CCHART_1" hidden="1">#REF!</definedName>
    <definedName name="_2__123Graph_ACHART_1" hidden="1">#REF!</definedName>
    <definedName name="_2__123Graph_ACHART_2" hidden="1">#REF!</definedName>
    <definedName name="_2__FDSAUDITLINK__" hidden="1">{"fdsup://directions/FAT Viewer?action=UPDATE&amp;creator=factset&amp;DYN_ARGS=TRUE&amp;DOC_NAME=FAT:FQL_AUDITING_CLIENT_TEMPLATE.FAT&amp;display_string=Audit&amp;VAR:KEY=DCNGXWXWPK&amp;VAR:QUERY=RkZfRU5UUlBSX1ZBTF9EQUlMWShOT1csLCwsLCdESUwnKQ==&amp;WINDOW=FIRST_POPUP&amp;HEIGHT=450&amp;WIDTH=","450&amp;START_MAXIMIZED=FALSE&amp;VAR:CALENDAR=US&amp;VAR:SYMBOL=ALKS&amp;VAR:INDEX=0"}</definedName>
    <definedName name="_20__123Graph_DCHART_1" hidden="1">#REF!</definedName>
    <definedName name="_24__123Graph_ECHART_1" hidden="1">#REF!</definedName>
    <definedName name="_28__123Graph_XCHART_2" hidden="1">#REF!</definedName>
    <definedName name="_3__123Graph_BCHART_1" hidden="1">#REF!</definedName>
    <definedName name="_3__FDSAUDITLINK__" hidden="1">{"fdsup://directions/FAT Viewer?action=UPDATE&amp;creator=factset&amp;DYN_ARGS=TRUE&amp;DOC_NAME=FAT:FQL_AUDITING_CLIENT_TEMPLATE.FAT&amp;display_string=Audit&amp;VAR:KEY=UHKPODUPWH&amp;VAR:QUERY=RkZfRU5UUlBSX1ZBTF9EQUlMWShOT1csLCwsLCdESUwnKQ==&amp;WINDOW=FIRST_POPUP&amp;HEIGHT=450&amp;WIDTH=","450&amp;START_MAXIMIZED=FALSE&amp;VAR:CALENDAR=US&amp;VAR:SYMBOL=ITMN&amp;VAR:INDEX=0"}</definedName>
    <definedName name="_312__FDSAUDITLINK__" hidden="1">{"fdsup://Directions/FactSet Auditing Viewer?action=AUDIT_VALUE&amp;DB=129&amp;ID1=22967810&amp;VALUEID=02001&amp;SDATE=2011&amp;PERIODTYPE=ANN_STD&amp;SCFT=3&amp;window=popup_no_bar&amp;width=385&amp;height=120&amp;START_MAXIMIZED=FALSE&amp;creator=factset&amp;display_string=Audit"}</definedName>
    <definedName name="_4__123Graph_ACHART_1" hidden="1">#REF!</definedName>
    <definedName name="_4__123Graph_ACHART_2" hidden="1">#REF!</definedName>
    <definedName name="_4__123Graph_CCHART_1" hidden="1">#REF!</definedName>
    <definedName name="_4__FDSAUDITLINK__" hidden="1">{"fdsup://directions/FAT Viewer?action=UPDATE&amp;creator=factset&amp;DYN_ARGS=TRUE&amp;DOC_NAME=FAT:FQL_AUDITING_CLIENT_TEMPLATE.FAT&amp;display_string=Audit&amp;VAR:KEY=OHQDWBINOJ&amp;VAR:QUERY=RkZfRU5UUlBSX1ZBTF9EQUlMWShOT1csLCwsLCdESUwnKQ==&amp;WINDOW=FIRST_POPUP&amp;HEIGHT=450&amp;WIDTH=","450&amp;START_MAXIMIZED=FALSE&amp;VAR:CALENDAR=US&amp;VAR:SYMBOL=AMLN&amp;VAR:INDEX=0"}</definedName>
    <definedName name="_5__123Graph_DCHART_1" hidden="1">#REF!</definedName>
    <definedName name="_6__123Graph_ECHART_1" hidden="1">#REF!</definedName>
    <definedName name="_6__123Graph_LBL_ACHART_1" hidden="1">#REF!</definedName>
    <definedName name="_7__123Graph_XCHART_2" hidden="1">#REF!</definedName>
    <definedName name="_8__123Graph_ACHART_2" hidden="1">#REF!</definedName>
    <definedName name="_8__123Graph_LBL_ACHART_2" hidden="1">#REF!</definedName>
    <definedName name="_a1" hidden="1">{#N/A,#N/A,FALSE,"Pharm";#N/A,#N/A,FALSE,"WWCM"}</definedName>
    <definedName name="_aaa1" hidden="1">{#N/A,#N/A,FALSE,"REPORT"}</definedName>
    <definedName name="_aas1" hidden="1">{#N/A,#N/A,FALSE,"REPORT"}</definedName>
    <definedName name="_ACS2000" hidden="1">{#N/A,#N/A,FALSE,"REPORT"}</definedName>
    <definedName name="_B08" hidden="1">{"'TYPE (2)'!$A$1:$Q$76"}</definedName>
    <definedName name="_bdm.3F1A3D17937443C5BB4BBC282C03991D.edm" hidden="1">#REF!</definedName>
    <definedName name="_bdm.45E565F3C59C40EBB02D709AE94F7082.edm" hidden="1">#REF!</definedName>
    <definedName name="_bdm.5DA83351381D445092D553D326F046EC.edm" hidden="1">#REF!</definedName>
    <definedName name="_bdm.CC11D43B1027436E989F8FBDCCB13F22.edm" hidden="1">#REF!</definedName>
    <definedName name="_c" hidden="1">{#N/A,#N/A,FALSE,"Layout Cash Flow"}</definedName>
    <definedName name="_Dcf2" hidden="1">{#N/A,#N/A,FALSE,"Mittelherkunft";#N/A,#N/A,FALSE,"Mittelverwendung"}</definedName>
    <definedName name="_Fill" hidden="1">#REF!</definedName>
    <definedName name="_xlnm._FilterDatabase" localSheetId="0" hidden="1">'BSB Data'!$A$2:$M$2976</definedName>
    <definedName name="_Key1" hidden="1">#REF!</definedName>
    <definedName name="_Key1OLD" hidden="1">#REF!</definedName>
    <definedName name="_Key2" hidden="1">#REF!</definedName>
    <definedName name="_new1" hidden="1">{#N/A,#N/A,FALSE,"Pharm";#N/A,#N/A,FALSE,"WWCM"}</definedName>
    <definedName name="_Order1" hidden="1">0</definedName>
    <definedName name="_Order2" hidden="1">255</definedName>
    <definedName name="_PD1" hidden="1">{#N/A,#N/A,FALSE,"Fin'l Statements"}</definedName>
    <definedName name="_r" hidden="1">{#N/A,#N/A,FALSE,"Pharm";#N/A,#N/A,FALSE,"WWCM"}</definedName>
    <definedName name="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Regression_Int" hidden="1">1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2_Out" hidden="1">#REF!</definedName>
    <definedName name="_tm1" hidden="1">{#N/A,#N/A,FALSE,"Pharm";#N/A,#N/A,FALSE,"WWCM"}</definedName>
    <definedName name="a" hidden="1">{#N/A,#N/A,FALSE,"Fin'l Statements"}</definedName>
    <definedName name="aa" hidden="1">{"'TYPE (2)'!$A$1:$Q$76"}</definedName>
    <definedName name="AA.Report.Files" hidden="1">#REF!</definedName>
    <definedName name="AA.Reports.Available" hidden="1">#REF!</definedName>
    <definedName name="aaa" hidden="1">{#N/A,#N/A,FALSE,"Pharm";#N/A,#N/A,FALSE,"WWCM"}</definedName>
    <definedName name="AAA_DOCTOPS" hidden="1">"AAA_SET"</definedName>
    <definedName name="AAA_duser" hidden="1">"OFF"</definedName>
    <definedName name="aaaa" hidden="1">{#N/A,#N/A,FALSE,"REPORT"}</definedName>
    <definedName name="aaaaa" hidden="1">{#N/A,#N/A,FALSE,"REPORT"}</definedName>
    <definedName name="aaaaaa" hidden="1">{#N/A,#N/A,FALSE,"REPORT"}</definedName>
    <definedName name="aaaaaaa" hidden="1">{#N/A,#N/A,FALSE,"REPORT"}</definedName>
    <definedName name="aaaaaaaaaaa" hidden="1">{#N/A,#N/A,FALSE,"REPORT"}</definedName>
    <definedName name="aaaaaaaaaaaaaaa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b" hidden="1">{#N/A,#N/A,FALSE,"Pharm";#N/A,#N/A,FALSE,"WWCM"}</definedName>
    <definedName name="abc" hidden="1">{#N/A,#N/A,FALSE,"REPORT"}</definedName>
    <definedName name="ab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e" hidden="1">{"GuVGmbH",#N/A,FALSE,"ratios";"BilanzGmbH",#N/A,FALSE,"ratios";"BilanzKG",#N/A,FALSE,"ratios";"GuVKG",#N/A,FALSE,"ratios"}</definedName>
    <definedName name="ac" hidden="1">{#N/A,#N/A,FALSE,"Pharm";#N/A,#N/A,FALSE,"WWCM"}</definedName>
    <definedName name="AccessDatabase" hidden="1">"C:\Dokumente und Einstellungen\jakob.JAKOB\Anwendungsdaten\Microsoft\Excel\XLStart\Basis1.mdb"</definedName>
    <definedName name="Account_Map">#REF!</definedName>
    <definedName name="ACCOUNTCP" hidden="1">#REF!</definedName>
    <definedName name="ACOMPLIA" hidden="1">#REF!</definedName>
    <definedName name="Activity_Map">#REF!</definedName>
    <definedName name="ACTONEL" hidden="1">#REF!</definedName>
    <definedName name="ACTONEL_CP" hidden="1">#REF!</definedName>
    <definedName name="Actonel_margin_retrocession" hidden="1">#REF!</definedName>
    <definedName name="ACTONEL_REINVOICING_CP" hidden="1">#REF!</definedName>
    <definedName name="ACTONEL1_CP" hidden="1">#REF!</definedName>
    <definedName name="ACTONEL2_REINVOICING_CP" hidden="1">#REF!</definedName>
    <definedName name="Address">#REF!</definedName>
    <definedName name="Adjustments_of_inventory_volumes" hidden="1">#REF!</definedName>
    <definedName name="Admin">#REF!</definedName>
    <definedName name="Administrative_Assistant">#REF!</definedName>
    <definedName name="adrha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ADVERTISING_TAX" hidden="1">#REF!</definedName>
    <definedName name="aerhaerhaer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ESIs">#REF!</definedName>
    <definedName name="AFDADSFDAS" hidden="1">{#N/A,#N/A,FALSE,"REPORT"}</definedName>
    <definedName name="africa" hidden="1">{#N/A,#N/A,FALSE,"CNS";#N/A,#N/A,FALSE,"Serz";#N/A,#N/A,FALSE,"Ace"}</definedName>
    <definedName name="After_Hrs_Medical_Comp">#REF!</definedName>
    <definedName name="After_MedMon_Fees">#REF!</definedName>
    <definedName name="ajalkdfjl" hidden="1">{#N/A,#N/A,FALSE,"Pharm";#N/A,#N/A,FALSE,"WWCM"}</definedName>
    <definedName name="AlertBlue">#REF!</definedName>
    <definedName name="alex" hidden="1">{#N/A,#N/A,FALSE,"REPORT"}</definedName>
    <definedName name="alexan" hidden="1">{#N/A,#N/A,FALSE,"REPORT"}</definedName>
    <definedName name="ALLEGRA" hidden="1">#REF!</definedName>
    <definedName name="ALLEGRA_CP" hidden="1">#REF!</definedName>
    <definedName name="Allocated_Administrative_and_General_exp" hidden="1">#REF!</definedName>
    <definedName name="Allocated_distribution" hidden="1">#REF!</definedName>
    <definedName name="Allocated_Internal_sales_force" hidden="1">#REF!</definedName>
    <definedName name="Allocated_Marketing_management" hidden="1">#REF!</definedName>
    <definedName name="AllTables">{4}</definedName>
    <definedName name="AMARYL" hidden="1">#REF!</definedName>
    <definedName name="AMARYL_CP" hidden="1">#REF!</definedName>
    <definedName name="AMORTIZATION_OF_INTANGIBLES" hidden="1">#REF!</definedName>
    <definedName name="AnnualRep">#REF!</definedName>
    <definedName name="ANS_LAB_Countries">#REF!</definedName>
    <definedName name="ANS_LAB_CP">#REF!</definedName>
    <definedName name="ANS_LAB_EP">#REF!</definedName>
    <definedName name="ANS_LAB_SITES">#REF!</definedName>
    <definedName name="ANS_LAB_SP">#REF!</definedName>
    <definedName name="ANS_ReShip">#REF!</definedName>
    <definedName name="anscount" hidden="1">1</definedName>
    <definedName name="APIDRA" hidden="1">#REF!</definedName>
    <definedName name="APIDRA_CP" hidden="1">#REF!</definedName>
    <definedName name="APROVEL" hidden="1">#REF!</definedName>
    <definedName name="APROVEL_CP" hidden="1">#REF!</definedName>
    <definedName name="ARAVA" hidden="1">#REF!</definedName>
    <definedName name="ARAVA_CP" hidden="1">#REF!</definedName>
    <definedName name="ARCHIVE">#REF!</definedName>
    <definedName name="ARCHIVE_End">#REF!</definedName>
    <definedName name="ARCHIVE_Start">#REF!</definedName>
    <definedName name="are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ArrowDown" hidden="1">#REF!</definedName>
    <definedName name="ARTICAINE" hidden="1">#REF!</definedName>
    <definedName name="AS" hidden="1">{#N/A,#N/A,FALSE,"Pharm";#N/A,#N/A,FALSE,"WWCM"}</definedName>
    <definedName name="AS2DocOpenMode" hidden="1">"AS2DocumentEdit"</definedName>
    <definedName name="ASaQSS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as" hidden="1">{#N/A,#N/A,FALSE,"Pharm";#N/A,#N/A,FALSE,"WWCM"}</definedName>
    <definedName name="asd" hidden="1">{#N/A,#N/A,FALSE,"Pharm";#N/A,#N/A,FALSE,"WWCM"}</definedName>
    <definedName name="asdf">#REF!</definedName>
    <definedName name="asdfg" hidden="1">{#N/A,#N/A,FALSE,"Pharm";#N/A,#N/A,FALSE,"WWCM"}</definedName>
    <definedName name="asffghujyki" hidden="1">{#N/A,#N/A,FALSE,"Pharm";#N/A,#N/A,FALSE,"WWCM"}</definedName>
    <definedName name="ASPIRINE" hidden="1">#REF!</definedName>
    <definedName name="ASSA" hidden="1">{#N/A,#N/A,FALSE,"1";#N/A,#N/A,FALSE,"2";#N/A,#N/A,FALSE,"16 - 17";#N/A,#N/A,FALSE,"18 - 19";#N/A,#N/A,FALSE,"26";#N/A,#N/A,FALSE,"27";#N/A,#N/A,FALSE,"28"}</definedName>
    <definedName name="Audrectoggle">#REF!</definedName>
    <definedName name="Average_Contract">#REF!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 hidden="1">{#N/A,#N/A,FALSE,"Pharm";#N/A,#N/A,FALSE,"WWCM"}</definedName>
    <definedName name="balance_sheets" hidden="1">{#N/A,#N/A,FALSE,"Fin'l Statements"}</definedName>
    <definedName name="BaseYear">#REF!</definedName>
    <definedName name="BATRAFEN" hidden="1">#REF!</definedName>
    <definedName name="bb">{"'TYPE (2)'!$A$1:$Q$76"}</definedName>
    <definedName name="bbb" hidden="1">{#N/A,#N/A,FALSE,"Pharm";#N/A,#N/A,FALSE,"WWCM"}</definedName>
    <definedName name="bbbbb" hidden="1">{#N/A,#N/A,FALSE,"Pharm";#N/A,#N/A,FALSE,"WWCM"}</definedName>
    <definedName name="BBBBBB" hidden="1">{#N/A,#N/A,FALSE,"REPORT"}</definedName>
    <definedName name="BBBBBBBBB" hidden="1">{#N/A,#N/A,FALSE,"REPORT"}</definedName>
    <definedName name="bbbbbbbbbbbbb" hidden="1">{#N/A,#N/A,FALSE,"Pharm";#N/A,#N/A,FALSE,"WWCM"}</definedName>
    <definedName name="BC_Japan">#REF!</definedName>
    <definedName name="BC_Main">#REF!</definedName>
    <definedName name="BEx3O85IKWARA6NCJOLRBRJFMEWW" hidden="1">#REF!</definedName>
    <definedName name="BEx5MLQZM68YQSKARVWTTPINFQ2C" hidden="1">#REF!</definedName>
    <definedName name="BExERWCEBKQRYWRQLYJ4UCMMKTHG" hidden="1">#REF!</definedName>
    <definedName name="BExMBYPQDG9AYDQ5E8IECVFREPO6" hidden="1">#REF!</definedName>
    <definedName name="BExQ9ZLYHWABXAA9NJDW8ZS0UQ9P" hidden="1">#REF!</definedName>
    <definedName name="BExTUY9WNSJ91GV8CP0SKJTEIV82" hidden="1">#REF!</definedName>
    <definedName name="BiddingCurrency">#REF!</definedName>
    <definedName name="Biomarkers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MS_MINORITY_INTERESTS" hidden="1">#REF!</definedName>
    <definedName name="BMS_sales_force" hidden="1">#REF!</definedName>
    <definedName name="BONUSES" hidden="1">#REF!</definedName>
    <definedName name="bp">10000</definedName>
    <definedName name="brent" hidden="1">{"'TYPE (2)'!$A$1:$Q$76"}</definedName>
    <definedName name="Bucket_Map">#REF!</definedName>
    <definedName name="bud">#REF!</definedName>
    <definedName name="bud_type">#REF!</definedName>
    <definedName name="budget">#REF!</definedName>
    <definedName name="Budget_Type">#REF!</definedName>
    <definedName name="budgetcurrency">#REF!</definedName>
    <definedName name="BudgetEnrolled">#REF!</definedName>
    <definedName name="BudgetEnrolled1">#REF!</definedName>
    <definedName name="BudgetScreened">#REF!</definedName>
    <definedName name="BudgetScreened1">#REF!</definedName>
    <definedName name="BUSINESSCA" hidden="1">#REF!</definedName>
    <definedName name="BUSINESSCP" hidden="1">#REF!</definedName>
    <definedName name="BUSINESSEF" hidden="1">#REF!</definedName>
    <definedName name="BUSINESSPL" hidden="1">#REF!</definedName>
    <definedName name="BWCopying">#REF!</definedName>
    <definedName name="C_ASC" hidden="1">#REF!</definedName>
    <definedName name="C_CLNMGR" hidden="1">#REF!</definedName>
    <definedName name="C_CRAS" hidden="1">#REF!</definedName>
    <definedName name="C_DDC" hidden="1">#REF!</definedName>
    <definedName name="C_DMS" hidden="1">#REF!</definedName>
    <definedName name="C_PA" hidden="1">#REF!</definedName>
    <definedName name="C_PCCMNGR" hidden="1">#REF!</definedName>
    <definedName name="C_PCRA" hidden="1">#REF!</definedName>
    <definedName name="C_Rpt">#REF!</definedName>
    <definedName name="cafe_validation_temp" hidden="1">#REF!</definedName>
    <definedName name="Calc.Model.Phase">#REF!</definedName>
    <definedName name="Can_Rate">100%</definedName>
    <definedName name="Capitalized_int_personnel_consul_Exp" hidden="1">#REF!</definedName>
    <definedName name="Cash">#REF!</definedName>
    <definedName name="Cash_beginning">#REF!</definedName>
    <definedName name="cash_min">#REF!</definedName>
    <definedName name="Cash_minimum">#REF!</definedName>
    <definedName name="Catalogue_turnover" hidden="1">#REF!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WorkbookPriority">-1805377238</definedName>
    <definedName name="CDD" hidden="1">#REF!</definedName>
    <definedName name="CDDCA" hidden="1">#REF!</definedName>
    <definedName name="CDDCP" hidden="1">#REF!</definedName>
    <definedName name="CDDEF" hidden="1">#REF!</definedName>
    <definedName name="CDDPL" hidden="1">#REF!</definedName>
    <definedName name="cd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CentralIRB_Canada">#REF!</definedName>
    <definedName name="CentralIRB_US">#REF!</definedName>
    <definedName name="CentralLab">#REF!</definedName>
    <definedName name="Checks">#REF!</definedName>
    <definedName name="CILTYRI" hidden="1">#REF!</definedName>
    <definedName name="CILTYRI_CP" hidden="1">#REF!</definedName>
    <definedName name="CIQWBGuid" hidden="1">"462fca88-cbfc-406c-be87-587b91ed8d5c"</definedName>
    <definedName name="CityState">#REF!</definedName>
    <definedName name="CLEXANE_LOVENOX_CP" hidden="1">#REF!</definedName>
    <definedName name="Client_RateName">#REF!</definedName>
    <definedName name="CLINICAL_STUDIES" hidden="1">#REF!</definedName>
    <definedName name="ClinManufacturingOther_Codes">#REF!</definedName>
    <definedName name="CLOSEOUT">#REF!</definedName>
    <definedName name="CLOSEOUT_End">#REF!</definedName>
    <definedName name="CLOSEOUT_Start">#REF!</definedName>
    <definedName name="CLS_Storage">#REF!</definedName>
    <definedName name="CMA_SM_Cond">#REF!</definedName>
    <definedName name="CMA_SM_Init">#REF!</definedName>
    <definedName name="Coded_Items">#REF!</definedName>
    <definedName name="Codes_AE">#REF!</definedName>
    <definedName name="Codes_Med">#REF!</definedName>
    <definedName name="COGstandard" hidden="1">{#N/A,#N/A,FALSE,"Pharm";#N/A,#N/A,FALSE,"WWCM"}</definedName>
    <definedName name="COLTRAMYL" hidden="1">#REF!</definedName>
    <definedName name="COMMUNICATION_DEPARTMENT" hidden="1">#REF!</definedName>
    <definedName name="comp">#REF!</definedName>
    <definedName name="COMPANY_COEFFICIENT" hidden="1">#REF!</definedName>
    <definedName name="Company_name">#REF!</definedName>
    <definedName name="Complexity">#REF!</definedName>
    <definedName name="conso" hidden="1">{"'TYPE (2)'!$A$1:$Q$76"}</definedName>
    <definedName name="Consolidation" hidden="1">{"'Internat.oper.netti'!$B$1:$J$25"}</definedName>
    <definedName name="Contacts">#REF!</definedName>
    <definedName name="Continent">#REF!</definedName>
    <definedName name="contract">#REF!</definedName>
    <definedName name="Contract_Type">#REF!</definedName>
    <definedName name="ContractHolderCurrency">#REF!</definedName>
    <definedName name="contracttype">#REF!</definedName>
    <definedName name="contrats">#REF!</definedName>
    <definedName name="CONTRIB_NOT_DED_FROM_SALESDOUBTFUL_DEBT" hidden="1">#REF!</definedName>
    <definedName name="COPAXONE" hidden="1">#REF!</definedName>
    <definedName name="COPAXONE_CP" hidden="1">#REF!</definedName>
    <definedName name="copy1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RDARONE" hidden="1">#REF!</definedName>
    <definedName name="CORDARONE_CP" hidden="1">#REF!</definedName>
    <definedName name="COST_OF_GOODS_SOLD" hidden="1">#REF!</definedName>
    <definedName name="COST_OF_SALES" hidden="1">#REF!</definedName>
    <definedName name="Cost_Type">#REF!</definedName>
    <definedName name="Costs_relating_to_Sa_Av_business_comb" hidden="1">#REF!</definedName>
    <definedName name="Country">#REF!</definedName>
    <definedName name="Country_AvgContract">#REF!</definedName>
    <definedName name="Country_CC">#REF!</definedName>
    <definedName name="Country_CenterCohort">#REF!</definedName>
    <definedName name="Country_CLS_Lab_Site">#REF!</definedName>
    <definedName name="Country_CLS_Region">#REF!</definedName>
    <definedName name="Country_CLS_ZoneRates">#REF!</definedName>
    <definedName name="Country_CLS_ZoneRates2">#REF!</definedName>
    <definedName name="Country_CLS_ZoneRates3">#REF!</definedName>
    <definedName name="Country_CLS_ZoneRates4">#REF!</definedName>
    <definedName name="Country_Cohort">#REF!</definedName>
    <definedName name="Country_CRAHrs">#REF!</definedName>
    <definedName name="Country_CTrial">#REF!</definedName>
    <definedName name="Country_CTS_AmbToSite">#REF!</definedName>
    <definedName name="Country_CTS_cAmbToSite">#REF!</definedName>
    <definedName name="Country_CTS_CoolToSite">#REF!</definedName>
    <definedName name="Country_CTS_FrozenToSite">#REF!</definedName>
    <definedName name="Country_CTS_Rate1">#REF!</definedName>
    <definedName name="Country_CTS_Rate2">#REF!</definedName>
    <definedName name="Country_CTS_Site">#REF!</definedName>
    <definedName name="Country_CTS_WHpercent">#REF!</definedName>
    <definedName name="Country_Name">#REF!</definedName>
    <definedName name="Country_NPP">#REF!</definedName>
    <definedName name="Country_Pat_Chk">#REF!</definedName>
    <definedName name="Country_Pat_Complete">#REF!</definedName>
    <definedName name="Country_Pat_Enroll">#REF!</definedName>
    <definedName name="Country_Pat_Followup">#REF!</definedName>
    <definedName name="Country_Pat_Screen">#REF!</definedName>
    <definedName name="Country_Region">#REF!</definedName>
    <definedName name="Country_Region_Reg">#REF!</definedName>
    <definedName name="Country_RT_CONS">#REF!</definedName>
    <definedName name="Country_RT_CONS_Tot">#REF!</definedName>
    <definedName name="Country_RT_MNGR">#REF!</definedName>
    <definedName name="Country_RT_MNGR_Tot">#REF!</definedName>
    <definedName name="Country_Site">#REF!</definedName>
    <definedName name="Country_Visit_Audit">#REF!</definedName>
    <definedName name="Country_Visit_Qual">#REF!</definedName>
    <definedName name="Country2">#REF!</definedName>
    <definedName name="COUNTRYCA" hidden="1">#REF!</definedName>
    <definedName name="COUNTRYCP" hidden="1">#REF!</definedName>
    <definedName name="COUNTRYEF" hidden="1">#REF!</definedName>
    <definedName name="COUNTRYPL" hidden="1">#REF!</definedName>
    <definedName name="Courier">#REF!</definedName>
    <definedName name="cox" hidden="1">{#N/A,#N/A,FALSE,"Time Warner";#N/A,#N/A,FALSE,"Entertainment Group";#N/A,#N/A,FALSE,"EBITDA";#N/A,#N/A,FALSE,"Notes"}</definedName>
    <definedName name="CPIU00">3%</definedName>
    <definedName name="CPIU01">4%</definedName>
    <definedName name="crabindertoggle">#REF!</definedName>
    <definedName name="CRAHrs">#REF!</definedName>
    <definedName name="CRFType">#REF!</definedName>
    <definedName name="Critical_Field_Percent">#REF!</definedName>
    <definedName name="CRO">#REF!</definedName>
    <definedName name="CRU">#REF!</definedName>
    <definedName name="CRU_No">#REF!</definedName>
    <definedName name="CTMServices">#REF!</definedName>
    <definedName name="CTS_Country">#REF!</definedName>
    <definedName name="CTS_CP">#REF!</definedName>
    <definedName name="CTS_EP">#REF!</definedName>
    <definedName name="CTS_Sites">#REF!</definedName>
    <definedName name="CTX_AnnualReport">#REF!</definedName>
    <definedName name="CU_Eff_Ratio">#REF!</definedName>
    <definedName name="CU_EndDate">#REF!</definedName>
    <definedName name="CU_Unique">#REF!</definedName>
    <definedName name="Curr13" hidden="1">#REF!</definedName>
    <definedName name="Curr13Rng" hidden="1">IF(UPPER(OFFSET(#REF!,1,0,1,1))="VIALS_C13W",OFFSET(#REF!,3,0,#REF!-1,1),OFFSET(#REF!,2,0,#REF!-1,1))</definedName>
    <definedName name="Currency">#REF!</definedName>
    <definedName name="Currency_Code">#REF!</definedName>
    <definedName name="CurrencyList">#REF!</definedName>
    <definedName name="CurrentFC">#REF!</definedName>
    <definedName name="Customer_advantages" hidden="1">#REF!</definedName>
    <definedName name="Customer_discounts" hidden="1">#REF!</definedName>
    <definedName name="d" hidden="1">#REF!</definedName>
    <definedName name="dakfkjafgkeaj" hidden="1">{#N/A,#N/A,FALSE,"Pharm";#N/A,#N/A,FALSE,"WWCM"}</definedName>
    <definedName name="DATA">#REF!</definedName>
    <definedName name="Data.Dump" hidden="1">OFFSET(#REF!,1,0)</definedName>
    <definedName name="DATA_End">#REF!</definedName>
    <definedName name="Data_Freeze">#REF!</definedName>
    <definedName name="Data_Method">#REF!</definedName>
    <definedName name="Data_Points_Per_Page">#REF!</definedName>
    <definedName name="DATA_Start">#REF!</definedName>
    <definedName name="Data_System">#REF!</definedName>
    <definedName name="data1" hidden="1">#REF!</definedName>
    <definedName name="data2" hidden="1">#REF!</definedName>
    <definedName name="data3" hidden="1">#REF!</definedName>
    <definedName name="Database.File" hidden="1">#REF!</definedName>
    <definedName name="Database_System">#REF!</definedName>
    <definedName name="DataDate" hidden="1">#REF!</definedName>
    <definedName name="DataRange">#REF!</definedName>
    <definedName name="DataRange2">#REF!</definedName>
    <definedName name="DataRange3">#REF!</definedName>
    <definedName name="DataRange4">#REF!</definedName>
    <definedName name="datarange5">#REF!</definedName>
    <definedName name="DataRange6">#REF!</definedName>
    <definedName name="DataRecords" hidden="1">#REF!</definedName>
    <definedName name="Days">204</definedName>
    <definedName name="DCF_Own" hidden="1">{#N/A,#N/A,FALSE,"Layout Aktiva";#N/A,#N/A,FALSE,"Layout Passiva"}</definedName>
    <definedName name="DCF_Partner" hidden="1">{#N/A,#N/A,FALSE,"Layout Aktiva";#N/A,#N/A,FALSE,"Layout Passiva"}</definedName>
    <definedName name="dd" hidden="1">{#N/A,#N/A,FALSE,"Pharm";#N/A,#N/A,FALSE,"WWCM"}</definedName>
    <definedName name="ddd" hidden="1">{#N/A,#N/A,FALSE,"Pharm";#N/A,#N/A,FALSE,"WWCM"}</definedName>
    <definedName name="dddaz" hidden="1">{#N/A,#N/A,FALSE,"Pharm";#N/A,#N/A,FALSE,"WWCM"}</definedName>
    <definedName name="dddddd" hidden="1">{#N/A,#N/A,FALSE,"Pharm";#N/A,#N/A,FALSE,"WWCM"}</definedName>
    <definedName name="DDDDDDDDDDDDDDDDDD" hidden="1">#REF!</definedName>
    <definedName name="dddssssssssssssss" hidden="1">{#N/A,#N/A,FALSE,"Pharm";#N/A,#N/A,FALSE,"WWCM"}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PAKINE" hidden="1">#REF!</definedName>
    <definedName name="DEPAKINE_CP" hidden="1">#REF!</definedName>
    <definedName name="DETACHED_PERSONNEL" hidden="1">#REF!</definedName>
    <definedName name="Device_Codes">#REF!</definedName>
    <definedName name="DEZLFEZKLHF" hidden="1">{#N/A,#N/A,FALSE,"Pharm";#N/A,#N/A,FALSE,"WWCM"}</definedName>
    <definedName name="dfasdf" hidden="1">{"'Internat.oper.netti'!$B$1:$J$25"}</definedName>
    <definedName name="dfd" hidden="1">{#N/A,#N/A,FALSE,"Mittelherkunft";#N/A,#N/A,FALSE,"Mittelverwendung"}</definedName>
    <definedName name="DFDD" hidden="1">{#N/A,#N/A,FALSE,"REPORT"}</definedName>
    <definedName name="dfs" hidden="1">{#N/A,#N/A,FALSE,"Pharm";#N/A,#N/A,FALSE,"WWCM"}</definedName>
    <definedName name="DIARY_entry">#REF!</definedName>
    <definedName name="Discount" hidden="1">#REF!</definedName>
    <definedName name="display_area_2" hidden="1">#REF!</definedName>
    <definedName name="DISTRIB" hidden="1">#REF!</definedName>
    <definedName name="DISTRIBUTION" hidden="1">#REF!</definedName>
    <definedName name="DISTRIBUTIONEF" hidden="1">#REF!</definedName>
    <definedName name="DIVERS_CP" hidden="1">#REF!</definedName>
    <definedName name="djfsfk" hidden="1">{#N/A,#N/A,FALSE,"Mittelherkunft";#N/A,#N/A,FALSE,"Mittelverwendung"}</definedName>
    <definedName name="djksljd" hidden="1">{#N/A,#N/A,FALSE,"Other";#N/A,#N/A,FALSE,"Ace";#N/A,#N/A,FALSE,"Derm"}</definedName>
    <definedName name="DL_Yes">#REF!</definedName>
    <definedName name="DM_Offshore">#REF!</definedName>
    <definedName name="DM_Page_Per_Patient">#REF!</definedName>
    <definedName name="DM_Similarity">#REF!</definedName>
    <definedName name="DM_System">#REF!</definedName>
    <definedName name="DM_Tot_Manual_Pages">#REF!</definedName>
    <definedName name="DM_Tot_Pages">#REF!</definedName>
    <definedName name="DM_Uniques">#REF!</definedName>
    <definedName name="DM_Wave">#REF!</definedName>
    <definedName name="DMCustomFunctions">#REF!</definedName>
    <definedName name="DMServices">#REF!</definedName>
    <definedName name="DMSType">#REF!</definedName>
    <definedName name="DMSystem">#REF!</definedName>
    <definedName name="Dosingtypes">#REF!</definedName>
    <definedName name="DOUBTFUL_DEBTS" hidden="1">#REF!</definedName>
    <definedName name="DrivingRegion">#REF!</definedName>
    <definedName name="dropdown_Activity">OFFSET(#REF!,1,0,COUNTIF(#REF!,"?*")-1)</definedName>
    <definedName name="dropdown_CC_rollup">OFFSET(#REF!,1,0,COUNTIF(#REF!,"?*"))</definedName>
    <definedName name="dropdown_Forecast_Scenario">OFFSET(#REF!,1,0,COUNTIF(#REF!,"?*"))</definedName>
    <definedName name="dropdown_FTE_rates">OFFSET(#REF!,1,0,COUNTIF(#REF!,"?*")-1)</definedName>
    <definedName name="dropdown_FTE_Temps">OFFSET(#REF!,1,0,COUNTIF(#REF!,"?*")-1)</definedName>
    <definedName name="dropdown_FTEs">OFFSET(#REF!,1,0,COUNTIF(#REF!,"?*")-1)</definedName>
    <definedName name="dropdown_Programs">#REF!</definedName>
    <definedName name="dropdown_Project_Category">#REF!</definedName>
    <definedName name="dropdown_TEMP_rates">OFFSET(#REF!,1,0,COUNTIF(#REF!,"?*")-1)</definedName>
    <definedName name="DropDownList_All" hidden="1">#REF!</definedName>
    <definedName name="DropDownList_National" hidden="1">#REF!</definedName>
    <definedName name="DropDownList_Regns" hidden="1">#REF!</definedName>
    <definedName name="drsiAlpha_In1" hidden="1">0.5</definedName>
    <definedName name="drsiAlpha_In2" hidden="1">0.5</definedName>
    <definedName name="drsiAlpha_In3" hidden="1">0.5</definedName>
    <definedName name="drsiAlpha_In4" hidden="1">0.5</definedName>
    <definedName name="drsiBatchRangeCount" hidden="1">4</definedName>
    <definedName name="drsiBeta_In1" hidden="1">0.5</definedName>
    <definedName name="drsiBeta_In2" hidden="1">0.5</definedName>
    <definedName name="drsiBeta_In3" hidden="1">0.5</definedName>
    <definedName name="drsiBeta_In4" hidden="1">0.5</definedName>
    <definedName name="drsiDamp_In1" hidden="1">0.95</definedName>
    <definedName name="drsiDamp_In2" hidden="1">0.95</definedName>
    <definedName name="drsiDamp_In3" hidden="1">0.8</definedName>
    <definedName name="drsiDamp_In4" hidden="1">0.7</definedName>
    <definedName name="drsiFlag_Damp_Opt1" hidden="1">0</definedName>
    <definedName name="drsiFlag_Damp_Opt2" hidden="1">0</definedName>
    <definedName name="drsiFlag_Damp_Opt3" hidden="1">0</definedName>
    <definedName name="drsiFlag_Damp_Opt4" hidden="1">0</definedName>
    <definedName name="drsiFlag_Opt1" hidden="1">1</definedName>
    <definedName name="drsiFlag_Opt2" hidden="1">1</definedName>
    <definedName name="drsiFlag_Opt3" hidden="1">1</definedName>
    <definedName name="drsiFlag_Opt4" hidden="1">1</definedName>
    <definedName name="drsiFlag_Percent1" hidden="1">0</definedName>
    <definedName name="drsiFlag_Percent2" hidden="1">0</definedName>
    <definedName name="drsiFlag_Percent3" hidden="1">0</definedName>
    <definedName name="drsiFlag_Percent4" hidden="1">0</definedName>
    <definedName name="drsiFlag_Seasonal1" hidden="1">1</definedName>
    <definedName name="drsiFlag_Seasonal2" hidden="1">1</definedName>
    <definedName name="drsiFlag_Seasonal3" hidden="1">1</definedName>
    <definedName name="drsiFlag_Seasonal4" hidden="1">1</definedName>
    <definedName name="drsiFlag_Use_Damp1" hidden="1">1</definedName>
    <definedName name="drsiFlag_Use_Damp2" hidden="1">1</definedName>
    <definedName name="drsiFlag_Use_Damp3" hidden="1">1</definedName>
    <definedName name="drsiFlag_Use_Damp4" hidden="1">1</definedName>
    <definedName name="drsiForecastCell1" hidden="1">"'Hepatitis B - HBeAg +'!$M$322"</definedName>
    <definedName name="drsiForecastCell2" hidden="1">"'Hepatitis B - HBeAg +'!$M$312"</definedName>
    <definedName name="drsiForecastCell3" hidden="1">"'Hepatitis B - HBeAg +'!$M$313"</definedName>
    <definedName name="drsiForecastCell4" hidden="1">"'Hepatitis B - HBeAg +'!$M$314"</definedName>
    <definedName name="drsiGamma_In1" hidden="1">0.5</definedName>
    <definedName name="drsiGamma_In2" hidden="1">0.5</definedName>
    <definedName name="drsiGamma_In3" hidden="1">0.5</definedName>
    <definedName name="drsiGamma_In4" hidden="1">0.5</definedName>
    <definedName name="drsiGroupIDs1" hidden="1">";10;11;12;13;14;"</definedName>
    <definedName name="drsiGroupIDs2" hidden="1">";15;16;17;18;19;"</definedName>
    <definedName name="drsiGroupName1" hidden="1">"BaseTemplate_Wizard Group 1"</definedName>
    <definedName name="drsiGroupName2" hidden="1">"Hepatitis B - HBeAg -_Wizard Group 1"</definedName>
    <definedName name="drsiMainWizID10" hidden="1">"BaseTemplate_Market Wizards"</definedName>
    <definedName name="drsiMainWizID10Desc2ID1" hidden="1">" "</definedName>
    <definedName name="drsiMainWizID10Desc2ID2" hidden="1">" "</definedName>
    <definedName name="drsiMainWizID10Desc2ID3" hidden="1">"Double-click your mouse on the Periodicity of Treatment to get the valid values."</definedName>
    <definedName name="drsiMainWizID10Desc2ID4" hidden="1">" "</definedName>
    <definedName name="drsiMainWizID10Desc2ID5" hidden="1">" "</definedName>
    <definedName name="drsiMainWizID10Desc2ID6" hidden="1">" "</definedName>
    <definedName name="drsiMainWizID10Desc2ID7" hidden="1">" "</definedName>
    <definedName name="drsiMainWizID10DescID1" hidden="1">"Enter the patient prevalence and percent diagnosed."</definedName>
    <definedName name="drsiMainWizID10DescID2" hidden="1">"Enter the market definition."</definedName>
    <definedName name="drsiMainWizID10DescID3" hidden="1">"Enter the Treatment assumptions for each of the product."</definedName>
    <definedName name="drsiMainWizID10DescID4" hidden="1">"Enter the historical data for the products."</definedName>
    <definedName name="drsiMainWizID10DescID5" hidden="1">"Enter the percent usage for this market."</definedName>
    <definedName name="drsiMainWizID10DescID6" hidden="1">"Please forecast the highlighted area of % Patients Treated population, or press next to keep the default setting"</definedName>
    <definedName name="drsiMainWizID10DescID7" hidden="1">"Please forecast the highlighted area of Existing Product share, or press next to keep the default setting"</definedName>
    <definedName name="drsiMainWizID10InputID1InputEndCol1" hidden="1">41</definedName>
    <definedName name="drsiMainWizID10InputID1InputEndCol2" hidden="1">41</definedName>
    <definedName name="drsiMainWizID10InputID1InputEndCol3" hidden="1">41</definedName>
    <definedName name="drsiMainWizID10InputID1InputEndRow1" hidden="1">1</definedName>
    <definedName name="drsiMainWizID10InputID1InputEndRow2" hidden="1">4</definedName>
    <definedName name="drsiMainWizID10InputID1InputEndRow3" hidden="1">8</definedName>
    <definedName name="drsiMainWizID10InputID1InputStartCol1" hidden="1">6</definedName>
    <definedName name="drsiMainWizID10InputID1InputStartCol2" hidden="1">6</definedName>
    <definedName name="drsiMainWizID10InputID1InputStartCol3" hidden="1">6</definedName>
    <definedName name="drsiMainWizID10InputID1InputStartRow1" hidden="1">1</definedName>
    <definedName name="drsiMainWizID10InputID1InputStartRow2" hidden="1">4</definedName>
    <definedName name="drsiMainWizID10InputID1InputStartRow3" hidden="1">8</definedName>
    <definedName name="drsiMainWizID10InputID2InputEndCol1" hidden="1">1</definedName>
    <definedName name="drsiMainWizID10InputID2InputEndCol2" hidden="1">6</definedName>
    <definedName name="drsiMainWizID10InputID2InputEndRow1" hidden="1">10</definedName>
    <definedName name="drsiMainWizID10InputID2InputEndRow2" hidden="1">21</definedName>
    <definedName name="drsiMainWizID10InputID2InputStartCol1" hidden="1">1</definedName>
    <definedName name="drsiMainWizID10InputID2InputStartCol2" hidden="1">6</definedName>
    <definedName name="drsiMainWizID10InputID2InputStartRow1" hidden="1">1</definedName>
    <definedName name="drsiMainWizID10InputID2InputStartRow2" hidden="1">2</definedName>
    <definedName name="drsiMainWizID10InputID3InputEndCol1" hidden="1">12</definedName>
    <definedName name="drsiMainWizID10InputID3InputEndCol2" hidden="1">8</definedName>
    <definedName name="drsiMainWizID10InputID3InputEndCol3" hidden="1">35</definedName>
    <definedName name="drsiMainWizID10InputID3InputEndRow1" hidden="1">21</definedName>
    <definedName name="drsiMainWizID10InputID3InputEndRow2" hidden="1">21</definedName>
    <definedName name="drsiMainWizID10InputID3InputEndRow3" hidden="1">46</definedName>
    <definedName name="drsiMainWizID10InputID3InputStartCol1" hidden="1">10</definedName>
    <definedName name="drsiMainWizID10InputID3InputStartCol2" hidden="1">6</definedName>
    <definedName name="drsiMainWizID10InputID3InputStartCol3" hidden="1">6</definedName>
    <definedName name="drsiMainWizID10InputID3InputStartRow1" hidden="1">2</definedName>
    <definedName name="drsiMainWizID10InputID3InputStartRow2" hidden="1">2</definedName>
    <definedName name="drsiMainWizID10InputID3InputStartRow3" hidden="1">27</definedName>
    <definedName name="drsiMainWizID10InputID4InputEndCol1" hidden="1">10</definedName>
    <definedName name="drsiMainWizID10InputID4InputEndCol2" hidden="1">10</definedName>
    <definedName name="drsiMainWizID10InputID4InputEndCol3" hidden="1">10</definedName>
    <definedName name="drsiMainWizID10InputID4InputEndCol4" hidden="1">10</definedName>
    <definedName name="drsiMainWizID10InputID4InputEndCol5" hidden="1">10</definedName>
    <definedName name="drsiMainWizID10InputID4InputEndRow1" hidden="1">11</definedName>
    <definedName name="drsiMainWizID10InputID4InputEndRow2" hidden="1">23</definedName>
    <definedName name="drsiMainWizID10InputID4InputEndRow3" hidden="1">35</definedName>
    <definedName name="drsiMainWizID10InputID4InputEndRow4" hidden="1">47</definedName>
    <definedName name="drsiMainWizID10InputID4InputEndRow5" hidden="1">35</definedName>
    <definedName name="drsiMainWizID10InputID4InputStartCol1" hidden="1">6</definedName>
    <definedName name="drsiMainWizID10InputID4InputStartCol2" hidden="1">6</definedName>
    <definedName name="drsiMainWizID10InputID4InputStartCol3" hidden="1">7</definedName>
    <definedName name="drsiMainWizID10InputID4InputStartCol4" hidden="1">6</definedName>
    <definedName name="drsiMainWizID10InputID4InputStartCol5" hidden="1">6</definedName>
    <definedName name="drsiMainWizID10InputID4InputStartRow1" hidden="1">2</definedName>
    <definedName name="drsiMainWizID10InputID4InputStartRow2" hidden="1">14</definedName>
    <definedName name="drsiMainWizID10InputID4InputStartRow3" hidden="1">26</definedName>
    <definedName name="drsiMainWizID10InputID4InputStartRow4" hidden="1">38</definedName>
    <definedName name="drsiMainWizID10InputID4InputStartRow5" hidden="1">26</definedName>
    <definedName name="drsiMainWizID10InputID5InputEndCol1" hidden="1">5</definedName>
    <definedName name="drsiMainWizID10InputID5InputEndRow1" hidden="1">11</definedName>
    <definedName name="drsiMainWizID10InputID5InputStartCol1" hidden="1">5</definedName>
    <definedName name="drsiMainWizID10InputID5InputStartRow1" hidden="1">2</definedName>
    <definedName name="drsiMainWizID10InputID6InputEndCol1" hidden="1">40</definedName>
    <definedName name="drsiMainWizID10InputID6InputEndCol2" hidden="1">40</definedName>
    <definedName name="drsiMainWizID10InputID6InputEndRow1" hidden="1">10</definedName>
    <definedName name="drsiMainWizID10InputID6InputEndRow2" hidden="1">7</definedName>
    <definedName name="drsiMainWizID10InputID6InputStartCol1" hidden="1">6</definedName>
    <definedName name="drsiMainWizID10InputID6InputStartCol2" hidden="1">6</definedName>
    <definedName name="drsiMainWizID10InputID6InputStartRow1" hidden="1">10</definedName>
    <definedName name="drsiMainWizID10InputID6InputStartRow2" hidden="1">5</definedName>
    <definedName name="drsiMainWizID10InputID7InputEndCol1" hidden="1">41</definedName>
    <definedName name="drsiMainWizID10InputID7InputEndRow1" hidden="1">10</definedName>
    <definedName name="drsiMainWizID10InputID7InputStartCol1" hidden="1">9</definedName>
    <definedName name="drsiMainWizID10InputID7InputStartRow1" hidden="1">1</definedName>
    <definedName name="drsiMainWizID10TitleID1" hidden="1">"Enter Patient Information"</definedName>
    <definedName name="drsiMainWizID10TitleID2" hidden="1">"Market Definition"</definedName>
    <definedName name="drsiMainWizID10TitleID3" hidden="1">"Enter Treatment Assumptions"</definedName>
    <definedName name="drsiMainWizID10TitleID4" hidden="1">"Enter Historical Data"</definedName>
    <definedName name="drsiMainWizID10TitleID5" hidden="1">"Enter Percent Usage"</definedName>
    <definedName name="drsiMainWizID10TitleID6" hidden="1">"Enter Treated Patient Population"</definedName>
    <definedName name="drsiMainWizID10TitleID7" hidden="1">"Enter Forecasted Shares"</definedName>
    <definedName name="drsiMainWizID11" hidden="1">"BaseTemplate_Market Events"</definedName>
    <definedName name="drsiMainWizID11Desc2ID1" hidden="1">"Follow all of the steps."</definedName>
    <definedName name="drsiMainWizID11DescID1" hidden="1">"This wizard will guide you through the process of creating the market future events."</definedName>
    <definedName name="drsiMainWizID11StepID1" hidden="1">"TEMP01_MFE"</definedName>
    <definedName name="drsiMainWizID11TitleID1" hidden="1">"Run Create Market Future Events"</definedName>
    <definedName name="drsiMainWizID12" hidden="1">"BaseTemplate_Product Future Events"</definedName>
    <definedName name="drsiMainWizID12Desc2ID1" hidden="1">"Follow all of the steps."</definedName>
    <definedName name="drsiMainWizID12DescID1" hidden="1">"This wizard will guide you through the process of creating the product future events."</definedName>
    <definedName name="drsiMainWizID12StepID1" hidden="1">"TEMP01_PFE"</definedName>
    <definedName name="drsiMainWizID12TitleID1" hidden="1">"Run Create Product Future Events"</definedName>
    <definedName name="drsiMainWizID13" hidden="1">"BaseTemplate_Product Events Summary"</definedName>
    <definedName name="drsiMainWizID13Desc2ID1" hidden="1">" "</definedName>
    <definedName name="drsiMainWizID13DescID1" hidden="1">"This wizard will give you a summary of all your active product future events."</definedName>
    <definedName name="drsiMainWizID13StepID1" hidden="1">"TEMP01_VPFE"</definedName>
    <definedName name="drsiMainWizID13TitleID1" hidden="1">"Run View Product Future Events Summary"</definedName>
    <definedName name="drsiMainWizID14" hidden="1">"BaseTemplate_Add New Product"</definedName>
    <definedName name="drsiMainWizID14Desc2ID1" hidden="1">"Follow all of the steps."</definedName>
    <definedName name="drsiMainWizID14Desc2ID2" hidden="1">" "</definedName>
    <definedName name="drsiMainWizID14Desc2ID3" hidden="1">"Double-click your mouse on the Periodicity of Treatment to get the valid values."</definedName>
    <definedName name="drsiMainWizID14Desc2ID4" hidden="1">"Follow all of the steps."</definedName>
    <definedName name="drsiMainWizID14DescID1" hidden="1">"This wizard will run Predictor Engine wizard."</definedName>
    <definedName name="drsiMainWizID14DescID2" hidden="1">"Enter the market definition."</definedName>
    <definedName name="drsiMainWizID14DescID3" hidden="1">"Enter the Treatment assumptions for each of the product."</definedName>
    <definedName name="drsiMainWizID14DescID4" hidden="1">"This wizard will guide you through the process of creating the product future events."</definedName>
    <definedName name="drsiMainWizID14InputID2InputEndCol1" hidden="1">1</definedName>
    <definedName name="drsiMainWizID14InputID2InputEndCol2" hidden="1">6</definedName>
    <definedName name="drsiMainWizID14InputID2InputEndRow1" hidden="1">10</definedName>
    <definedName name="drsiMainWizID14InputID2InputEndRow2" hidden="1">21</definedName>
    <definedName name="drsiMainWizID14InputID2InputStartCol1" hidden="1">1</definedName>
    <definedName name="drsiMainWizID14InputID2InputStartCol2" hidden="1">6</definedName>
    <definedName name="drsiMainWizID14InputID2InputStartRow1" hidden="1">1</definedName>
    <definedName name="drsiMainWizID14InputID2InputStartRow2" hidden="1">2</definedName>
    <definedName name="drsiMainWizID14InputID3InputEndCol1" hidden="1">12</definedName>
    <definedName name="drsiMainWizID14InputID3InputEndCol2" hidden="1">8</definedName>
    <definedName name="drsiMainWizID14InputID3InputEndCol3" hidden="1">35</definedName>
    <definedName name="drsiMainWizID14InputID3InputEndRow1" hidden="1">21</definedName>
    <definedName name="drsiMainWizID14InputID3InputEndRow2" hidden="1">21</definedName>
    <definedName name="drsiMainWizID14InputID3InputEndRow3" hidden="1">46</definedName>
    <definedName name="drsiMainWizID14InputID3InputStartCol1" hidden="1">10</definedName>
    <definedName name="drsiMainWizID14InputID3InputStartCol2" hidden="1">6</definedName>
    <definedName name="drsiMainWizID14InputID3InputStartCol3" hidden="1">6</definedName>
    <definedName name="drsiMainWizID14InputID3InputStartRow1" hidden="1">2</definedName>
    <definedName name="drsiMainWizID14InputID3InputStartRow2" hidden="1">2</definedName>
    <definedName name="drsiMainWizID14InputID3InputStartRow3" hidden="1">27</definedName>
    <definedName name="drsiMainWizID14StepID1" hidden="1">"PW"</definedName>
    <definedName name="drsiMainWizID14StepID4" hidden="1">"TEMP01_PFE"</definedName>
    <definedName name="drsiMainWizID14TitleID1" hidden="1">"Insert Product Wizard"</definedName>
    <definedName name="drsiMainWizID14TitleID2" hidden="1">"Market Definition"</definedName>
    <definedName name="drsiMainWizID14TitleID3" hidden="1">"Enter Treatment Assumptions"</definedName>
    <definedName name="drsiMainWizID14TitleID4" hidden="1">"Run Create Product Future Events"</definedName>
    <definedName name="drsiMainWizID15" hidden="1">"Hepatitis B - HBeAg -_Market Wizards"</definedName>
    <definedName name="drsiMainWizID15Desc2ID1" hidden="1">" "</definedName>
    <definedName name="drsiMainWizID15Desc2ID2" hidden="1">" "</definedName>
    <definedName name="drsiMainWizID15Desc2ID3" hidden="1">"Double-click your mouse on the Periodicity of Treatment to get the valid values."</definedName>
    <definedName name="drsiMainWizID15Desc2ID4" hidden="1">" "</definedName>
    <definedName name="drsiMainWizID15Desc2ID5" hidden="1">" "</definedName>
    <definedName name="drsiMainWizID15Desc2ID6" hidden="1">" "</definedName>
    <definedName name="drsiMainWizID15Desc2ID7" hidden="1">" "</definedName>
    <definedName name="drsiMainWizID15DescID1" hidden="1">"Enter the patient prevalence and percent diagnosed."</definedName>
    <definedName name="drsiMainWizID15DescID2" hidden="1">"Enter the market definition."</definedName>
    <definedName name="drsiMainWizID15DescID3" hidden="1">"Enter the Treatment assumptions for each of the product."</definedName>
    <definedName name="drsiMainWizID15DescID4" hidden="1">"Enter the historical data for the products."</definedName>
    <definedName name="drsiMainWizID15DescID5" hidden="1">"Enter the percent usage for this market."</definedName>
    <definedName name="drsiMainWizID15DescID6" hidden="1">"Please forecast the highlighted area of % Patients Treated population, or press next to keep the default setting"</definedName>
    <definedName name="drsiMainWizID15DescID7" hidden="1">"Please forecast the highlighted area of Existing Product share, or press next to keep the default setting"</definedName>
    <definedName name="drsiMainWizID15InputID1F1BookRng1" hidden="1">#REF!</definedName>
    <definedName name="drsiMainWizID15InputID1F1BookRng2" hidden="1">#REF!</definedName>
    <definedName name="drsiMainWizID15InputID1F1BookRng3" hidden="1">#REF!</definedName>
    <definedName name="drsiMainWizID15InputID1InputEndCol1" hidden="1">41</definedName>
    <definedName name="drsiMainWizID15InputID1InputEndCol2" hidden="1">41</definedName>
    <definedName name="drsiMainWizID15InputID1InputEndCol3" hidden="1">41</definedName>
    <definedName name="drsiMainWizID15InputID1InputEndRow1" hidden="1">1</definedName>
    <definedName name="drsiMainWizID15InputID1InputEndRow2" hidden="1">4</definedName>
    <definedName name="drsiMainWizID15InputID1InputEndRow3" hidden="1">8</definedName>
    <definedName name="drsiMainWizID15InputID1InputStartCol1" hidden="1">6</definedName>
    <definedName name="drsiMainWizID15InputID1InputStartCol2" hidden="1">6</definedName>
    <definedName name="drsiMainWizID15InputID1InputStartCol3" hidden="1">6</definedName>
    <definedName name="drsiMainWizID15InputID1InputStartRow1" hidden="1">1</definedName>
    <definedName name="drsiMainWizID15InputID1InputStartRow2" hidden="1">4</definedName>
    <definedName name="drsiMainWizID15InputID1InputStartRow3" hidden="1">8</definedName>
    <definedName name="drsiMainWizID15InputID2F1BookRng1" hidden="1">#REF!</definedName>
    <definedName name="drsiMainWizID15InputID2F1BookRng2" hidden="1">#REF!</definedName>
    <definedName name="drsiMainWizID15InputID2InputEndCol1" hidden="1">1</definedName>
    <definedName name="drsiMainWizID15InputID2InputEndCol2" hidden="1">6</definedName>
    <definedName name="drsiMainWizID15InputID2InputEndRow1" hidden="1">10</definedName>
    <definedName name="drsiMainWizID15InputID2InputEndRow2" hidden="1">21</definedName>
    <definedName name="drsiMainWizID15InputID2InputStartCol1" hidden="1">1</definedName>
    <definedName name="drsiMainWizID15InputID2InputStartCol2" hidden="1">6</definedName>
    <definedName name="drsiMainWizID15InputID2InputStartRow1" hidden="1">1</definedName>
    <definedName name="drsiMainWizID15InputID2InputStartRow2" hidden="1">2</definedName>
    <definedName name="drsiMainWizID15InputID3F1BookRng1" hidden="1">#REF!</definedName>
    <definedName name="drsiMainWizID15InputID3F1BookRng2" hidden="1">#REF!</definedName>
    <definedName name="drsiMainWizID15InputID3F1BookRng3" hidden="1">#REF!</definedName>
    <definedName name="drsiMainWizID15InputID3InputEndCol1" hidden="1">12</definedName>
    <definedName name="drsiMainWizID15InputID3InputEndCol2" hidden="1">8</definedName>
    <definedName name="drsiMainWizID15InputID3InputEndCol3" hidden="1">35</definedName>
    <definedName name="drsiMainWizID15InputID3InputEndRow1" hidden="1">21</definedName>
    <definedName name="drsiMainWizID15InputID3InputEndRow2" hidden="1">21</definedName>
    <definedName name="drsiMainWizID15InputID3InputEndRow3" hidden="1">46</definedName>
    <definedName name="drsiMainWizID15InputID3InputStartCol1" hidden="1">10</definedName>
    <definedName name="drsiMainWizID15InputID3InputStartCol2" hidden="1">6</definedName>
    <definedName name="drsiMainWizID15InputID3InputStartCol3" hidden="1">6</definedName>
    <definedName name="drsiMainWizID15InputID3InputStartRow1" hidden="1">2</definedName>
    <definedName name="drsiMainWizID15InputID3InputStartRow2" hidden="1">2</definedName>
    <definedName name="drsiMainWizID15InputID3InputStartRow3" hidden="1">27</definedName>
    <definedName name="drsiMainWizID15InputID4F1BookRng1" hidden="1">#REF!</definedName>
    <definedName name="drsiMainWizID15InputID4F1BookRng2" hidden="1">#REF!</definedName>
    <definedName name="drsiMainWizID15InputID4F1BookRng3" hidden="1">#REF!</definedName>
    <definedName name="drsiMainWizID15InputID4F1BookRng4" hidden="1">#REF!</definedName>
    <definedName name="drsiMainWizID15InputID4F1BookRng5" hidden="1">#REF!</definedName>
    <definedName name="drsiMainWizID15InputID4InputEndCol1" hidden="1">10</definedName>
    <definedName name="drsiMainWizID15InputID4InputEndCol2" hidden="1">10</definedName>
    <definedName name="drsiMainWizID15InputID4InputEndCol3" hidden="1">10</definedName>
    <definedName name="drsiMainWizID15InputID4InputEndCol4" hidden="1">10</definedName>
    <definedName name="drsiMainWizID15InputID4InputEndCol5" hidden="1">10</definedName>
    <definedName name="drsiMainWizID15InputID4InputEndRow1" hidden="1">11</definedName>
    <definedName name="drsiMainWizID15InputID4InputEndRow2" hidden="1">23</definedName>
    <definedName name="drsiMainWizID15InputID4InputEndRow3" hidden="1">35</definedName>
    <definedName name="drsiMainWizID15InputID4InputEndRow4" hidden="1">47</definedName>
    <definedName name="drsiMainWizID15InputID4InputEndRow5" hidden="1">35</definedName>
    <definedName name="drsiMainWizID15InputID4InputStartCol1" hidden="1">6</definedName>
    <definedName name="drsiMainWizID15InputID4InputStartCol2" hidden="1">6</definedName>
    <definedName name="drsiMainWizID15InputID4InputStartCol3" hidden="1">7</definedName>
    <definedName name="drsiMainWizID15InputID4InputStartCol4" hidden="1">6</definedName>
    <definedName name="drsiMainWizID15InputID4InputStartCol5" hidden="1">6</definedName>
    <definedName name="drsiMainWizID15InputID4InputStartRow1" hidden="1">2</definedName>
    <definedName name="drsiMainWizID15InputID4InputStartRow2" hidden="1">14</definedName>
    <definedName name="drsiMainWizID15InputID4InputStartRow3" hidden="1">26</definedName>
    <definedName name="drsiMainWizID15InputID4InputStartRow4" hidden="1">38</definedName>
    <definedName name="drsiMainWizID15InputID4InputStartRow5" hidden="1">26</definedName>
    <definedName name="drsiMainWizID15InputID5F1BookRng1" hidden="1">#REF!</definedName>
    <definedName name="drsiMainWizID15InputID5InputEndCol1" hidden="1">5</definedName>
    <definedName name="drsiMainWizID15InputID5InputEndRow1" hidden="1">11</definedName>
    <definedName name="drsiMainWizID15InputID5InputStartCol1" hidden="1">5</definedName>
    <definedName name="drsiMainWizID15InputID5InputStartRow1" hidden="1">2</definedName>
    <definedName name="drsiMainWizID15InputID6F1BookRng1" hidden="1">#REF!</definedName>
    <definedName name="drsiMainWizID15InputID6F1BookRng2" hidden="1">#REF!</definedName>
    <definedName name="drsiMainWizID15InputID6InputEndCol1" hidden="1">40</definedName>
    <definedName name="drsiMainWizID15InputID6InputEndCol2" hidden="1">40</definedName>
    <definedName name="drsiMainWizID15InputID6InputEndRow1" hidden="1">10</definedName>
    <definedName name="drsiMainWizID15InputID6InputEndRow2" hidden="1">7</definedName>
    <definedName name="drsiMainWizID15InputID6InputStartCol1" hidden="1">6</definedName>
    <definedName name="drsiMainWizID15InputID6InputStartCol2" hidden="1">6</definedName>
    <definedName name="drsiMainWizID15InputID6InputStartRow1" hidden="1">10</definedName>
    <definedName name="drsiMainWizID15InputID6InputStartRow2" hidden="1">5</definedName>
    <definedName name="drsiMainWizID15InputID7F1BookRng1" hidden="1">#REF!</definedName>
    <definedName name="drsiMainWizID15InputID7InputEndCol1" hidden="1">41</definedName>
    <definedName name="drsiMainWizID15InputID7InputEndRow1" hidden="1">10</definedName>
    <definedName name="drsiMainWizID15InputID7InputStartCol1" hidden="1">11</definedName>
    <definedName name="drsiMainWizID15InputID7InputStartRow1" hidden="1">1</definedName>
    <definedName name="drsiMainWizID15MainTitleCell1" hidden="1">#REF!</definedName>
    <definedName name="drsiMainWizID15MainTitleCell4" hidden="1">#REF!</definedName>
    <definedName name="drsiMainWizID15MainTitleCell5" hidden="1">#REF!</definedName>
    <definedName name="drsiMainWizID15MainTitleCell6" hidden="1">#REF!</definedName>
    <definedName name="drsiMainWizID15MainTitleCell7" hidden="1">#REF!</definedName>
    <definedName name="drsiMainWizID15StartCell1" hidden="1">#REF!</definedName>
    <definedName name="drsiMainWizID15StartCell2" hidden="1">#REF!</definedName>
    <definedName name="drsiMainWizID15StartCell3" hidden="1">#REF!</definedName>
    <definedName name="drsiMainWizID15StartCell4" hidden="1">#REF!</definedName>
    <definedName name="drsiMainWizID15StartCell5" hidden="1">#REF!</definedName>
    <definedName name="drsiMainWizID15StartCell6" hidden="1">#REF!</definedName>
    <definedName name="drsiMainWizID15StartCell7" hidden="1">#REF!</definedName>
    <definedName name="drsiMainWizID15StepID1" hidden="1">#REF!</definedName>
    <definedName name="drsiMainWizID15StepID2" hidden="1">#REF!</definedName>
    <definedName name="drsiMainWizID15StepID3" hidden="1">#REF!</definedName>
    <definedName name="drsiMainWizID15StepID4" hidden="1">#REF!</definedName>
    <definedName name="drsiMainWizID15StepID5" hidden="1">#REF!</definedName>
    <definedName name="drsiMainWizID15StepID6" hidden="1">#REF!</definedName>
    <definedName name="drsiMainWizID15StepID7" hidden="1">#REF!</definedName>
    <definedName name="drsiMainWizID15TitleID1" hidden="1">"Enter Patient Information"</definedName>
    <definedName name="drsiMainWizID15TitleID2" hidden="1">"Market Definition"</definedName>
    <definedName name="drsiMainWizID15TitleID3" hidden="1">"Enter Treatment Assumptions"</definedName>
    <definedName name="drsiMainWizID15TitleID4" hidden="1">"Enter Historical Data"</definedName>
    <definedName name="drsiMainWizID15TitleID5" hidden="1">"Enter Percent Usage"</definedName>
    <definedName name="drsiMainWizID15TitleID6" hidden="1">"Enter Treated Patient Population"</definedName>
    <definedName name="drsiMainWizID15TitleID7" hidden="1">"Enter Forecasted Shares"</definedName>
    <definedName name="drsiMainWizID16" hidden="1">"Hepatitis B - HBeAg -_Market Events"</definedName>
    <definedName name="drsiMainWizID16Desc2ID1" hidden="1">"Follow all of the steps."</definedName>
    <definedName name="drsiMainWizID16DescID1" hidden="1">"This wizard will guide you through the process of creating the market future events."</definedName>
    <definedName name="drsiMainWizID16MainSheetRef1" hidden="1">#REF!</definedName>
    <definedName name="drsiMainWizID16StepID1" hidden="1">"TEMP01_MFE"</definedName>
    <definedName name="drsiMainWizID16TitleID1" hidden="1">"Run Create Market Future Events"</definedName>
    <definedName name="drsiMainWizID17" hidden="1">"Hepatitis B - HBeAg -_Product Future Events"</definedName>
    <definedName name="drsiMainWizID17Desc2ID1" hidden="1">"Follow all of the steps."</definedName>
    <definedName name="drsiMainWizID17DescID1" hidden="1">"This wizard will guide you through the process of creating the product future events."</definedName>
    <definedName name="drsiMainWizID17MainSheetRef1" hidden="1">#REF!</definedName>
    <definedName name="drsiMainWizID17StepID1" hidden="1">"TEMP01_PFE"</definedName>
    <definedName name="drsiMainWizID17TitleID1" hidden="1">"Run Create Product Future Events"</definedName>
    <definedName name="drsiMainWizID18" hidden="1">"Hepatitis B - HBeAg -_Product Events Summary"</definedName>
    <definedName name="drsiMainWizID18Desc2ID1" hidden="1">" "</definedName>
    <definedName name="drsiMainWizID18DescID1" hidden="1">"This wizard will give you a summary of all your active product future events."</definedName>
    <definedName name="drsiMainWizID18MainSheetRef1" hidden="1">#REF!</definedName>
    <definedName name="drsiMainWizID18StepID1" hidden="1">"TEMP01_VPFE"</definedName>
    <definedName name="drsiMainWizID18TitleID1" hidden="1">"Run View Product Future Events Summary"</definedName>
    <definedName name="drsiMainWizID19" hidden="1">"Hepatitis B - HBeAg -_Add New Product"</definedName>
    <definedName name="drsiMainWizID19Desc2ID1" hidden="1">"Follow all of the steps."</definedName>
    <definedName name="drsiMainWizID19Desc2ID2" hidden="1">" "</definedName>
    <definedName name="drsiMainWizID19Desc2ID3" hidden="1">"Double-click your mouse on the Periodicity of Treatment to get the valid values."</definedName>
    <definedName name="drsiMainWizID19Desc2ID4" hidden="1">"Follow all of the steps."</definedName>
    <definedName name="drsiMainWizID19DescID1" hidden="1">"This wizard will run Predictor Engine wizard."</definedName>
    <definedName name="drsiMainWizID19DescID2" hidden="1">"Enter the market definition."</definedName>
    <definedName name="drsiMainWizID19DescID3" hidden="1">"Enter the Treatment assumptions for each of the product."</definedName>
    <definedName name="drsiMainWizID19DescID4" hidden="1">"This wizard will guide you through the process of creating the product future events."</definedName>
    <definedName name="drsiMainWizID19InputID2F1BookRng1" hidden="1">#REF!</definedName>
    <definedName name="drsiMainWizID19InputID2F1BookRng2" hidden="1">#REF!</definedName>
    <definedName name="drsiMainWizID19InputID2InputEndCol1" hidden="1">1</definedName>
    <definedName name="drsiMainWizID19InputID2InputEndCol2" hidden="1">6</definedName>
    <definedName name="drsiMainWizID19InputID2InputEndRow1" hidden="1">10</definedName>
    <definedName name="drsiMainWizID19InputID2InputEndRow2" hidden="1">21</definedName>
    <definedName name="drsiMainWizID19InputID2InputStartCol1" hidden="1">1</definedName>
    <definedName name="drsiMainWizID19InputID2InputStartCol2" hidden="1">6</definedName>
    <definedName name="drsiMainWizID19InputID2InputStartRow1" hidden="1">1</definedName>
    <definedName name="drsiMainWizID19InputID2InputStartRow2" hidden="1">2</definedName>
    <definedName name="drsiMainWizID19InputID3F1BookRng1" hidden="1">#REF!</definedName>
    <definedName name="drsiMainWizID19InputID3F1BookRng2" hidden="1">#REF!</definedName>
    <definedName name="drsiMainWizID19InputID3F1BookRng3" hidden="1">#REF!</definedName>
    <definedName name="drsiMainWizID19InputID3InputEndCol1" hidden="1">12</definedName>
    <definedName name="drsiMainWizID19InputID3InputEndCol2" hidden="1">8</definedName>
    <definedName name="drsiMainWizID19InputID3InputEndCol3" hidden="1">35</definedName>
    <definedName name="drsiMainWizID19InputID3InputEndRow1" hidden="1">21</definedName>
    <definedName name="drsiMainWizID19InputID3InputEndRow2" hidden="1">21</definedName>
    <definedName name="drsiMainWizID19InputID3InputEndRow3" hidden="1">46</definedName>
    <definedName name="drsiMainWizID19InputID3InputStartCol1" hidden="1">10</definedName>
    <definedName name="drsiMainWizID19InputID3InputStartCol2" hidden="1">6</definedName>
    <definedName name="drsiMainWizID19InputID3InputStartCol3" hidden="1">6</definedName>
    <definedName name="drsiMainWizID19InputID3InputStartRow1" hidden="1">2</definedName>
    <definedName name="drsiMainWizID19InputID3InputStartRow2" hidden="1">2</definedName>
    <definedName name="drsiMainWizID19InputID3InputStartRow3" hidden="1">27</definedName>
    <definedName name="drsiMainWizID19MainSheetRef4" hidden="1">#REF!</definedName>
    <definedName name="drsiMainWizID19StartCell2" hidden="1">#REF!</definedName>
    <definedName name="drsiMainWizID19StartCell3" hidden="1">#REF!</definedName>
    <definedName name="drsiMainWizID19StepID1" hidden="1">"PW"</definedName>
    <definedName name="drsiMainWizID19StepID2" hidden="1">#REF!</definedName>
    <definedName name="drsiMainWizID19StepID3" hidden="1">#REF!</definedName>
    <definedName name="drsiMainWizID19StepID4" hidden="1">"TEMP01_PFE"</definedName>
    <definedName name="drsiMainWizID19TitleID1" hidden="1">"Insert Product Wizard"</definedName>
    <definedName name="drsiMainWizID19TitleID2" hidden="1">"Market Definition"</definedName>
    <definedName name="drsiMainWizID19TitleID3" hidden="1">"Enter Treatment Assumptions"</definedName>
    <definedName name="drsiMainWizID19TitleID4" hidden="1">"Run Create Product Future Events"</definedName>
    <definedName name="drsiModel_In1" hidden="1">0</definedName>
    <definedName name="drsiModel_In2" hidden="1">0</definedName>
    <definedName name="drsiModel_In3" hidden="1">0</definedName>
    <definedName name="drsiModel_In4" hidden="1">2</definedName>
    <definedName name="drsiOnError1" hidden="1">0</definedName>
    <definedName name="drsiOnError2" hidden="1">0</definedName>
    <definedName name="drsiOnError3" hidden="1">0</definedName>
    <definedName name="drsiOnError4" hidden="1">0</definedName>
    <definedName name="drsiProdName1" hidden="1">"Totals Row"</definedName>
    <definedName name="drsiProdName2" hidden="1">2</definedName>
    <definedName name="drsiProdName3" hidden="1">3</definedName>
    <definedName name="drsiProdName4" hidden="1">4</definedName>
    <definedName name="drsiSeasonCycles1" hidden="1">12</definedName>
    <definedName name="drsiSeasonCycles2" hidden="1">12</definedName>
    <definedName name="drsiSeasonCycles3" hidden="1">12</definedName>
    <definedName name="drsiSeasonCycles4" hidden="1">12</definedName>
    <definedName name="drsiWizGroupCount" hidden="1">1</definedName>
    <definedName name="dsfsffss" hidden="1">{#N/A,#N/A,FALSE,"Pharm";#N/A,#N/A,FALSE,"WWCM"}</definedName>
    <definedName name="dss" hidden="1">OFFSET(#REF!,1,0)</definedName>
    <definedName name="dsss" hidden="1">OFFSET(#REF!,1,0)</definedName>
    <definedName name="Dupi">#REF!</definedName>
    <definedName name="DUPIBUD">#REF!</definedName>
    <definedName name="DupiDate">#REF!</definedName>
    <definedName name="DUPIFTE">#REF!</definedName>
    <definedName name="DUPILegal">#REF!</definedName>
    <definedName name="DUPIOLE">#REF!</definedName>
    <definedName name="DUPIOOP">#REF!</definedName>
    <definedName name="DUPIOOPMkt">#REF!</definedName>
    <definedName name="DUPIRegion">#REF!</definedName>
    <definedName name="DupiSepBOD">#REF!</definedName>
    <definedName name="DupiSepBODDate">#REF!</definedName>
    <definedName name="DUPIStratco">#REF!</definedName>
    <definedName name="E" hidden="1">{#N/A,#N/A,FALSE,"Layout GuV"}</definedName>
    <definedName name="EDC_SiteTraining_mthd">#REF!</definedName>
    <definedName name="EditChecks">#REF!</definedName>
    <definedName name="EEE" hidden="1">{#N/A,#N/A,FALSE,"Pharm";#N/A,#N/A,FALSE,"WWCM"}</definedName>
    <definedName name="EF_MOY" hidden="1">#REF!</definedName>
    <definedName name="EFq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jkfgkjze" hidden="1">{#N/A,#N/A,FALSE,"Pharm";#N/A,#N/A,FALSE,"WWCM"}</definedName>
    <definedName name="ELOXATINE" hidden="1">#REF!</definedName>
    <definedName name="ELOXATINE_CP" hidden="1">#REF!</definedName>
    <definedName name="Email">#REF!</definedName>
    <definedName name="Emergency">#REF!</definedName>
    <definedName name="End_Date">#REF!</definedName>
    <definedName name="ENROLL">#REF!</definedName>
    <definedName name="ENROLL_End">#REF!</definedName>
    <definedName name="ENROLL_Start">#REF!</definedName>
    <definedName name="ENTEROGERM_CP" hidden="1">#REF!</definedName>
    <definedName name="ENTEROGERMINA" hidden="1">#REF!</definedName>
    <definedName name="eOutReach_method">#REF!</definedName>
    <definedName name="EPLIVANSERIN" hidden="1">#REF!</definedName>
    <definedName name="EPLIVANSERINE" hidden="1">#REF!</definedName>
    <definedName name="ere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3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e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rfolgsplanung" hidden="1">{"'Internat.oper.netti'!$B$1:$J$25"}</definedName>
    <definedName name="ErrorChk">#REF!</definedName>
    <definedName name="ErrorCount">#REF!</definedName>
    <definedName name="ESSAI" hidden="1">{#N/A,#N/A,FALSE,"Pharm";#N/A,#N/A,FALSE,"WWCM"}</definedName>
    <definedName name="ESSENTIALE" hidden="1">#REF!</definedName>
    <definedName name="ESSENTIALE_CP" hidden="1">#REF!</definedName>
    <definedName name="EU_Countries">#REF!</definedName>
    <definedName name="Eudrav_method">#REF!</definedName>
    <definedName name="EurotoUSD">#REF!</definedName>
    <definedName name="ev.Calculation" hidden="1">-4135</definedName>
    <definedName name="ev.Initialized" hidden="1">FALSE</definedName>
    <definedName name="EV__LASTREFTIME__" hidden="1">40457.5033217593</definedName>
    <definedName name="EVMPD_Prod">#REF!</definedName>
    <definedName name="EvWeb_Countries">#REF!</definedName>
    <definedName name="ewwe" hidden="1">{#N/A,#N/A,FALSE,"REPORT"}</definedName>
    <definedName name="excl" hidden="1">{"'Internat.oper.netti'!$B$1:$J$25"}</definedName>
    <definedName name="exl" hidden="1">{"'Internat.oper.netti'!$B$1:$J$25"}</definedName>
    <definedName name="Exp_CurrPrice">#REF!</definedName>
    <definedName name="Exp_GridPXL">#REF!</definedName>
    <definedName name="Expedited_Reporting">#REF!</definedName>
    <definedName name="EXTERNAL_BMSPG_NETWORK" hidden="1">#REF!</definedName>
    <definedName name="External_sales_force" hidden="1">#REF!</definedName>
    <definedName name="Externalized_services" hidden="1">#REF!</definedName>
    <definedName name="fassd">#REF!</definedName>
    <definedName name="FCode" hidden="1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D" hidden="1">{#N/A,#N/A,FALSE,"Pharm";#N/A,#N/A,FALSE,"WWCM"}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f" hidden="1">{#N/A,#N/A,FALSE,"Pharm";#N/A,#N/A,FALSE,"WWCM"}</definedName>
    <definedName name="fff" hidden="1">{#N/A,#N/A,FALSE,"Pharm";#N/A,#N/A,FALSE,"WWCM"}</definedName>
    <definedName name="fffff" hidden="1">{#N/A,#N/A,FALSE,"Mittelherkunft";#N/A,#N/A,FALSE,"Mittelverwendung"}</definedName>
    <definedName name="fffffff" hidden="1">{#N/A,#N/A,FALSE,"Pharm";#N/A,#N/A,FALSE,"WWCM"}</definedName>
    <definedName name="fg" hidden="1">{#N/A,#N/A,FALSE,"REPORT"}</definedName>
    <definedName name="fghj" hidden="1">#REF!</definedName>
    <definedName name="fgrdf" hidden="1">{#N/A,#N/A,FALSE,"Layout GuV"}</definedName>
    <definedName name="File.Type" hidden="1">#REF!</definedName>
    <definedName name="FilterDataRange" hidden="1">#REF!</definedName>
    <definedName name="FilteredList">OFFSET('[3]Clinical Summary'!$B$40, 0, 0, COUNTA('[3]Clinical Summary'!$B$40:$B$94))</definedName>
    <definedName name="FINANCE_CONTROLLING" hidden="1">#REF!</definedName>
    <definedName name="FINANCIAL_EXPENSES" hidden="1">#REF!</definedName>
    <definedName name="FINANCIAL_INCOME" hidden="1">#REF!</definedName>
    <definedName name="FJEZK" hidden="1">{#N/A,#N/A,FALSE,"Pharm";#N/A,#N/A,FALSE,"WWCM"}</definedName>
    <definedName name="FOLLOWUP">#REF!</definedName>
    <definedName name="FOLLOWUP_End">#REF!</definedName>
    <definedName name="FOLLOWUP_Start">#REF!</definedName>
    <definedName name="Forecast_End">#REF!</definedName>
    <definedName name="Forecast_Start">#REF!</definedName>
    <definedName name="FOREX_GAINS_AND_LOSSES_ON_OPERATIONS" hidden="1">#REF!</definedName>
    <definedName name="forms">#REF!</definedName>
    <definedName name="Forms_Control">#REF!</definedName>
    <definedName name="formula_Prep">IF(#REF!="","",IFERROR(VALUE(INDEX(#REF!,MATCH(#REF!,#REF!,0),MATCH(#REF!,#REF!,0))),""))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SP">#REF!</definedName>
    <definedName name="FTE">#REF!</definedName>
    <definedName name="FVG" hidden="1">{#N/A,#N/A,FALSE,"Pharm";#N/A,#N/A,FALSE,"WWCM"}</definedName>
    <definedName name="fw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FXrate">#REF!</definedName>
    <definedName name="GAINS_LOSSES_ON_DISPOSALS_AND_LITIGATION" hidden="1">#REF!</definedName>
    <definedName name="Gateway_Countries">#REF!</definedName>
    <definedName name="gdfgdf" hidden="1">{#N/A,#N/A,FALSE,"Pharm";#N/A,#N/A,FALSE,"WWCM"}</definedName>
    <definedName name="GENERAL_EXPENSES" hidden="1">#REF!</definedName>
    <definedName name="GENERAL_MANAGEMENT">"liste_1"</definedName>
    <definedName name="GeoName" hidden="1">#REF!</definedName>
    <definedName name="GeoNum" hidden="1">#REF!</definedName>
    <definedName name="ghjggjh" hidden="1">{#N/A,#N/A,FALSE,"Pharm";#N/A,#N/A,FALSE,"WWCM"}</definedName>
    <definedName name="GRANOCYTE" hidden="1">#REF!</definedName>
    <definedName name="GRANOCYTE_CP" hidden="1">#REF!</definedName>
    <definedName name="GraphBar_Labels" hidden="1">#REF!</definedName>
    <definedName name="GraphBar_LabelsRng" hidden="1">IF(LEFT(UPPER(OFFSET(#REF!,1,0,1,1)),8)="_FORMULA",OFFSET(#REF!,3,0,#REF!-1,1),OFFSET(#REF!,2,0,#REF!-1,1))</definedName>
    <definedName name="GraphTrend_DataHDR" hidden="1">#REF!</definedName>
    <definedName name="GraphTrend_GeoLBLs" hidden="1">#REF!</definedName>
    <definedName name="GROSS_MARGIN" hidden="1">#REF!</definedName>
    <definedName name="gvb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H" hidden="1">{#N/A,#N/A,FALSE,"Finanzbedarsrechnung"}</definedName>
    <definedName name="HEAD_OFFICE" hidden="1">#REF!</definedName>
    <definedName name="HiddenRows" hidden="1">#REF!</definedName>
    <definedName name="HMG" hidden="1">{#N/A,#N/A,FALSE,"REPORT"}</definedName>
    <definedName name="hn.Delete015" hidden="1">#REF!,#REF!,#REF!,#REF!,#REF!</definedName>
    <definedName name="hn.ModelVersion" hidden="1">1</definedName>
    <definedName name="hn.NoUpload" hidden="1">0</definedName>
    <definedName name="HTML_CodePage" hidden="1">1252</definedName>
    <definedName name="HTML_Control" hidden="1">{"'TYPE (2)'!$A$1:$Q$76"}</definedName>
    <definedName name="HTML_Description" hidden="1">""</definedName>
    <definedName name="HTML_Email" hidden="1">""</definedName>
    <definedName name="HTML_Header" hidden="1">"Project File"</definedName>
    <definedName name="HTML_LastUpdate" hidden="1">"24/06/2001"</definedName>
    <definedName name="HTML_LineAfter" hidden="1">FALSE</definedName>
    <definedName name="HTML_LineBefore" hidden="1">FALSE</definedName>
    <definedName name="HTML_Name" hidden="1">"CSO - DSI"</definedName>
    <definedName name="HTML_OBDlg2" hidden="1">TRUE</definedName>
    <definedName name="HTML_OBDlg4" hidden="1">TRUE</definedName>
    <definedName name="HTML_OS" hidden="1">0</definedName>
    <definedName name="HTML_PathFile" hidden="1">"C:\Mes documents\budget\budget 2002\MonHTML.htm"</definedName>
    <definedName name="HTML_PathFileMac" hidden="1">"Macintosh HD:HomePageStuff:New_Home_Page:datafile:ctryprem.html"</definedName>
    <definedName name="HTML_Title" hidden="1">"budget-file-ref"</definedName>
    <definedName name="HUMAN_RESOURCES" hidden="1">#REF!</definedName>
    <definedName name="Hypertention" hidden="1">{#N/A,#N/A,FALSE,"Pharm";#N/A,#N/A,FALSE,"WWCM"}</definedName>
    <definedName name="hypo" hidden="1">{#N/A,#N/A,FALSE,"Pharm";#N/A,#N/A,FALSE,"WWCM"}</definedName>
    <definedName name="IAShgf">#REF!</definedName>
    <definedName name="Imaging">#REF!</definedName>
    <definedName name="IMOVANE" hidden="1">#REF!</definedName>
    <definedName name="IMPAIRMENT_OF_TANGIBLES_AND_INTANGIBLES" hidden="1">#REF!</definedName>
    <definedName name="IMPORTANT_PRODUCTS" hidden="1">#REF!</definedName>
    <definedName name="IMPORTANT_PRODUCTS_PHARMA" hidden="1">#REF!</definedName>
    <definedName name="IMPORTANT_PRODUCTS_PHARMA_CP" hidden="1">#REF!</definedName>
    <definedName name="INCENTIVE_SCHEME__PROFIT_SHARING" hidden="1">#REF!</definedName>
    <definedName name="INCOME_BEFORE_TAXSHARE_OF_PnLADISC_OP." hidden="1">#REF!</definedName>
    <definedName name="Income_from_other_partners" hidden="1">#REF!</definedName>
    <definedName name="Income_from_PandG_alliance" hidden="1">#REF!</definedName>
    <definedName name="INCOME_FROM_THIRD_PARTIES" hidden="1">#REF!</definedName>
    <definedName name="Incoterm">#REF!</definedName>
    <definedName name="INDUSTRIAL_DEVELOPMENT" hidden="1">#REF!</definedName>
    <definedName name="Industrial_standard_costs_ISC" hidden="1">#REF!</definedName>
    <definedName name="INFORMATION_SYSTEM" hidden="1">#REF!</definedName>
    <definedName name="INIPOMP" hidden="1">#REF!</definedName>
    <definedName name="INITIATION">#REF!</definedName>
    <definedName name="INITIATION_End">#REF!</definedName>
    <definedName name="INITIATION_Start">#REF!</definedName>
    <definedName name="INSUMAN" hidden="1">#REF!</definedName>
    <definedName name="INTAL" hidden="1">#REF!</definedName>
    <definedName name="INTERCO_OPERATIONS" hidden="1">#REF!</definedName>
    <definedName name="INTERIM_DVT" hidden="1">#REF!</definedName>
    <definedName name="INTERIM_FVT" hidden="1">#REF!</definedName>
    <definedName name="Internal_personnel_costs" hidden="1">#REF!</definedName>
    <definedName name="Internet_CRF">#REF!</definedName>
    <definedName name="invbindertoggle">#REF!</definedName>
    <definedName name="Inventory_write_down" hidden="1">#REF!</definedName>
    <definedName name="IP" hidden="1">{#N/A,#N/A,FALSE,"Pharm";#N/A,#N/A,FALSE,"WWCM"}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"c280"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EPS" hidden="1">"c1648"</definedName>
    <definedName name="IQ_EST_ACT_FFO_REUT" hidden="1">"c3843"</definedName>
    <definedName name="IQ_EST_BV_DIFF_REUT" hidden="1">"c5433"</definedName>
    <definedName name="IQ_EST_BV_SURPRISE_PERCENT_REUT" hidden="1">"c5434"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EST" hidden="1">"c273"</definedName>
    <definedName name="IQ_FFO_EST_REUT" hidden="1">"c3837"</definedName>
    <definedName name="IQ_FFO_HIGH_EST" hidden="1">"c274"</definedName>
    <definedName name="IQ_FFO_HIGH_EST_REUT" hidden="1">"c3839"</definedName>
    <definedName name="IQ_FFO_LOW_EST" hidden="1">"c275"</definedName>
    <definedName name="IQ_FFO_LOW_EST_REUT" hidden="1">"c3840"</definedName>
    <definedName name="IQ_FFO_MEDIAN_EST_REUT" hidden="1">"c3838"</definedName>
    <definedName name="IQ_FFO_NUM_EST" hidden="1">"c276"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TDDEV_EST" hidden="1">"c277"</definedName>
    <definedName name="IQ_FFO_STDDEV_EST_REUT" hidden="1">"c3842"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41319.4080671296</definedName>
    <definedName name="IQ_NAV_ACT_OR_EST" hidden="1">"c2225"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39008.4411342593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be" hidden="1">{#N/A,#N/A,FALSE,"Pharm";#N/A,#N/A,FALSE,"WWCM"}</definedName>
    <definedName name="IRIS">#REF!</definedName>
    <definedName name="IS_capitalization_allocation_invoicing" hidden="1">#REF!</definedName>
    <definedName name="IS_costs_allocated__invoiced_IN" hidden="1">#REF!</definedName>
    <definedName name="IS_costs_allocated__invoiced_NET" hidden="1">#REF!</definedName>
    <definedName name="IS_costs_allocated__invoiced_OUT" hidden="1">#REF!</definedName>
    <definedName name="IS_Depreciation" hidden="1">#REF!</definedName>
    <definedName name="IS_hardware_and_licences_maintenance" hidden="1">#REF!</definedName>
    <definedName name="j" hidden="1">{#N/A,#N/A,FALSE,"REPORT"}</definedName>
    <definedName name="jjj" hidden="1">{#N/A,#N/A,FALSE,"REPORT"}</definedName>
    <definedName name="jk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kjkjk" hidden="1">{"GuVGmbH",#N/A,FALSE,"ratios";"BilanzGmbH",#N/A,FALSE,"ratios";"BilanzKG",#N/A,FALSE,"ratios";"GuVKG",#N/A,FALSE,"ratios"}</definedName>
    <definedName name="joes_fix">#REF!</definedName>
    <definedName name="judy" hidden="1">{#N/A,#N/A,FALSE,"Pharm";#N/A,#N/A,FALSE,"WWCM"}</definedName>
    <definedName name="judy1" hidden="1">{#N/A,#N/A,FALSE,"Pharm";#N/A,#N/A,FALSE,"WWCM"}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ERLONE" hidden="1">#REF!</definedName>
    <definedName name="KETEK" hidden="1">#REF!</definedName>
    <definedName name="KETEK_CP" hidden="1">#REF!</definedName>
    <definedName name="kkk" hidden="1">{#N/A,#N/A,FALSE,"Pharm";#N/A,#N/A,FALSE,"WWCM"}</definedName>
    <definedName name="kkmklmklk" hidden="1">{#N/A,#N/A,FALSE,"Mittelherkunft";#N/A,#N/A,FALSE,"Mittelverwendung"}</definedName>
    <definedName name="kslkjkjlkjd" hidden="1">{#N/A,#N/A,FALSE,"REPORT"}</definedName>
    <definedName name="Labor_PriorStart">#REF!</definedName>
    <definedName name="LabTest">#REF!</definedName>
    <definedName name="LANTUS" hidden="1">#REF!</definedName>
    <definedName name="LANTUS_CP" hidden="1">#REF!</definedName>
    <definedName name="LASIX" hidden="1">#REF!</definedName>
    <definedName name="LASIX_CP" hidden="1">#REF!</definedName>
    <definedName name="lead">#REF!</definedName>
    <definedName name="Lead_Biostatistician">#REF!</definedName>
    <definedName name="Lead_Programmer">#REF!</definedName>
    <definedName name="leadpro">#REF!</definedName>
    <definedName name="Leaves">#REF!</definedName>
    <definedName name="LeavesRange">#REF!</definedName>
    <definedName name="Legal">#REF!</definedName>
    <definedName name="LEGAL_DEPARTMENT" hidden="1">#REF!</definedName>
    <definedName name="length_study">#REF!</definedName>
    <definedName name="List.Complexity">OFFSET(#REF!,1,0,COUNTA(#REF!)-1,1)</definedName>
    <definedName name="List.Currency">OFFSET(#REF!,1,0,COUNTA(#REF!)-1,1)</definedName>
    <definedName name="List.FirstTime">OFFSET(#REF!,1,0,COUNTA(#REF!)-1,1)</definedName>
    <definedName name="List.Hours">OFFSET(#REF!,1,0,COUNTA(#REF!)-1,1)</definedName>
    <definedName name="List.Languages">OFFSET(#REF!,1,0,COUNTA(#REF!)-1,1)</definedName>
    <definedName name="List.PMCfg">OFFSET(#REF!,1,0,COUNTA(#REF!)-1,1)</definedName>
    <definedName name="List.YesNo">OFFSET(#REF!,1,0,COUNTA(#REF!)-1,1)</definedName>
    <definedName name="List_Currency" hidden="1">#REF!</definedName>
    <definedName name="Load">#REF!</definedName>
    <definedName name="Local_Administrative_and_General_exp" hidden="1">#REF!</definedName>
    <definedName name="Local_clinical_studies" hidden="1">#REF!</definedName>
    <definedName name="Local_distribution" hidden="1">#REF!</definedName>
    <definedName name="Local_Internal_sales_force" hidden="1">#REF!</definedName>
    <definedName name="Local_Marketing_management" hidden="1">#REF!</definedName>
    <definedName name="LocalIRB_Canada">#REF!</definedName>
    <definedName name="LocalIRB_US">#REF!</definedName>
    <definedName name="Logistics">#REF!</definedName>
    <definedName name="LOVENOX" hidden="1">#REF!</definedName>
    <definedName name="LTDVials" hidden="1">#REF!</definedName>
    <definedName name="M_PlaceofPath" hidden="1">"\\snyceqt0301\vdf$\tmp\blabla"</definedName>
    <definedName name="MAALOX" hidden="1">#REF!</definedName>
    <definedName name="MAALOX_CP" hidden="1">#REF!</definedName>
    <definedName name="MAGNEB6" hidden="1">#REF!</definedName>
    <definedName name="MAGNEB6_CP" hidden="1">#REF!</definedName>
    <definedName name="Main_AnnotatedCRFType">#REF!</definedName>
    <definedName name="Main_COL_FTE">#REF!</definedName>
    <definedName name="Main_RatesLoaded">#REF!</definedName>
    <definedName name="MAJOR_PRODUCTS" hidden="1">#REF!</definedName>
    <definedName name="MAJOR_PRODUCTS_PHARMA" hidden="1">#REF!</definedName>
    <definedName name="MAJOR_PRODUCTS_PHARMA_CP" hidden="1">#REF!</definedName>
    <definedName name="MANAGEMENT_DEPARTMENT" hidden="1">#REF!</definedName>
    <definedName name="Manual_Queries">#REF!</definedName>
    <definedName name="map">#REF!</definedName>
    <definedName name="Mapping">#REF!</definedName>
    <definedName name="MARKETING" hidden="1">#REF!</definedName>
    <definedName name="MARKETING_DEPARTMENT" hidden="1">#REF!</definedName>
    <definedName name="MARKETING_MANAGEMENT" hidden="1">#REF!</definedName>
    <definedName name="MD_Monitoring">#REF!</definedName>
    <definedName name="MDType">#REF!</definedName>
    <definedName name="MEDICAL" hidden="1">#REF!</definedName>
    <definedName name="Medical_advertising_materialbrochPOS" hidden="1">#REF!</definedName>
    <definedName name="Medical_Consult_Level">#REF!</definedName>
    <definedName name="MEDICAL_MANAGEMENT" hidden="1">#REF!</definedName>
    <definedName name="MedicalServices">#REF!</definedName>
    <definedName name="MEDICO_MARKETING" hidden="1">#REF!</definedName>
    <definedName name="MEDW_Complexity">#REF!</definedName>
    <definedName name="meetinglengthtype">#REF!</definedName>
    <definedName name="meetinglocations">#REF!</definedName>
    <definedName name="Method_MOV_ET">#REF!</definedName>
    <definedName name="Method_MOV_FU">#REF!</definedName>
    <definedName name="min" hidden="1">{#N/A,#N/A,FALSE,"REPORT"}</definedName>
    <definedName name="MINORITY_INTERESTS" hidden="1">#REF!</definedName>
    <definedName name="MIS" hidden="1">#REF!</definedName>
    <definedName name="mlw" hidden="1">{#N/A,#N/A,FALSE,"Pharm";#N/A,#N/A,FALSE,"WWCM"}</definedName>
    <definedName name="MoDays">(361/12)</definedName>
    <definedName name="MonteCarloDataRange">'[4]2a. Monte Carlo CPP per Year'!$B$9:$B$1008</definedName>
    <definedName name="MONTHCA" hidden="1">#REF!</definedName>
    <definedName name="MONTHCP" hidden="1">#REF!</definedName>
    <definedName name="MONTHEF" hidden="1">#REF!</definedName>
    <definedName name="MONTHPL" hidden="1">#REF!</definedName>
    <definedName name="Months">#REF!</definedName>
    <definedName name="MOV_Freq_ET">#REF!</definedName>
    <definedName name="MOV_Freq_FU">#REF!</definedName>
    <definedName name="mtdtoggle">#REF!</definedName>
    <definedName name="Mttg1">#REF!</definedName>
    <definedName name="Mttg10">#REF!</definedName>
    <definedName name="Mttg11">#REF!</definedName>
    <definedName name="Mttg12">#REF!</definedName>
    <definedName name="Mttg13">#REF!</definedName>
    <definedName name="Mttg14">#REF!</definedName>
    <definedName name="Mttg15">#REF!</definedName>
    <definedName name="Mttg16">#REF!</definedName>
    <definedName name="Mttg17">#REF!</definedName>
    <definedName name="Mttg18">#REF!</definedName>
    <definedName name="Mttg19">#REF!</definedName>
    <definedName name="Mttg2">#REF!</definedName>
    <definedName name="Mttg20">#REF!</definedName>
    <definedName name="Mttg21">#REF!</definedName>
    <definedName name="Mttg22">#REF!</definedName>
    <definedName name="Mttg23">#REF!</definedName>
    <definedName name="Mttg24">#REF!</definedName>
    <definedName name="Mttg25">#REF!</definedName>
    <definedName name="Mttg26">#REF!</definedName>
    <definedName name="Mttg27">#REF!</definedName>
    <definedName name="Mttg28">#REF!</definedName>
    <definedName name="Mttg3">#REF!</definedName>
    <definedName name="Mttg4">#REF!</definedName>
    <definedName name="Mttg5">#REF!</definedName>
    <definedName name="Mttg6">#REF!</definedName>
    <definedName name="Mttg7">#REF!</definedName>
    <definedName name="Mttg8">#REF!</definedName>
    <definedName name="Mttg9">#REF!</definedName>
    <definedName name="MULTAQ" hidden="1">#REF!</definedName>
    <definedName name="MULTAQ_CP" hidden="1">#REF!</definedName>
    <definedName name="MUSCORIL_CP" hidden="1">#REF!</definedName>
    <definedName name="mw" hidden="1">{#N/A,#N/A,FALSE,"Pharm";#N/A,#N/A,FALSE,"WWCM"}</definedName>
    <definedName name="MyName">IF([0]!TheName = "","",[0]!TheName)</definedName>
    <definedName name="MyTaxYear">IF([0]!TaxYearEnd="","",[0]!TaxYearEnd)</definedName>
    <definedName name="name1" hidden="1">{#N/A,#N/A,FALSE,"Aging Summary";#N/A,#N/A,FALSE,"Ratio Analysis";#N/A,#N/A,FALSE,"Test 120 Day Accts";#N/A,#N/A,FALSE,"Tickmarks"}</definedName>
    <definedName name="NASACORT" hidden="1">#REF!</definedName>
    <definedName name="NASACORT_CP" hidden="1">#REF!</definedName>
    <definedName name="NationalGoal" hidden="1">#REF!</definedName>
    <definedName name="NationalQTD" hidden="1">#REF!</definedName>
    <definedName name="NATURE" hidden="1">#REF!</definedName>
    <definedName name="NATURECA" hidden="1">#REF!</definedName>
    <definedName name="NATURECP" hidden="1">#REF!</definedName>
    <definedName name="NATUREEF" hidden="1">#REF!</definedName>
    <definedName name="NATUREPL" hidden="1">#REF!</definedName>
    <definedName name="Nber_DSUR">#REF!</definedName>
    <definedName name="Nber_NewSites">#REF!</definedName>
    <definedName name="Nber_RepeatSites">#REF!</definedName>
    <definedName name="NET_GL_ON_DISPOSALSTANG_INTANG_ASSETS" hidden="1">#REF!</definedName>
    <definedName name="NET_INCOME_BEFORE_MINORITY_INTERESTS" hidden="1">#REF!</definedName>
    <definedName name="NET_INCOME_LOSS" hidden="1">#REF!</definedName>
    <definedName name="Network_Labs_Tests">#REF!</definedName>
    <definedName name="Networks" hidden="1">#REF!</definedName>
    <definedName name="new" hidden="1">{#N/A,#N/A,FALSE,"Pharm";#N/A,#N/A,FALSE,"WWCM"}</definedName>
    <definedName name="newnewnew" hidden="1">{#N/A,#N/A,FALSE,"Pharm";#N/A,#N/A,FALSE,"WWCM"}</definedName>
    <definedName name="news">#REF!</definedName>
    <definedName name="Newsletter_frequency">#REF!</definedName>
    <definedName name="NICORANDIL" hidden="1">#REF!</definedName>
    <definedName name="nnn" hidden="1">#REF!</definedName>
    <definedName name="No._of_Derived_Datasets">#REF!</definedName>
    <definedName name="No_CDAs">#REF!</definedName>
    <definedName name="No_Central_EC">#REF!</definedName>
    <definedName name="No_Central_EC_EvWebGateway">#REF!</definedName>
    <definedName name="No_CLS_Services">#REF!</definedName>
    <definedName name="No_CMAs">#REF!</definedName>
    <definedName name="No_Countries">#REF!</definedName>
    <definedName name="No_CRAs">#REF!</definedName>
    <definedName name="No_CTSs">#REF!</definedName>
    <definedName name="No_DBRGs">#REF!</definedName>
    <definedName name="No_DEAs">#REF!</definedName>
    <definedName name="No_Dry_Runs">#REF!</definedName>
    <definedName name="No_EndOfStudyNotification">#REF!</definedName>
    <definedName name="No_ExportLicense">#REF!</definedName>
    <definedName name="No_ImportLicense">#REF!</definedName>
    <definedName name="No_InterimAnalysis">#REF!</definedName>
    <definedName name="No_Languages">#REF!</definedName>
    <definedName name="No_Local_EC">#REF!</definedName>
    <definedName name="No_Local_EC_EvWebGateway">#REF!</definedName>
    <definedName name="No_LocalAdaptOfEUAppl">#REF!</definedName>
    <definedName name="No_MD">#REF!</definedName>
    <definedName name="No_Meeting_CEC">#REF!</definedName>
    <definedName name="No_Meeting_DMC">#REF!</definedName>
    <definedName name="No_MRA">#REF!</definedName>
    <definedName name="No_Regions">#REF!</definedName>
    <definedName name="No_RegSubmission">#REF!</definedName>
    <definedName name="No_SiteContracts">#REF!</definedName>
    <definedName name="No_StartOfStudyNotification">#REF!</definedName>
    <definedName name="NOSPA" hidden="1">#REF!</definedName>
    <definedName name="NOSPA_CP" hidden="1">#REF!</definedName>
    <definedName name="nouv" hidden="1">{#N/A,#N/A,FALSE,"Pharm";#N/A,#N/A,FALSE,"WWCM"}</definedName>
    <definedName name="NOVALGIN" hidden="1">#REF!</definedName>
    <definedName name="NPCU_Cohort_Sites">#REF!</definedName>
    <definedName name="NPCU_Comp_Use">#REF!</definedName>
    <definedName name="NPCU_Country">#REF!</definedName>
    <definedName name="NPCU_CTrial_Sites">#REF!</definedName>
    <definedName name="NPCU_Date_End">#REF!</definedName>
    <definedName name="NPCU_Date_Start">#REF!</definedName>
    <definedName name="NPCU_LPIF">#REF!</definedName>
    <definedName name="NPCU_Maxvisit">#REF!</definedName>
    <definedName name="NPCU_NPP_Sites">#REF!</definedName>
    <definedName name="NPCU_Patients">#REF!</definedName>
    <definedName name="NPCU_RSP">#REF!</definedName>
    <definedName name="NPCU_screenfail_perc">#REF!</definedName>
    <definedName name="NPCU_Sites">#REF!</definedName>
    <definedName name="NPCU_TPT">#REF!</definedName>
    <definedName name="NPCU_Type">#REF!</definedName>
    <definedName name="NPCU_withdraw_perc">#REF!</definedName>
    <definedName name="NPP_SPP">#REF!</definedName>
    <definedName name="O_MConsult">#REF!</definedName>
    <definedName name="O_MConsultUnit">#REF!</definedName>
    <definedName name="O_PWP">#REF!</definedName>
    <definedName name="OK" hidden="1">{#N/A,#N/A,FALSE,"REPORT"}</definedName>
    <definedName name="OLE">#REF!</definedName>
    <definedName name="OneTimeDiscount">#REF!</definedName>
    <definedName name="ooo" hidden="1">{"Fullreport",#N/A,TRUE,"MBOCO"}</definedName>
    <definedName name="OPERATING_INCOME" hidden="1">#REF!</definedName>
    <definedName name="OPERATING_INCOME_CURRENT" hidden="1">#REF!</definedName>
    <definedName name="OPEX" hidden="1">#REF!</definedName>
    <definedName name="Opportunity_Number">#REF!</definedName>
    <definedName name="OptionalReflex_Services">#REF!</definedName>
    <definedName name="OPTIONLIST">#REF!</definedName>
    <definedName name="OrderTable" hidden="1">#REF!</definedName>
    <definedName name="ORUDIS" hidden="1">#REF!</definedName>
    <definedName name="ORUDIS_PROFENID_CP" hidden="1">#REF!</definedName>
    <definedName name="OT_Codes">#REF!</definedName>
    <definedName name="OTC" hidden="1">#REF!</definedName>
    <definedName name="OTC_CP" hidden="1">#REF!</definedName>
    <definedName name="Other">#REF!</definedName>
    <definedName name="OTHER_CP" hidden="1">#REF!</definedName>
    <definedName name="OTHER_CURRENT_OPERATING_EXPENSES" hidden="1">#REF!</definedName>
    <definedName name="OTHER_CURRENT_OPERATING_INCOME" hidden="1">#REF!</definedName>
    <definedName name="Other_IS_costs" hidden="1">#REF!</definedName>
    <definedName name="OTHER_MINORITY_INTERESTS" hidden="1">#REF!</definedName>
    <definedName name="OTHER_OTC" hidden="1">#REF!</definedName>
    <definedName name="OTHER_PHARMA" hidden="1">#REF!</definedName>
    <definedName name="OTHER_PHARMA_CP" hidden="1">#REF!</definedName>
    <definedName name="Other_promotion_expenses" hidden="1">#REF!</definedName>
    <definedName name="OTHER_REVENUES" hidden="1">#REF!</definedName>
    <definedName name="OTHER_SUPPORT_FUNCTIONS" hidden="1">#REF!</definedName>
    <definedName name="other33" hidden="1">{#N/A,#N/A,FALSE,"Pharm";#N/A,#N/A,FALSE,"WWCM"}</definedName>
    <definedName name="othermar" hidden="1">{#N/A,#N/A,FALSE,"Pharm";#N/A,#N/A,FALSE,"WWCM"}</definedName>
    <definedName name="othertoggle1">#REF!</definedName>
    <definedName name="othertoggle2">#REF!</definedName>
    <definedName name="othertoggle3">#REF!</definedName>
    <definedName name="othertoggle4">#REF!</definedName>
    <definedName name="Ownership" hidden="1">OFFSET(#REF!,1,0)</definedName>
    <definedName name="Page_CRF_Avg">#REF!</definedName>
    <definedName name="Page_CRF_Complete">#REF!</definedName>
    <definedName name="Page_CRF_DiscFollowup">#REF!</definedName>
    <definedName name="Page_CRF_Discontinued">#REF!</definedName>
    <definedName name="Page_CRF_Followup">#REF!</definedName>
    <definedName name="Page_CRF_Min">#REF!</definedName>
    <definedName name="Page_CRF_Min_FU">#REF!</definedName>
    <definedName name="Page_CRF_NonSDVMin_ET">#REF!</definedName>
    <definedName name="Page_CRF_NonSDVMin_FU">#REF!</definedName>
    <definedName name="Page_CRF_Screen">#REF!</definedName>
    <definedName name="Page_CRF_Site">#REF!</definedName>
    <definedName name="Page_Diary_Avg">#REF!</definedName>
    <definedName name="Page_Diary_Complete">#REF!</definedName>
    <definedName name="Page_Diary_DiscFollowup">#REF!</definedName>
    <definedName name="Page_Diary_Discontinued">#REF!</definedName>
    <definedName name="Page_Diary_Followup">#REF!</definedName>
    <definedName name="Page_Diary_Screen">#REF!</definedName>
    <definedName name="Page_QOL_Avg">#REF!</definedName>
    <definedName name="Page_QOL_Complete">#REF!</definedName>
    <definedName name="Page_QOL_DiscFollowup">#REF!</definedName>
    <definedName name="Page_QOL_Discontinued">#REF!</definedName>
    <definedName name="Page_QOL_Followup">#REF!</definedName>
    <definedName name="Page_QOL_Screen">#REF!</definedName>
    <definedName name="PandG_sales_force" hidden="1">#REF!</definedName>
    <definedName name="Patent_Legal_Adj">#REF!</definedName>
    <definedName name="PATIENT_completed">#REF!</definedName>
    <definedName name="PATIENT_enrolled">#REF!</definedName>
    <definedName name="PATIENT_followup">#REF!</definedName>
    <definedName name="Patient_RImb">#REF!</definedName>
    <definedName name="PATIENT_screened">#REF!</definedName>
    <definedName name="Patient_Visits">#REF!</definedName>
    <definedName name="PatientNewsletterNbr">#REF!</definedName>
    <definedName name="PD1_2">{4}</definedName>
    <definedName name="PENSION_COSTS_DEFINED_BENEFITS_PLANS" hidden="1">#REF!</definedName>
    <definedName name="PENSION_COSTS_DEFINED_CONTRIBUTION_PLANS" hidden="1">#REF!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c_RepeatSites">#REF!</definedName>
    <definedName name="Percent_QC">#REF!</definedName>
    <definedName name="PERFORM_CurrPrice">#REF!</definedName>
    <definedName name="PERFORM_PXLGrid">#REF!</definedName>
    <definedName name="PERIMETERCA" hidden="1">#REF!</definedName>
    <definedName name="PERIMETERCP" hidden="1">#REF!</definedName>
    <definedName name="PERIMETEREF" hidden="1">#REF!</definedName>
    <definedName name="PERIMETERPL" hidden="1">#REF!</definedName>
    <definedName name="pharma" hidden="1">{#N/A,#N/A,FALSE,"Sales Graph";#N/A,#N/A,FALSE,"PSBM";#N/A,#N/A,FALSE,"BUC Graph";#N/A,#N/A,FALSE,"P&amp;L - YTD"}</definedName>
    <definedName name="PHARMA_CONTRIB_NOT_DEDUCTED_FROM_SALES" hidden="1">#REF!</definedName>
    <definedName name="Pharmaceutical_contributions_sales" hidden="1">#REF!</definedName>
    <definedName name="PHASE">#REF!</definedName>
    <definedName name="Phase_List">#REF!</definedName>
    <definedName name="Phone">#REF!</definedName>
    <definedName name="pj" hidden="1">#REF!</definedName>
    <definedName name="pl" hidden="1">{#N/A,#N/A,FALSE,"REPORT"}</definedName>
    <definedName name="PLAVIX" hidden="1">#REF!</definedName>
    <definedName name="PLAVIX_CP" hidden="1">#REF!</definedName>
    <definedName name="PLCL">#REF!</definedName>
    <definedName name="PMC_DesignerFee">#REF!</definedName>
    <definedName name="Pnl" hidden="1">{#N/A,#N/A,FALSE,"Pharm";#N/A,#N/A,FALSE,"WWCM"}</definedName>
    <definedName name="port29" hidden="1">{#N/A,#N/A,FALSE,"Pharm";#N/A,#N/A,FALSE,"WWCM"}</definedName>
    <definedName name="PostalCode">#REF!</definedName>
    <definedName name="ppppp" hidden="1">{"'Internat.oper.netti'!$B$1:$J$25"}</definedName>
    <definedName name="Pral">#REF!</definedName>
    <definedName name="PralDate">#REF!</definedName>
    <definedName name="PRALFTE">#REF!</definedName>
    <definedName name="PRALLegal">#REF!</definedName>
    <definedName name="PRALOLE">#REF!</definedName>
    <definedName name="PralSepBOD">#REF!</definedName>
    <definedName name="PralSepBODDate">#REF!</definedName>
    <definedName name="PRALStratco">#REF!</definedName>
    <definedName name="PREDCALC_ENROLL_R">#REF!</definedName>
    <definedName name="PREDCALC_Sites_R">#REF!</definedName>
    <definedName name="Preliminary" hidden="1">{#N/A,#N/A,FALSE,"Pharm";#N/A,#N/A,FALSE,"WWCM"}</definedName>
    <definedName name="Press__Advertising_expenses" hidden="1">#REF!</definedName>
    <definedName name="Prev13" hidden="1">#REF!</definedName>
    <definedName name="Prev13Rng" hidden="1">IF(UPPER(OFFSET(#REF!,1,0,1,1))="VIALS_P13W",OFFSET(#REF!,3,0,#REF!-1,1),OFFSET(#REF!,2,0,#REF!-1,1))</definedName>
    <definedName name="Previous_Values">#REF!</definedName>
    <definedName name="PreviousFC">#REF!</definedName>
    <definedName name="PrgC">#REF!</definedName>
    <definedName name="print">#REF!</definedName>
    <definedName name="PRINT_Mtg">#REF!</definedName>
    <definedName name="ProdForm" hidden="1">#REF!</definedName>
    <definedName name="Product_Type">#REF!</definedName>
    <definedName name="Product6">#REF!</definedName>
    <definedName name="PRODUCTION_CHEMISTRY" hidden="1">#REF!</definedName>
    <definedName name="PRODUCTION_PHARMA" hidden="1">#REF!</definedName>
    <definedName name="Products">#REF!</definedName>
    <definedName name="Products2">#REF!</definedName>
    <definedName name="Products3">#REF!</definedName>
    <definedName name="Products4">#REF!</definedName>
    <definedName name="products5">#REF!</definedName>
    <definedName name="ProgramActualsRefreshTable">'[4]3. Program Refresh - Actuals'!$A$9:INDEX('[4]3. Program Refresh - Actuals'!$9:$1048576,MAX(IF('[4]3. Program Refresh - Actuals'!A:A&lt;&gt;"",ROW('[4]3. Program Refresh - Actuals'!A:A)-8)),MAX(IF('[4]3. Program Refresh - Actuals'!$9:$9&lt;&gt;"",COLUMN('[4]3. Program Refresh - Actuals'!$9:$9))))</definedName>
    <definedName name="Project_Code">#REF!</definedName>
    <definedName name="Project_Map">#REF!</definedName>
    <definedName name="ProjectName">{"Northwestern University"}</definedName>
    <definedName name="PROMOTION_EXPENSES" hidden="1">#REF!</definedName>
    <definedName name="Proposal">#REF!</definedName>
    <definedName name="PROTOCOL">#REF!</definedName>
    <definedName name="Protocol_Complexity">#REF!</definedName>
    <definedName name="PROTOCOL_End">#REF!</definedName>
    <definedName name="PROTOCOL_Start">#REF!</definedName>
    <definedName name="PRR_ContactCenter">#REF!</definedName>
    <definedName name="PRR_Layout1">#REF!</definedName>
    <definedName name="PRR_Layout2">#REF!</definedName>
    <definedName name="PUB_FileID" hidden="1">"L10003363.xls"</definedName>
    <definedName name="PUB_UserID" hidden="1">"MAYERX"</definedName>
    <definedName name="PURCHASE_DEPARTMENT" hidden="1">#REF!</definedName>
    <definedName name="PXLcontract">#REF!</definedName>
    <definedName name="QLat_Rate">0.9</definedName>
    <definedName name="qqq" hidden="1">{#N/A,#N/A,FALSE,"Pharm";#N/A,#N/A,FALSE,"WWCM"}</definedName>
    <definedName name="Quarter">#REF!</definedName>
    <definedName name="Query">#REF!</definedName>
    <definedName name="qw" hidden="1">{#N/A,#N/A,FALSE,"REPORT"}</definedName>
    <definedName name="qwer23r3r23r" hidden="1">{"GuVGmbH",#N/A,FALSE,"ratios";"BilanzGmbH",#N/A,FALSE,"ratios";"BilanzKG",#N/A,FALSE,"ratios";"GuVKG",#N/A,FALSE,"ratios"}</definedName>
    <definedName name="QWES_Services">#REF!</definedName>
    <definedName name="QWES_Test">#REF!</definedName>
    <definedName name="qwqwqew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q23r3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ate">#REF!</definedName>
    <definedName name="Rate_Code">#REF!</definedName>
    <definedName name="RATES">#REF!</definedName>
    <definedName name="Rates_List">#REF!</definedName>
    <definedName name="ratess">#REF!</definedName>
    <definedName name="Ratestructure">#REF!</definedName>
    <definedName name="RCArea" hidden="1">#REF!</definedName>
    <definedName name="Regeneron" hidden="1">{#N/A,#N/A,FALSE,"Pharm";#N/A,#N/A,FALSE,"WWCM"}</definedName>
    <definedName name="region">#REF!</definedName>
    <definedName name="REGISTERED_TEMP" hidden="1">#REF!</definedName>
    <definedName name="REGISTERED_TEMP_THIRD" hidden="1">#REF!</definedName>
    <definedName name="Release_Date">#REF!</definedName>
    <definedName name="Repeat_Figures">#REF!</definedName>
    <definedName name="Repeat_Listings">#REF!</definedName>
    <definedName name="Repeat_Tables">#REF!</definedName>
    <definedName name="REPORT">#REF!</definedName>
    <definedName name="REPORT_End">#REF!</definedName>
    <definedName name="REPORT_Start">#REF!</definedName>
    <definedName name="Report_Type">#REF!</definedName>
    <definedName name="Report_Type_List">#REF!</definedName>
    <definedName name="Reports_Date">#REF!</definedName>
    <definedName name="RESEARCH_AND_DEVELOPMENT" hidden="1">#REF!</definedName>
    <definedName name="RESEAU_BMS" hidden="1">#REF!</definedName>
    <definedName name="RESEAU_BMSZ" hidden="1">#REF!</definedName>
    <definedName name="RESEAU_EXT" hidden="1">#REF!</definedName>
    <definedName name="RESEAU_INTP" hidden="1">#REF!</definedName>
    <definedName name="RESEAU_P_G" hidden="1">#REF!</definedName>
    <definedName name="RESEAUX_EXT_MOY" hidden="1">#REF!</definedName>
    <definedName name="RESP">#REF!</definedName>
    <definedName name="RESTRUCTURING" hidden="1">#REF!</definedName>
    <definedName name="Restructuring_costs_major_events" hidden="1">#REF!</definedName>
    <definedName name="rf2e" hidden="1">{#N/A,#N/A,FALSE,"Pharm";#N/A,#N/A,FALSE,"WWCM"}</definedName>
    <definedName name="rgAutoFilterSverweisString" hidden="1">#REF!</definedName>
    <definedName name="RHINATHIOL" hidden="1">#REF!</definedName>
    <definedName name="RHINATHIOL_CP" hidden="1">#REF!</definedName>
    <definedName name="RILUTEK" hidden="1">#REF!</definedName>
    <definedName name="RILUTEK_CP" hidden="1">#REF!</definedName>
    <definedName name="RIMONABANT_CP" hidden="1">#REF!</definedName>
    <definedName name="rmcAccount">"FDMPHA"</definedName>
    <definedName name="rmcCategory">"BUDGET"</definedName>
    <definedName name="RMCOptions">"*000000000000000"</definedName>
    <definedName name="ROVAMYCINE" hidden="1">#REF!</definedName>
    <definedName name="ROYALTIES_EXPENSES" hidden="1">#REF!</definedName>
    <definedName name="ROYALTIES_INCOME" hidden="1">#REF!</definedName>
    <definedName name="RptLvl" hidden="1">#REF!</definedName>
    <definedName name="RRI_ADR">#REF!</definedName>
    <definedName name="rrrrr" hidden="1">{#N/A,#N/A,FALSE,"Pharm";#N/A,#N/A,FALSE,"WWCM"}</definedName>
    <definedName name="rrrrrrrrrrrr" hidden="1">{#N/A,#N/A,FALSE,"Mittelherkunft";#N/A,#N/A,FALSE,"Mittelverwendung"}</definedName>
    <definedName name="rthrt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zztuzj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sadf" hidden="1">{"'Internat.oper.netti'!$B$1:$J$25"}</definedName>
    <definedName name="SAE_Complexity">#REF!</definedName>
    <definedName name="SAE_CrossReportable">#REF!</definedName>
    <definedName name="SAE_Expeditable">#REF!</definedName>
    <definedName name="SAE_Followup">#REF!</definedName>
    <definedName name="SAE_Legacy">#REF!</definedName>
    <definedName name="SAE_Level">#REF!</definedName>
    <definedName name="SAE_Mgmt_Level">#REF!</definedName>
    <definedName name="SAE_No.">#REF!</definedName>
    <definedName name="SAE_Rec_Mthd">#REF!</definedName>
    <definedName name="SAEList">#REF!</definedName>
    <definedName name="SAEs">#REF!</definedName>
    <definedName name="safe">#REF!</definedName>
    <definedName name="Safety_Database">#REF!</definedName>
    <definedName name="SALARIES" hidden="1">#REF!</definedName>
    <definedName name="SALES" hidden="1">#REF!</definedName>
    <definedName name="Sales_Commissions_to_third_parties" hidden="1">#REF!</definedName>
    <definedName name="SALES_DEPARTMENT_HEAD_OFFICE" hidden="1">#REF!</definedName>
    <definedName name="SALES_DEPARTMENT_IN_THE_FIELD" hidden="1">#REF!</definedName>
    <definedName name="SALES_FORCE" hidden="1">#REF!</definedName>
    <definedName name="SALES_FORCE_PL" hidden="1">#REF!</definedName>
    <definedName name="Sales_Management" hidden="1">#REF!</definedName>
    <definedName name="SALES_REPS" hidden="1">#REF!</definedName>
    <definedName name="Sales_returns" hidden="1">#REF!</definedName>
    <definedName name="Salesforce_Cumulative">#REF!</definedName>
    <definedName name="Salesforce_Metrics_PriorStart">#REF!</definedName>
    <definedName name="Salesforce_MetricsCumulative">#REF!</definedName>
    <definedName name="Salesforce_PriorStart">#REF!</definedName>
    <definedName name="Salesforce_UploadBudget">#REF!</definedName>
    <definedName name="Salesforce_UploadMetrics">#REF!</definedName>
    <definedName name="Salesforce_UploadPTCBudget">#REF!</definedName>
    <definedName name="SalesforceBiddingCurrency">#REF!</definedName>
    <definedName name="sally" hidden="1">{#N/A,#N/A,FALSE,"Pharm";#N/A,#N/A,FALSE,"WWCM"}</definedName>
    <definedName name="Samples" hidden="1">#REF!</definedName>
    <definedName name="Samples_for_local_clinical_studies" hidden="1">#REF!</definedName>
    <definedName name="SAPBEXdnldView" hidden="1">"456FEKRANGPRC0SRWPMY4PVTJ"</definedName>
    <definedName name="SAPBEXhrIndnt" hidden="1">2</definedName>
    <definedName name="SAPBEXrevision" hidden="1">1</definedName>
    <definedName name="SAPBEXsysID" hidden="1">"PMG"</definedName>
    <definedName name="SAPBEXwbID" hidden="1">"410NXPXNNYRJ99ZFLEN3NCD1U"</definedName>
    <definedName name="SAPsysID" hidden="1">"708C5W7SBKP804JT78WJ0JNKI"</definedName>
    <definedName name="SAPwbID" hidden="1">"ARS"</definedName>
    <definedName name="SAREDUTANT" hidden="1">#REF!</definedName>
    <definedName name="SAREDUTANT_CP" hidden="1">#REF!</definedName>
    <definedName name="Sari">#REF!</definedName>
    <definedName name="SariDate">#REF!</definedName>
    <definedName name="SARIFTE">#REF!</definedName>
    <definedName name="SariLegal">#REF!</definedName>
    <definedName name="SARIOLE">#REF!</definedName>
    <definedName name="SARIOOP">#REF!</definedName>
    <definedName name="SARIOOPMkt">#REF!</definedName>
    <definedName name="SariSepBOD">#REF!</definedName>
    <definedName name="SariSepBODDate">#REF!</definedName>
    <definedName name="SARIStratco">#REF!</definedName>
    <definedName name="SCENARIOCA" hidden="1">#REF!</definedName>
    <definedName name="SCENARIOCP" hidden="1">#REF!</definedName>
    <definedName name="SCENARIOEF" hidden="1">#REF!</definedName>
    <definedName name="SCENARIOPL" hidden="1">#REF!</definedName>
    <definedName name="scenarios">#REF!</definedName>
    <definedName name="SCIENTIFIC" hidden="1">#REF!</definedName>
    <definedName name="SCULPTRA" hidden="1">#REF!</definedName>
    <definedName name="sd">#REF!</definedName>
    <definedName name="sdf" hidden="1">#REF!</definedName>
    <definedName name="sdsdfsdf" hidden="1">{"GuVGmbH",#N/A,FALSE,"ratios";"BilanzGmbH",#N/A,FALSE,"ratios";"BilanzKG",#N/A,FALSE,"ratios";"GuVKG",#N/A,FALSE,"ratios"}</definedName>
    <definedName name="SDV_Perc_ET_CRF">#REF!</definedName>
    <definedName name="SDV_Perc_FU_CRF">#REF!</definedName>
    <definedName name="SELLING_AND_GENERAL_EXPENSES" hidden="1">#REF!</definedName>
    <definedName name="sencount" hidden="1">1</definedName>
    <definedName name="Sensitivity">#REF!</definedName>
    <definedName name="sf" hidden="1">{#N/A,#N/A,FALSE,"Sales Graph";#N/A,#N/A,FALSE,"BUC Graph";#N/A,#N/A,FALSE,"P&amp;L - YTD"}</definedName>
    <definedName name="sf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HARE_OF_NET_PL_OF_OTHER_ASSOCIATES" hidden="1">#REF!</definedName>
    <definedName name="SHARE_OF_NET_PROFITLOSS_OF_ASSOCIATES" hidden="1">#REF!</definedName>
    <definedName name="SHARE_OF_NET_PROFITLOSS_OF_BMS_ASSOC" hidden="1">#REF!</definedName>
    <definedName name="SHARE_OF_NET_PROFITLOSS_OF_BMS_ASSOC." hidden="1">#REF!</definedName>
    <definedName name="Ship_Ex_Ger">#REF!</definedName>
    <definedName name="Ship_Ex_US">#REF!</definedName>
    <definedName name="Show.Acct.Update.Warning" hidden="1">#REF!</definedName>
    <definedName name="Show.MDB.Update.Warning" hidden="1">#REF!</definedName>
    <definedName name="site">#REF!</definedName>
    <definedName name="Site_Select_Complexity">#REF!</definedName>
    <definedName name="Site_types">#REF!</definedName>
    <definedName name="SiteID_AsiaTier1">#REF!</definedName>
    <definedName name="SiteMth_Enroll">#REF!</definedName>
    <definedName name="SiteMth_Followup">#REF!</definedName>
    <definedName name="SiteMth_Total">#REF!</definedName>
    <definedName name="SiteMth_Treat">#REF!</definedName>
    <definedName name="SiteReport_Method">#REF!</definedName>
    <definedName name="Sites">#REF!</definedName>
    <definedName name="Sites_AP">#REF!</definedName>
    <definedName name="Sites_EMEA">#REF!</definedName>
    <definedName name="Sites_JP">#REF!</definedName>
    <definedName name="Sites_NA">#REF!</definedName>
    <definedName name="Sites_NonNA">#REF!</definedName>
    <definedName name="Sites_SA">#REF!</definedName>
    <definedName name="SitesID">#REF!</definedName>
    <definedName name="SitesID_WEU">#REF!</definedName>
    <definedName name="SOCIAL_CHARGES_EXCL_PENSION_COSTS_DEF_CO" hidden="1">#REF!</definedName>
    <definedName name="SOLIAN" hidden="1">#REF!</definedName>
    <definedName name="SOLIAN_CP" hidden="1">#REF!</definedName>
    <definedName name="Spec">#REF!</definedName>
    <definedName name="Spec2">#REF!</definedName>
    <definedName name="Spec5">#REF!</definedName>
    <definedName name="Spec6">#REF!</definedName>
    <definedName name="Specialized_scientific_information" hidden="1">#REF!</definedName>
    <definedName name="SpecialPrice" hidden="1">#REF!</definedName>
    <definedName name="SpecialtyLab">#REF!</definedName>
    <definedName name="Sponsor_Name">#REF!</definedName>
    <definedName name="SSD" hidden="1">{#N/A,#N/A,FALSE,"REPORT"}</definedName>
    <definedName name="sss" hidden="1">{#N/A,#N/A,FALSE,"Pharm";#N/A,#N/A,FALSE,"WWCM"}</definedName>
    <definedName name="SSUServices">#REF!</definedName>
    <definedName name="ssws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w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taff_Country">#REF!</definedName>
    <definedName name="STANDARD_COSTS" hidden="1">#REF!</definedName>
    <definedName name="Standard_Upstream_Margin_MARCO" hidden="1">#REF!</definedName>
    <definedName name="Standard_Upstream_Margin_others" hidden="1">#REF!</definedName>
    <definedName name="Staril" hidden="1">{#N/A,#N/A,FALSE,"REPORT"}</definedName>
    <definedName name="START">#REF!</definedName>
    <definedName name="Start_date">#REF!</definedName>
    <definedName name="starts">#REF!</definedName>
    <definedName name="STARTUP">#REF!</definedName>
    <definedName name="STARTUP_End">#REF!</definedName>
    <definedName name="STARTUP_Start">#REF!</definedName>
    <definedName name="STAT">#REF!</definedName>
    <definedName name="STAT_End">#REF!</definedName>
    <definedName name="Stat_Report_Type">#REF!</definedName>
    <definedName name="STAT_Start">#REF!</definedName>
    <definedName name="Status">#REF!</definedName>
    <definedName name="StdSys_Int">#REF!</definedName>
    <definedName name="sterl">#REF!</definedName>
    <definedName name="Sterling">#REF!</definedName>
    <definedName name="STILNOX" hidden="1">#REF!</definedName>
    <definedName name="STILNOX_CP" hidden="1">#REF!</definedName>
    <definedName name="stock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Stratco">#REF!</definedName>
    <definedName name="Studies_and_consulting_assistance" hidden="1">#REF!</definedName>
    <definedName name="Study">#REF!</definedName>
    <definedName name="Study_Design">#REF!</definedName>
    <definedName name="Study_phase">#REF!</definedName>
    <definedName name="Study_Type">#REF!</definedName>
    <definedName name="studydesign">#REF!</definedName>
    <definedName name="studyphase">#REF!</definedName>
    <definedName name="StudySpecSys_Int">#REF!</definedName>
    <definedName name="studytype">#REF!</definedName>
    <definedName name="StudyTypeList">#REF!</definedName>
    <definedName name="Substance">#REF!</definedName>
    <definedName name="Summary_PriorStart">#REF!</definedName>
    <definedName name="superbio">#REF!</definedName>
    <definedName name="superpro">#REF!</definedName>
    <definedName name="Supervising_Biostatistician">#REF!</definedName>
    <definedName name="Supervising_Programmer">#REF!</definedName>
    <definedName name="SUPREFACT" hidden="1">#REF!</definedName>
    <definedName name="SVD" hidden="1">{"GuVGmbH",#N/A,FALSE,"ratios";"BilanzGmbH",#N/A,FALSE,"ratios";"BilanzKG",#N/A,FALSE,"ratios";"GuVKG",#N/A,FALSE,"ratios"}</definedName>
    <definedName name="SWATTeamLevel">#REF!</definedName>
    <definedName name="System_Queries">#REF!</definedName>
    <definedName name="TARGOCID" hidden="1">#REF!</definedName>
    <definedName name="TARGOCID_CP" hidden="1">#REF!</definedName>
    <definedName name="Tasks_CMAHrs">#REF!</definedName>
    <definedName name="TAsks_CRAHrs">#REF!</definedName>
    <definedName name="Tasks_CurrPrice">#REF!</definedName>
    <definedName name="Tasks_Grid1">#REF!</definedName>
    <definedName name="Tasks_GridPXL">#REF!</definedName>
    <definedName name="Tasks_Hours">#REF!</definedName>
    <definedName name="Tasks_Hrsperunit">#REF!</definedName>
    <definedName name="Tasks_Name">#REF!</definedName>
    <definedName name="Tasks_PERF">#REF!</definedName>
    <definedName name="Tasks_PREDICTCalc">#REF!</definedName>
    <definedName name="Tasks_ProjectLifecycle">#REF!</definedName>
    <definedName name="Tasks_Services">#REF!</definedName>
    <definedName name="Tasks_SubServ">#REF!</definedName>
    <definedName name="Tasks_TCode">#REF!</definedName>
    <definedName name="Tasks_UnitName">#REF!</definedName>
    <definedName name="Tasks_Units">#REF!</definedName>
    <definedName name="Tasks_USDPrice">#REF!</definedName>
    <definedName name="TAVANIC" hidden="1">#REF!</definedName>
    <definedName name="TAVANIC_CP" hidden="1">#REF!</definedName>
    <definedName name="Tax">#REF!</definedName>
    <definedName name="taxol" hidden="1">{#N/A,#N/A,FALSE,"Pharm";#N/A,#N/A,FALSE,"WWCM"}</definedName>
    <definedName name="TAXOTERE" hidden="1">#REF!</definedName>
    <definedName name="TAXOTERE_CP" hidden="1">#REF!</definedName>
    <definedName name="TaxYearEnd" hidden="1">#REF!</definedName>
    <definedName name="tbl_ProdInfo" hidden="1">#REF!</definedName>
    <definedName name="Template">#REF!</definedName>
    <definedName name="TEMPORARY_PERSONNEL" hidden="1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ste" hidden="1">{#N/A,#N/A,FALSE,"Pharm";#N/A,#N/A,FALSE,"WWCM"}</definedName>
    <definedName name="Tests_InVisitFee">#REF!</definedName>
    <definedName name="TESTS_LocalLabServices">#REF!</definedName>
    <definedName name="Tests_NOTInVisitFee">#REF!</definedName>
    <definedName name="TheMonth">#REF!</definedName>
    <definedName name="TheName" hidden="1">#REF!</definedName>
    <definedName name="TheProduct">#REF!</definedName>
    <definedName name="TheProduct2">#REF!</definedName>
    <definedName name="TheProduct3">#REF!</definedName>
    <definedName name="TheProduct4">#REF!</definedName>
    <definedName name="theproduct5">#REF!</definedName>
    <definedName name="TheProduct6">#REF!</definedName>
    <definedName name="Therapeutic_Area">#REF!</definedName>
    <definedName name="TherapeuticArea">#REF!</definedName>
    <definedName name="TheSpec2">#REF!</definedName>
    <definedName name="TheSpec5">#REF!</definedName>
    <definedName name="THIOCOLCHICOSIDE_CP" hidden="1">#REF!</definedName>
    <definedName name="Third_Party_Vendor">#REF!</definedName>
    <definedName name="THYROID" hidden="1">#REF!</definedName>
    <definedName name="Tigr_Exhibit0d1db3b1_bd5b_4e25_a84b_61fb9a5dc2df" hidden="1">#REF!</definedName>
    <definedName name="Tigr_Exhibit12702ec4_4fe2_4f30_b310_03e382b19c31" hidden="1">#REF!</definedName>
    <definedName name="Tigr_Exhibit18148549_93d9_460a_8094_25e5cbfee999" hidden="1">#REF!</definedName>
    <definedName name="Tigr_Exhibit1fd4fee5_6688_4506_afa6_99b06a788bab" hidden="1">#REF!</definedName>
    <definedName name="Tigr_Exhibit33221ef8_90ca_4299_a810_e68e24394cc3" hidden="1">#REF!</definedName>
    <definedName name="Tigr_Exhibit44ae1ee2_0d16_43a2_aa3b_235d4e841682" hidden="1">#REF!</definedName>
    <definedName name="Tigr_Exhibit46ffe5ef_a99a_43c1_843b_d00aa14ceed5" hidden="1">#REF!</definedName>
    <definedName name="Tigr_Exhibit5bd26021_df29_404f_8d5f_c2e6d99ddbbf" hidden="1">#REF!</definedName>
    <definedName name="Tigr_Exhibit65f667bc_586d_4789_993c_3547417b965c" hidden="1">#REF!</definedName>
    <definedName name="Tigr_Exhibit6765910b_ce04_47a7_ac1b_d3239cffdec8" hidden="1">#REF!</definedName>
    <definedName name="Tigr_Exhibit69f3a19c_6a28_4c16_bbc5_4c17ddc27e12" hidden="1">#REF!</definedName>
    <definedName name="Tigr_Exhibit6a8ecc63_dee3_45e4_b78c_b18c285a33df" hidden="1">#REF!</definedName>
    <definedName name="Tigr_Exhibit6c43a7ef_d535_48fd_8366_924c8e89a0df" hidden="1">#REF!</definedName>
    <definedName name="Tigr_Exhibit761fe820_9fe0_495d_a0f3_581f0dac559a" hidden="1">#REF!</definedName>
    <definedName name="Tigr_Exhibit7d516c65_40f7_4c69_b5b0_2abd7fd38e4a" hidden="1">#REF!</definedName>
    <definedName name="Tigr_Exhibit839f1a9e_e496_4ca6_8d51_387a38c29cba" hidden="1">#REF!</definedName>
    <definedName name="Tigr_Exhibit9099d50b_c8ce_48f9_9e5f_63739ed76e54" hidden="1">#REF!</definedName>
    <definedName name="Tigr_Exhibit95e82775_dbba_41ad_b742_8c93978443ab" hidden="1">#REF!</definedName>
    <definedName name="Tigr_Exhibit966295f3_0a3e_4578_89ed_1509d8f54874" hidden="1">#REF!</definedName>
    <definedName name="Tigr_Exhibit9e1c5918_96f4_413e_8a5e_f8157bdd9e14" hidden="1">#REF!</definedName>
    <definedName name="Tigr_Exhibita10dcdf0_87ab_4661_b72b_77e51cde7d22" hidden="1">#REF!</definedName>
    <definedName name="Tigr_Exhibita61f70b5_b1a5_47c8_b37c_b0003b2db5fa" hidden="1">#REF!</definedName>
    <definedName name="Tigr_Exhibitabc24b58_4ff7_4cfb_8228_0e32fbc824d5" hidden="1">#REF!</definedName>
    <definedName name="Tigr_Exhibitb5b7bc99_cafb_41fc_a1dc_25af387eb43b" hidden="1">#REF!</definedName>
    <definedName name="Tigr_Exhibitbfcfedb2_d33c_4909_853e_ce2910d3563f" hidden="1">#REF!</definedName>
    <definedName name="Tigr_Exhibitca149985_9034_48f9_bb09_b87ad9c3d44e" hidden="1">#REF!</definedName>
    <definedName name="Tigr_Exhibitcc94038d_3ac9_43ea_b972_1cdc91072631" hidden="1">#REF!</definedName>
    <definedName name="Tigr_Exhibitcf66f16f_2304_49a2_bb90_faaf02cff9a5" hidden="1">#REF!</definedName>
    <definedName name="Tigr_Exhibitd61ceaa5_3479_499b_b71c_249a64eba4e6" hidden="1">#REF!</definedName>
    <definedName name="Tigr_Exhibitdbd8a65c_8e65_4b5c_a7b8_61648ee0c4b1" hidden="1">#REF!</definedName>
    <definedName name="Tigr_Exhibite1792956_846d_4514_bba6_984e836e32de" hidden="1">#REF!</definedName>
    <definedName name="Tigr_Exhibitf565e68e_b513_45d8_ae40_7e2650e2f2c7" hidden="1">#REF!</definedName>
    <definedName name="Tigr_Exhibitf5e4399a_63b3_40b1_a1ea_446209ffdc16" hidden="1">#REF!</definedName>
    <definedName name="Tigr_Exhibitfa0a547a_2d38_4f0f_bb16_da64f6d79a71" hidden="1">#REF!</definedName>
    <definedName name="TILDIEM" hidden="1">#REF!</definedName>
    <definedName name="TILDIEM_CP" hidden="1">#REF!</definedName>
    <definedName name="TIMELINE">#REF!</definedName>
    <definedName name="Timeline_List">#REF!</definedName>
    <definedName name="tl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TM1REBUILDOPTION">0</definedName>
    <definedName name="tmp" hidden="1">OFFSET(#REF!,1,0)</definedName>
    <definedName name="TNT_FUEL_SC">#REF!</definedName>
    <definedName name="Tot_CRF">#REF!</definedName>
    <definedName name="Tot_CRF_Followup">#REF!</definedName>
    <definedName name="Tot_CRF_Paper">#REF!</definedName>
    <definedName name="Tot_CRF_Treat">#REF!</definedName>
    <definedName name="Tot_Diary">#REF!</definedName>
    <definedName name="Tot_Diary_Followup">#REF!</definedName>
    <definedName name="Tot_Diary_Paper">#REF!</definedName>
    <definedName name="Tot_Diary_Treat">#REF!</definedName>
    <definedName name="TOT_PDTS_CP" hidden="1">#REF!</definedName>
    <definedName name="Tot_QOL">#REF!</definedName>
    <definedName name="Tot_QOL_Followup">#REF!</definedName>
    <definedName name="Tot_QOL_Paper">#REF!</definedName>
    <definedName name="Tot_QOL_Treat">#REF!</definedName>
    <definedName name="TOTAL_ACTONEL_CP" hidden="1">#REF!</definedName>
    <definedName name="Total_BPFees">#REF!</definedName>
    <definedName name="Total_CC">#REF!</definedName>
    <definedName name="Total_Cost">#REF!</definedName>
    <definedName name="TOTAL_DISTRIBUTION" hidden="1">#REF!</definedName>
    <definedName name="Total_DMSFees">#REF!</definedName>
    <definedName name="Total_Expense">#REF!</definedName>
    <definedName name="Total_GROSS_IS_Operating_costs" hidden="1">#REF!</definedName>
    <definedName name="TOTAL_HEADCOUNTS" hidden="1">#REF!</definedName>
    <definedName name="Total_Hours">#REF!</definedName>
    <definedName name="TOTAL_IS_COSTS" hidden="1">#REF!</definedName>
    <definedName name="Total_NET_Operating_IS_costs" hidden="1">#REF!</definedName>
    <definedName name="Total_PERFORM">#REF!</definedName>
    <definedName name="TOTAL_PERSONNEL_COSTS" hidden="1">#REF!</definedName>
    <definedName name="TOTAL_REGISTERED" hidden="1">#REF!</definedName>
    <definedName name="TOTAL_REGISTERED_TEMP" hidden="1">#REF!</definedName>
    <definedName name="TOTAL_REGISTERED_TEMP_THIRD" hidden="1">#REF!</definedName>
    <definedName name="TOTAL_SALES" hidden="1">#REF!</definedName>
    <definedName name="Total_Samples" hidden="1">#REF!</definedName>
    <definedName name="TOTAL_SF" hidden="1">#REF!</definedName>
    <definedName name="TOTAL_SOCIAL_CHARGES" hidden="1">#REF!</definedName>
    <definedName name="TOTAL_SUPPORT" hidden="1">#REF!</definedName>
    <definedName name="TOTAL_TEMPORARY" hidden="1">#REF!</definedName>
    <definedName name="Transfer">#REF!</definedName>
    <definedName name="TREAT">#REF!</definedName>
    <definedName name="TREAT_End">#REF!</definedName>
    <definedName name="TREAT_Start">#REF!</definedName>
    <definedName name="TRENTAL" hidden="1">#REF!</definedName>
    <definedName name="TRITACE" hidden="1">#REF!</definedName>
    <definedName name="TRITACE_CP" hidden="1">#REF!</definedName>
    <definedName name="Troponin_I">#REF!</definedName>
    <definedName name="Type">#REF!</definedName>
    <definedName name="Type_Report">#REF!</definedName>
    <definedName name="u" hidden="1">{"'Internat.oper.netti'!$B$1:$J$25"}</definedName>
    <definedName name="ü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UCRFPages">#REF!</definedName>
    <definedName name="uiiuiui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ukorusbudget">#REF!</definedName>
    <definedName name="UNIQUE_CRF">#REF!</definedName>
    <definedName name="UNIQUE_Diary">#REF!</definedName>
    <definedName name="Unique_Figure">#REF!</definedName>
    <definedName name="Unique_Listing">#REF!</definedName>
    <definedName name="UNIQUE_QOL">#REF!</definedName>
    <definedName name="Unique_Table">#REF!</definedName>
    <definedName name="Upload_to_Salesforce">#REF!</definedName>
    <definedName name="Upstr_margin_for_clin_stud_samples_MARCO" hidden="1">#REF!</definedName>
    <definedName name="Upstr_Margin_MARCOadjust_of_invent_vol" hidden="1">#REF!</definedName>
    <definedName name="Upstr_Margin_MARCOyield_and_subst_var" hidden="1">#REF!</definedName>
    <definedName name="Upstr_Margin_on_inventory_write_down" hidden="1">#REF!</definedName>
    <definedName name="Upstream_margin_on_samples_MARCO" hidden="1">#REF!</definedName>
    <definedName name="us">#REF!</definedName>
    <definedName name="USD">#REF!</definedName>
    <definedName name="V_Audit_Qty">#REF!</definedName>
    <definedName name="V_Boost_Qty">#REF!</definedName>
    <definedName name="V_Boost_TOS">#REF!</definedName>
    <definedName name="V_Boost_Trav">#REF!</definedName>
    <definedName name="V_Combo_Qty">#REF!</definedName>
    <definedName name="V_Combo_TOS">#REF!</definedName>
    <definedName name="V_Combo_Trav">#REF!</definedName>
    <definedName name="V_ForCause_Qty">#REF!</definedName>
    <definedName name="V_ForCause_TOS">#REF!</definedName>
    <definedName name="V_ForCause_Trav">#REF!</definedName>
    <definedName name="V_Init_Qty">#REF!</definedName>
    <definedName name="V_Init_TOS">#REF!</definedName>
    <definedName name="V_Init_Trav">#REF!</definedName>
    <definedName name="V_Mon_Qty_1D_ET">#REF!</definedName>
    <definedName name="V_Mon_Qty_1D_FU">#REF!</definedName>
    <definedName name="V_Mon_Qty_2D_ET">#REF!</definedName>
    <definedName name="V_Mon_Qty_2D_FU">#REF!</definedName>
    <definedName name="V_Mon_Qty_3D_ET">#REF!</definedName>
    <definedName name="V_Mon_Qty_3D_FU">#REF!</definedName>
    <definedName name="V_Mon_Qty_ET">#REF!</definedName>
    <definedName name="V_Mon_Qty_FU">#REF!</definedName>
    <definedName name="V_Mon_Qty_HD_ET">#REF!</definedName>
    <definedName name="V_Mon_Qty_HD_FU">#REF!</definedName>
    <definedName name="V_Mon_TOS_ET_1D">#REF!</definedName>
    <definedName name="V_Mon_TOS_ET_2D">#REF!</definedName>
    <definedName name="V_Mon_TOS_ET_3D">#REF!</definedName>
    <definedName name="V_Mon_TOS_ET_HD">#REF!</definedName>
    <definedName name="V_Mon_TOS_FU_1D">#REF!</definedName>
    <definedName name="V_Mon_TOS_FU_2D">#REF!</definedName>
    <definedName name="V_Mon_TOS_FU_3D">#REF!</definedName>
    <definedName name="V_Mon_TOS_FU_HD">#REF!</definedName>
    <definedName name="V_Mon_Trav_ET_1D">#REF!</definedName>
    <definedName name="V_Mon_Trav_ET_2D">#REF!</definedName>
    <definedName name="V_Mon_Trav_ET_3D">#REF!</definedName>
    <definedName name="V_Mon_Trav_ET_HD">#REF!</definedName>
    <definedName name="V_Mon_Trav_FU_1D">#REF!</definedName>
    <definedName name="V_Mon_Trav_FU_2D">#REF!</definedName>
    <definedName name="V_Mon_Trav_FU_3D">#REF!</definedName>
    <definedName name="V_Mon_Trav_FU_HD">#REF!</definedName>
    <definedName name="V_Qual_Qty">#REF!</definedName>
    <definedName name="V_Qual_TOS">#REF!</definedName>
    <definedName name="V_Qual_Trav">#REF!</definedName>
    <definedName name="V_Term_Close">#REF!</definedName>
    <definedName name="V_Term_DrugAcct">#REF!</definedName>
    <definedName name="V_Term_Qty">#REF!</definedName>
    <definedName name="V_Term_Trav">#REF!</definedName>
    <definedName name="V_Unblind_Qty">#REF!</definedName>
    <definedName name="V_Unblind_TOS">#REF!</definedName>
    <definedName name="V_Unblind_Trav">#REF!</definedName>
    <definedName name="val">#REF!</definedName>
    <definedName name="valid_acctmngr">#REF!</definedName>
    <definedName name="valid_sbu">#REF!</definedName>
    <definedName name="VARIANCES_AND_COSTS_NOT_INCLUDED_IN_ISC" hidden="1">#REF!</definedName>
    <definedName name="VAT">17.5%</definedName>
    <definedName name="VB_Trigger">#REF!</definedName>
    <definedName name="VB_Trigger2">#REF!</definedName>
    <definedName name="vba_use_paste_range">OFFSET(#REF!,0,1,COUNTIF(#REF!,"?*"),COUNTIF(#REF!,"?*"))</definedName>
    <definedName name="version1" hidden="1">{"'Internat.oper.netti'!$B$1:$J$25"}</definedName>
    <definedName name="vlad">#REF!</definedName>
    <definedName name="vvvvvvvvvvvvvvvvvvvvvvvvvvvv" hidden="1">#REF!</definedName>
    <definedName name="wa" hidden="1">{#N/A,#N/A,FALSE,"Pharm";#N/A,#N/A,FALSE,"WWCM"}</definedName>
    <definedName name="WarningCount">#REF!</definedName>
    <definedName name="was" hidden="1">{#N/A,#N/A,FALSE,"Sales Graph";#N/A,#N/A,FALSE,"BUC Graph";#N/A,#N/A,FALSE,"P&amp;L - YTD"}</definedName>
    <definedName name="wb" hidden="1">{#N/A,#N/A,FALSE,"Pharm";#N/A,#N/A,FALSE,"WWCM"}</definedName>
    <definedName name="wc" hidden="1">{#N/A,#N/A,FALSE,"Pharm";#N/A,#N/A,FALSE,"WWCM"}</definedName>
    <definedName name="we" hidden="1">{#N/A,#N/A,FALSE,"Pharm";#N/A,#N/A,FALSE,"WWCM"}</definedName>
    <definedName name="WebCollect">#REF!</definedName>
    <definedName name="WebCollect_Vendor">#REF!</definedName>
    <definedName name="WebsiteCountry">#REF!</definedName>
    <definedName name="wef4f" hidden="1">{"GuVGmbH",#N/A,FALSE,"ratios";"BilanzGmbH",#N/A,FALSE,"ratios";"BilanzKG",#N/A,FALSE,"ratios";"GuVKG",#N/A,FALSE,"ratios"}</definedName>
    <definedName name="WEFWE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rrr" hidden="1">{#N/A,#N/A,FALSE,"Pharm";#N/A,#N/A,FALSE,"WWCM"}</definedName>
    <definedName name="wew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wrrht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hrWH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hrWHRwhrWR" hidden="1">{"GuVGmbH",#N/A,FALSE,"ratios";"BilanzGmbH",#N/A,FALSE,"ratios";"BilanzKG",#N/A,FALSE,"ratios";"GuVKG",#N/A,FALSE,"ratios"}</definedName>
    <definedName name="whrWHRwrhWRHwr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HRw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in_Probability">#REF!</definedName>
    <definedName name="wqq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111111" hidden="1">{#N/A,#N/A,FALSE,"Pharm";#N/A,#N/A,FALSE,"WWCM"}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aaa" hidden="1">{#N/A,#N/A,FALSE,"Pharm";#N/A,#N/A,FALSE,"WWCM"}</definedName>
    <definedName name="wrn.aaaaaaa" hidden="1">{#N/A,#N/A,FALSE,"Pharm";#N/A,#N/A,FALSE,"WWCM"}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Balance._.Sheets._.1999." hidden="1">{#N/A,#N/A,FALSE,"Fin'l Statements"}</definedName>
    <definedName name="wrn.Balance._.Sheets._.2000." hidden="1">{#N/A,#N/A,FALSE,"Fin'l Statements"}</definedName>
    <definedName name="wrn.Bewegungsbilanz." hidden="1">{#N/A,#N/A,FALSE,"Mittelherkunft";#N/A,#N/A,FALSE,"Mittelverwendung"}</definedName>
    <definedName name="wrn.BewertungD.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n.Bilanz." hidden="1">{#N/A,#N/A,FALSE,"Layout Aktiva";#N/A,#N/A,FALSE,"Layout Passiva"}</definedName>
    <definedName name="wrn.Bilanzen_GuV_Memo.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Cardiovasculars." hidden="1">{#N/A,#N/A,FALSE,"Card";#N/A,#N/A,FALSE,"Prav";#N/A,#N/A,FALSE,"Irbe";#N/A,#N/A,FALSE,"Plavix";#N/A,#N/A,FALSE,"Capt";#N/A,#N/A,FALSE,"Fosi"}</definedName>
    <definedName name="wrn.Cash._.Flow." hidden="1">{#N/A,#N/A,FALSE,"Layout Cash Flow"}</definedName>
    <definedName name="wrn.Central._.Nervous._.System." hidden="1">{#N/A,#N/A,FALSE,"CNS";#N/A,#N/A,FALSE,"Serz";#N/A,#N/A,FALSE,"Ace"}</definedName>
    <definedName name="wrn.Client._.report." hidden="1">{"Deal information sheet",#N/A,TRUE,"MBOco";"Projected P and L Accounts",#N/A,TRUE,"MBOco";"Projected Balance Sheet",#N/A,TRUE,"MBOco";"Projected Cash Flows",#N/A,TRUE,"MBOco"}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inanzbedarfsrechnung." hidden="1">{#N/A,#N/A,FALSE,"Finanzbedarfsrechnung"}</definedName>
    <definedName name="wrn.Förster." hidden="1">{"GuVGmbH",#N/A,FALSE,"ratios";"BilanzGmbH",#N/A,FALSE,"ratios";"BilanzKG",#N/A,FALSE,"ratios";"GuVKG",#N/A,FALSE,"ratios"}</definedName>
    <definedName name="wrn.Full._.report." hidden="1">{"Fullreport",#N/A,TRUE,"MBOCO"}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uV." hidden="1">{#N/A,#N/A,FALSE,"Layout GuV"}</definedName>
    <definedName name="wrn.Income._.Statement." hidden="1">{#N/A,#N/A,FALSE,"Report Print"}</definedName>
    <definedName name="wrn.Income._.Statement._.2000." hidden="1">{#N/A,#N/A,FALSE,"Fin'l Statements"}</definedName>
    <definedName name="wrn.Income._.Statements._.1999." hidden="1">{#N/A,#N/A,FALSE,"Fin'l Statements"}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Loan._.Schedule._.2000." hidden="1">{#N/A,#N/A,FALSE,"Loans"}</definedName>
    <definedName name="wrn.Oncology." hidden="1">{#N/A,#N/A,FALSE,"Onco";#N/A,#N/A,FALSE,"Taxol";#N/A,#N/A,FALSE,"UFT";#N/A,#N/A,FALSE,"Carb"}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p" hidden="1">{#N/A,#N/A,FALSE,"1";#N/A,#N/A,FALSE,"2";#N/A,#N/A,FALSE,"16 - 17";#N/A,#N/A,FALSE,"18 - 19";#N/A,#N/A,FALSE,"26";#N/A,#N/A,FALSE,"27";#N/A,#N/A,FALSE,"28"}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Financials.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Planung_Ebeling.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rn.ppp" hidden="1">{#N/A,#N/A,FALSE,"1";#N/A,#N/A,FALSE,"2";#N/A,#N/A,FALSE,"16 - 17";#N/A,#N/A,FALSE,"18 - 19";#N/A,#N/A,FALSE,"26";#N/A,#N/A,FALSE,"27";#N/A,#N/A,FALSE,"28"}</definedName>
    <definedName name="wrn.prin2._.all." hidden="1">{#N/A,#N/A,FALSE,"Pharm";#N/A,#N/A,FALSE,"WWCM"}</definedName>
    <definedName name="wrn.print" hidden="1">{#N/A,#N/A,FALSE,"Pharm";#N/A,#N/A,FALSE,"WWCM"}</definedName>
    <definedName name="wrn.PRINT._.ALL." hidden="1">{#N/A,#N/A,FALSE,"Pharm";#N/A,#N/A,FALSE,"WWCM"}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all1." hidden="1">{#N/A,#N/A,FALSE,"Pharm";#N/A,#N/A,FALSE,"WWCM"}</definedName>
    <definedName name="wrn.print2" hidden="1">{#N/A,#N/A,FALSE,"Pharm";#N/A,#N/A,FALSE,"WWCM"}</definedName>
    <definedName name="wrn.Products." hidden="1">{#N/A,#N/A,FALSE,"1";#N/A,#N/A,FALSE,"2";#N/A,#N/A,FALSE,"16 - 17";#N/A,#N/A,FALSE,"18 - 19";#N/A,#N/A,FALSE,"26";#N/A,#N/A,FALSE,"27";#N/A,#N/A,FALSE,"28"}</definedName>
    <definedName name="wrn.pror" hidden="1">{#N/A,#N/A,FALSE,"Pharm";#N/A,#N/A,FALSE,"WWCM"}</definedName>
    <definedName name="wrn.Test1." hidden="1">{#N/A,#N/A,TRUE,"CPC Germany Brands"}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1.Bewegungsbilanz" hidden="1">{#N/A,#N/A,FALSE,"Mittelherkunft";#N/A,#N/A,FALSE,"Mittelverwendung"}</definedName>
    <definedName name="wrrrrr" hidden="1">{#N/A,#N/A,FALSE,"REPORT"}</definedName>
    <definedName name="wrwrwrwr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v" hidden="1">{#N/A,#N/A,FALSE,"Pharm";#N/A,#N/A,FALSE,"WWCM"}</definedName>
    <definedName name="ww" hidden="1">{#N/A,#N/A,FALSE,"Pharm";#N/A,#N/A,FALSE,"WWCM"}</definedName>
    <definedName name="wwefwefwf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x" hidden="1">{#N/A,#N/A,FALSE,"Pharm";#N/A,#N/A,FALSE,"WWCM"}</definedName>
    <definedName name="x">{#N/A,#N/A,FALSE,"Loans"}</definedName>
    <definedName name="XATRAL" hidden="1">#REF!</definedName>
    <definedName name="XATRAL_CP" hidden="1">#REF!</definedName>
    <definedName name="xx" hidden="1">{#N/A,#N/A,FALSE,"Pharm";#N/A,#N/A,FALSE,"WWCM"}</definedName>
    <definedName name="XXX" hidden="1">{#N/A,#N/A,FALSE,"Other";#N/A,#N/A,FALSE,"Ace";#N/A,#N/A,FALSE,"Derm"}</definedName>
    <definedName name="xxxsfadfdaf" hidden="1">{#N/A,#N/A,FALSE,"Pharm";#N/A,#N/A,FALSE,"WWCM"}</definedName>
    <definedName name="xxxxx" hidden="1">{#N/A,#N/A,FALSE,"Pharm";#N/A,#N/A,FALSE,"WWCM"}</definedName>
    <definedName name="xxxxxxxxxxxx" hidden="1">#REF!</definedName>
    <definedName name="xy" hidden="1">{#N/A,#N/A,FALSE,"Mittelherkunft";#N/A,#N/A,FALSE,"Mittelverwendung"}</definedName>
    <definedName name="y" hidden="1">{#N/A,#N/A,FALSE,"Fin'l Statements"}</definedName>
    <definedName name="Year">#REF!</definedName>
    <definedName name="Yesno">#REF!</definedName>
    <definedName name="Yieldsubstitution_variance" hidden="1">#REF!</definedName>
    <definedName name="yyy" hidden="1">{#N/A,#N/A,FALSE,"Other";#N/A,#N/A,FALSE,"Ace";#N/A,#N/A,FALSE,"Derm"}</definedName>
    <definedName name="z" hidden="1">{#N/A,#N/A,FALSE,"Fin'l Statements"}</definedName>
    <definedName name="Z_D1575C0A_F7A4_11D6_AEB5_0000F68A2D4B_.wvu.Cols" hidden="1">#REF!,#REF!,#REF!,#REF!,#REF!,#REF!,#REF!,#REF!,#REF!,#REF!</definedName>
    <definedName name="Z_D1575C0C_F7A4_11D6_AEB5_0000F68A2D4B_.wvu.Cols" hidden="1">#REF!,#REF!,#REF!,#REF!,#REF!,#REF!</definedName>
    <definedName name="ZENTIVAPL" hidden="1">#REF!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ulizlizi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ulzulzul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zzee" hidden="1">{#N/A,#N/A,FALSE,"Pharm";#N/A,#N/A,FALSE,"WWCM"}</definedName>
    <definedName name="zzzzz" hidden="1">{#N/A,#N/A,FALSE,"REPORT"}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76" i="1" l="1"/>
  <c r="B2976" i="1" s="1"/>
  <c r="A2975" i="1"/>
  <c r="B2975" i="1" s="1"/>
  <c r="A2974" i="1"/>
  <c r="B2974" i="1" s="1"/>
  <c r="A2973" i="1"/>
  <c r="B2973" i="1" s="1"/>
  <c r="A2972" i="1"/>
  <c r="B2972" i="1" s="1"/>
  <c r="A2971" i="1"/>
  <c r="B2971" i="1" s="1"/>
  <c r="A2970" i="1"/>
  <c r="B2970" i="1" s="1"/>
  <c r="A2969" i="1"/>
  <c r="B2969" i="1" s="1"/>
  <c r="A2968" i="1"/>
  <c r="B2968" i="1" s="1"/>
  <c r="A2967" i="1"/>
  <c r="B2967" i="1" s="1"/>
  <c r="A2966" i="1"/>
  <c r="B2966" i="1" s="1"/>
  <c r="A2965" i="1"/>
  <c r="B2965" i="1" s="1"/>
  <c r="A2964" i="1"/>
  <c r="B2964" i="1" s="1"/>
  <c r="A2963" i="1"/>
  <c r="B2963" i="1" s="1"/>
  <c r="A2962" i="1"/>
  <c r="B2962" i="1" s="1"/>
  <c r="A2961" i="1"/>
  <c r="B2961" i="1" s="1"/>
  <c r="A2960" i="1"/>
  <c r="B2960" i="1" s="1"/>
  <c r="A2959" i="1"/>
  <c r="B2959" i="1" s="1"/>
  <c r="A2958" i="1"/>
  <c r="B2958" i="1" s="1"/>
  <c r="A2957" i="1"/>
  <c r="B2957" i="1" s="1"/>
  <c r="A2956" i="1"/>
  <c r="B2956" i="1" s="1"/>
  <c r="A2955" i="1"/>
  <c r="B2955" i="1" s="1"/>
  <c r="A2954" i="1"/>
  <c r="B2954" i="1" s="1"/>
  <c r="A2953" i="1"/>
  <c r="B2953" i="1" s="1"/>
  <c r="A2952" i="1"/>
  <c r="B2952" i="1" s="1"/>
  <c r="A2951" i="1"/>
  <c r="B2951" i="1" s="1"/>
  <c r="A2950" i="1"/>
  <c r="B2950" i="1" s="1"/>
  <c r="A2949" i="1"/>
  <c r="B2949" i="1" s="1"/>
  <c r="A2948" i="1"/>
  <c r="B2948" i="1" s="1"/>
  <c r="A2947" i="1"/>
  <c r="B2947" i="1" s="1"/>
  <c r="A2946" i="1"/>
  <c r="B2946" i="1" s="1"/>
  <c r="A2945" i="1"/>
  <c r="B2945" i="1" s="1"/>
  <c r="A2944" i="1"/>
  <c r="B2944" i="1" s="1"/>
  <c r="A2943" i="1"/>
  <c r="B2943" i="1" s="1"/>
  <c r="A2942" i="1"/>
  <c r="B2942" i="1" s="1"/>
  <c r="A2941" i="1"/>
  <c r="B2941" i="1" s="1"/>
  <c r="A2940" i="1"/>
  <c r="B2940" i="1" s="1"/>
  <c r="A2939" i="1"/>
  <c r="B2939" i="1" s="1"/>
  <c r="A2938" i="1"/>
  <c r="B2938" i="1" s="1"/>
  <c r="A2937" i="1"/>
  <c r="B2937" i="1" s="1"/>
  <c r="A2936" i="1"/>
  <c r="B2936" i="1" s="1"/>
  <c r="A2935" i="1"/>
  <c r="B2935" i="1" s="1"/>
  <c r="A2934" i="1"/>
  <c r="B2934" i="1" s="1"/>
  <c r="A2933" i="1"/>
  <c r="B2933" i="1" s="1"/>
  <c r="A2932" i="1"/>
  <c r="B2932" i="1" s="1"/>
  <c r="A2931" i="1"/>
  <c r="B2931" i="1" s="1"/>
  <c r="A2930" i="1"/>
  <c r="B2930" i="1" s="1"/>
  <c r="A2929" i="1"/>
  <c r="B2929" i="1" s="1"/>
  <c r="A2928" i="1"/>
  <c r="B2928" i="1" s="1"/>
  <c r="A2927" i="1"/>
  <c r="B2927" i="1" s="1"/>
  <c r="A2926" i="1"/>
  <c r="B2926" i="1" s="1"/>
  <c r="A2925" i="1"/>
  <c r="B2925" i="1" s="1"/>
  <c r="A2924" i="1"/>
  <c r="B2924" i="1" s="1"/>
  <c r="A2923" i="1"/>
  <c r="B2923" i="1" s="1"/>
  <c r="B2922" i="1"/>
  <c r="A2922" i="1"/>
  <c r="A2921" i="1"/>
  <c r="B2921" i="1" s="1"/>
  <c r="A2920" i="1"/>
  <c r="B2920" i="1" s="1"/>
  <c r="A2919" i="1"/>
  <c r="B2919" i="1" s="1"/>
  <c r="A2918" i="1"/>
  <c r="B2918" i="1" s="1"/>
  <c r="A2917" i="1"/>
  <c r="B2917" i="1" s="1"/>
  <c r="A2916" i="1"/>
  <c r="B2916" i="1" s="1"/>
  <c r="A2915" i="1"/>
  <c r="B2915" i="1" s="1"/>
  <c r="A2914" i="1"/>
  <c r="B2914" i="1" s="1"/>
  <c r="A2913" i="1"/>
  <c r="B2913" i="1" s="1"/>
  <c r="A2912" i="1"/>
  <c r="B2912" i="1" s="1"/>
  <c r="A2911" i="1"/>
  <c r="B2911" i="1" s="1"/>
  <c r="A2910" i="1"/>
  <c r="B2910" i="1" s="1"/>
  <c r="A2909" i="1"/>
  <c r="B2909" i="1" s="1"/>
  <c r="A2908" i="1"/>
  <c r="B2908" i="1" s="1"/>
  <c r="A2907" i="1"/>
  <c r="B2907" i="1" s="1"/>
  <c r="A2906" i="1"/>
  <c r="B2906" i="1" s="1"/>
  <c r="A2905" i="1"/>
  <c r="B2905" i="1" s="1"/>
  <c r="A2904" i="1"/>
  <c r="B2904" i="1" s="1"/>
  <c r="A2903" i="1"/>
  <c r="B2903" i="1" s="1"/>
  <c r="A2902" i="1"/>
  <c r="B2902" i="1" s="1"/>
  <c r="A2901" i="1"/>
  <c r="B2901" i="1" s="1"/>
  <c r="A2900" i="1"/>
  <c r="B2900" i="1" s="1"/>
  <c r="A2899" i="1"/>
  <c r="B2899" i="1" s="1"/>
  <c r="A2898" i="1"/>
  <c r="B2898" i="1" s="1"/>
  <c r="B2897" i="1"/>
  <c r="A2897" i="1"/>
  <c r="A2896" i="1"/>
  <c r="B2896" i="1" s="1"/>
  <c r="A2895" i="1"/>
  <c r="B2895" i="1" s="1"/>
  <c r="A2894" i="1"/>
  <c r="B2894" i="1" s="1"/>
  <c r="A2893" i="1"/>
  <c r="B2893" i="1" s="1"/>
  <c r="A2892" i="1"/>
  <c r="B2892" i="1" s="1"/>
  <c r="A2891" i="1"/>
  <c r="B2891" i="1" s="1"/>
  <c r="A2890" i="1"/>
  <c r="B2890" i="1" s="1"/>
  <c r="A2889" i="1"/>
  <c r="B2889" i="1" s="1"/>
  <c r="A2888" i="1"/>
  <c r="B2888" i="1" s="1"/>
  <c r="A2887" i="1"/>
  <c r="B2887" i="1" s="1"/>
  <c r="A2886" i="1"/>
  <c r="B2886" i="1" s="1"/>
  <c r="A2885" i="1"/>
  <c r="B2885" i="1" s="1"/>
  <c r="A2884" i="1"/>
  <c r="B2884" i="1" s="1"/>
  <c r="A2883" i="1"/>
  <c r="B2883" i="1" s="1"/>
  <c r="B2882" i="1"/>
  <c r="A2882" i="1"/>
  <c r="A2881" i="1"/>
  <c r="B2881" i="1" s="1"/>
  <c r="A2880" i="1"/>
  <c r="B2880" i="1" s="1"/>
  <c r="A2879" i="1"/>
  <c r="B2879" i="1" s="1"/>
  <c r="A2878" i="1"/>
  <c r="B2878" i="1" s="1"/>
  <c r="A2877" i="1"/>
  <c r="B2877" i="1" s="1"/>
  <c r="A2876" i="1"/>
  <c r="B2876" i="1" s="1"/>
  <c r="A2875" i="1"/>
  <c r="B2875" i="1" s="1"/>
  <c r="A2874" i="1"/>
  <c r="B2874" i="1" s="1"/>
  <c r="A2873" i="1"/>
  <c r="B2873" i="1" s="1"/>
  <c r="A2872" i="1"/>
  <c r="B2872" i="1" s="1"/>
  <c r="A2871" i="1"/>
  <c r="B2871" i="1" s="1"/>
  <c r="A2870" i="1"/>
  <c r="B2870" i="1" s="1"/>
  <c r="A2869" i="1"/>
  <c r="B2869" i="1" s="1"/>
  <c r="A2868" i="1"/>
  <c r="B2868" i="1" s="1"/>
  <c r="A2867" i="1"/>
  <c r="B2867" i="1" s="1"/>
  <c r="A2866" i="1"/>
  <c r="B2866" i="1" s="1"/>
  <c r="A2865" i="1"/>
  <c r="B2865" i="1" s="1"/>
  <c r="A2864" i="1"/>
  <c r="B2864" i="1" s="1"/>
  <c r="A2863" i="1"/>
  <c r="B2863" i="1" s="1"/>
  <c r="A2862" i="1"/>
  <c r="B2862" i="1" s="1"/>
  <c r="A2861" i="1"/>
  <c r="B2861" i="1" s="1"/>
  <c r="A2860" i="1"/>
  <c r="B2860" i="1" s="1"/>
  <c r="A2859" i="1"/>
  <c r="B2859" i="1" s="1"/>
  <c r="A2858" i="1"/>
  <c r="B2858" i="1" s="1"/>
  <c r="A2857" i="1"/>
  <c r="B2857" i="1" s="1"/>
  <c r="A2856" i="1"/>
  <c r="B2856" i="1" s="1"/>
  <c r="A2855" i="1"/>
  <c r="B2855" i="1" s="1"/>
  <c r="A2854" i="1"/>
  <c r="B2854" i="1" s="1"/>
  <c r="A2853" i="1"/>
  <c r="B2853" i="1" s="1"/>
  <c r="A2852" i="1"/>
  <c r="B2852" i="1" s="1"/>
  <c r="A2851" i="1"/>
  <c r="B2851" i="1" s="1"/>
  <c r="A2850" i="1"/>
  <c r="B2850" i="1" s="1"/>
  <c r="A2849" i="1"/>
  <c r="B2849" i="1" s="1"/>
  <c r="A2848" i="1"/>
  <c r="B2848" i="1" s="1"/>
  <c r="A2847" i="1"/>
  <c r="B2847" i="1" s="1"/>
  <c r="A2846" i="1"/>
  <c r="B2846" i="1" s="1"/>
  <c r="A2845" i="1"/>
  <c r="B2845" i="1" s="1"/>
  <c r="A2844" i="1"/>
  <c r="B2844" i="1" s="1"/>
  <c r="A2843" i="1"/>
  <c r="B2843" i="1" s="1"/>
  <c r="A2842" i="1"/>
  <c r="B2842" i="1" s="1"/>
  <c r="A2841" i="1"/>
  <c r="B2841" i="1" s="1"/>
  <c r="A2840" i="1"/>
  <c r="B2840" i="1" s="1"/>
  <c r="A2839" i="1"/>
  <c r="B2839" i="1" s="1"/>
  <c r="A2838" i="1"/>
  <c r="B2838" i="1" s="1"/>
  <c r="A2837" i="1"/>
  <c r="B2837" i="1" s="1"/>
  <c r="A2836" i="1"/>
  <c r="B2836" i="1" s="1"/>
  <c r="A2835" i="1"/>
  <c r="B2835" i="1" s="1"/>
  <c r="A2834" i="1"/>
  <c r="B2834" i="1" s="1"/>
  <c r="A2833" i="1"/>
  <c r="B2833" i="1" s="1"/>
  <c r="A2832" i="1"/>
  <c r="B2832" i="1" s="1"/>
  <c r="A2831" i="1"/>
  <c r="B2831" i="1" s="1"/>
  <c r="A2830" i="1"/>
  <c r="B2830" i="1" s="1"/>
  <c r="A2829" i="1"/>
  <c r="B2829" i="1" s="1"/>
  <c r="A2828" i="1"/>
  <c r="B2828" i="1" s="1"/>
  <c r="A2827" i="1"/>
  <c r="B2827" i="1" s="1"/>
  <c r="A2826" i="1"/>
  <c r="B2826" i="1" s="1"/>
  <c r="A2825" i="1"/>
  <c r="B2825" i="1" s="1"/>
  <c r="A2824" i="1"/>
  <c r="B2824" i="1" s="1"/>
  <c r="A2823" i="1"/>
  <c r="B2823" i="1" s="1"/>
  <c r="A2822" i="1"/>
  <c r="B2822" i="1" s="1"/>
  <c r="A2821" i="1"/>
  <c r="B2821" i="1" s="1"/>
  <c r="A2820" i="1"/>
  <c r="B2820" i="1" s="1"/>
  <c r="A2819" i="1"/>
  <c r="B2819" i="1" s="1"/>
  <c r="A2818" i="1"/>
  <c r="B2818" i="1" s="1"/>
  <c r="A2817" i="1"/>
  <c r="B2817" i="1" s="1"/>
  <c r="A2816" i="1"/>
  <c r="B2816" i="1" s="1"/>
  <c r="A2815" i="1"/>
  <c r="B2815" i="1" s="1"/>
  <c r="A2814" i="1"/>
  <c r="B2814" i="1" s="1"/>
  <c r="A2813" i="1"/>
  <c r="B2813" i="1" s="1"/>
  <c r="A2812" i="1"/>
  <c r="B2812" i="1" s="1"/>
  <c r="A2811" i="1"/>
  <c r="B2811" i="1" s="1"/>
  <c r="A2810" i="1"/>
  <c r="B2810" i="1" s="1"/>
  <c r="A2809" i="1"/>
  <c r="B2809" i="1" s="1"/>
  <c r="A2808" i="1"/>
  <c r="B2808" i="1" s="1"/>
  <c r="A2807" i="1"/>
  <c r="B2807" i="1" s="1"/>
  <c r="A2806" i="1"/>
  <c r="B2806" i="1" s="1"/>
  <c r="A2805" i="1"/>
  <c r="B2805" i="1" s="1"/>
  <c r="A2804" i="1"/>
  <c r="B2804" i="1" s="1"/>
  <c r="A2803" i="1"/>
  <c r="B2803" i="1" s="1"/>
  <c r="A2802" i="1"/>
  <c r="B2802" i="1" s="1"/>
  <c r="A2801" i="1"/>
  <c r="B2801" i="1" s="1"/>
  <c r="A2800" i="1"/>
  <c r="B2800" i="1" s="1"/>
  <c r="A2799" i="1"/>
  <c r="B2799" i="1" s="1"/>
  <c r="A2798" i="1"/>
  <c r="B2798" i="1" s="1"/>
  <c r="A2797" i="1"/>
  <c r="B2797" i="1" s="1"/>
  <c r="A2796" i="1"/>
  <c r="B2796" i="1" s="1"/>
  <c r="A2795" i="1"/>
  <c r="B2795" i="1" s="1"/>
  <c r="A2794" i="1"/>
  <c r="B2794" i="1" s="1"/>
  <c r="A2793" i="1"/>
  <c r="B2793" i="1" s="1"/>
  <c r="A2792" i="1"/>
  <c r="B2792" i="1" s="1"/>
  <c r="A2791" i="1"/>
  <c r="B2791" i="1" s="1"/>
  <c r="A2790" i="1"/>
  <c r="B2790" i="1" s="1"/>
  <c r="A2789" i="1"/>
  <c r="B2789" i="1" s="1"/>
  <c r="A2788" i="1"/>
  <c r="B2788" i="1" s="1"/>
  <c r="A2787" i="1"/>
  <c r="B2787" i="1" s="1"/>
  <c r="A2786" i="1"/>
  <c r="B2786" i="1" s="1"/>
  <c r="A2785" i="1"/>
  <c r="B2785" i="1" s="1"/>
  <c r="A2784" i="1"/>
  <c r="B2784" i="1" s="1"/>
  <c r="A2783" i="1"/>
  <c r="B2783" i="1" s="1"/>
  <c r="A2782" i="1"/>
  <c r="B2782" i="1" s="1"/>
  <c r="A2781" i="1"/>
  <c r="B2781" i="1" s="1"/>
  <c r="A2780" i="1"/>
  <c r="B2780" i="1" s="1"/>
  <c r="A2779" i="1"/>
  <c r="B2779" i="1" s="1"/>
  <c r="A2778" i="1"/>
  <c r="B2778" i="1" s="1"/>
  <c r="A2777" i="1"/>
  <c r="B2777" i="1" s="1"/>
  <c r="A2776" i="1"/>
  <c r="B2776" i="1" s="1"/>
  <c r="A2775" i="1"/>
  <c r="B2775" i="1" s="1"/>
  <c r="A2774" i="1"/>
  <c r="B2774" i="1" s="1"/>
  <c r="A2773" i="1"/>
  <c r="B2773" i="1" s="1"/>
  <c r="A2772" i="1"/>
  <c r="B2772" i="1" s="1"/>
  <c r="A2771" i="1"/>
  <c r="B2771" i="1" s="1"/>
  <c r="A2770" i="1"/>
  <c r="B2770" i="1" s="1"/>
  <c r="A2769" i="1"/>
  <c r="B2769" i="1" s="1"/>
  <c r="A2768" i="1"/>
  <c r="B2768" i="1" s="1"/>
  <c r="A2767" i="1"/>
  <c r="B2767" i="1" s="1"/>
  <c r="A2766" i="1"/>
  <c r="B2766" i="1" s="1"/>
  <c r="A2765" i="1"/>
  <c r="B2765" i="1" s="1"/>
  <c r="A2764" i="1"/>
  <c r="B2764" i="1" s="1"/>
  <c r="A2763" i="1"/>
  <c r="B2763" i="1" s="1"/>
  <c r="A2762" i="1"/>
  <c r="B2762" i="1" s="1"/>
  <c r="A2761" i="1"/>
  <c r="B2761" i="1" s="1"/>
  <c r="A2760" i="1"/>
  <c r="B2760" i="1" s="1"/>
  <c r="A2759" i="1"/>
  <c r="B2759" i="1" s="1"/>
  <c r="A2758" i="1"/>
  <c r="B2758" i="1" s="1"/>
  <c r="A2757" i="1"/>
  <c r="B2757" i="1" s="1"/>
  <c r="A2756" i="1"/>
  <c r="B2756" i="1" s="1"/>
  <c r="A2755" i="1"/>
  <c r="B2755" i="1" s="1"/>
  <c r="A2754" i="1"/>
  <c r="B2754" i="1" s="1"/>
  <c r="A2753" i="1"/>
  <c r="B2753" i="1" s="1"/>
  <c r="A2752" i="1"/>
  <c r="B2752" i="1" s="1"/>
  <c r="A2751" i="1"/>
  <c r="B2751" i="1" s="1"/>
  <c r="A2750" i="1"/>
  <c r="B2750" i="1" s="1"/>
  <c r="A2749" i="1"/>
  <c r="B2749" i="1" s="1"/>
  <c r="A2748" i="1"/>
  <c r="B2748" i="1" s="1"/>
  <c r="A2747" i="1"/>
  <c r="B2747" i="1" s="1"/>
  <c r="A2746" i="1"/>
  <c r="B2746" i="1" s="1"/>
  <c r="A2745" i="1"/>
  <c r="B2745" i="1" s="1"/>
  <c r="A2744" i="1"/>
  <c r="B2744" i="1" s="1"/>
  <c r="A2743" i="1"/>
  <c r="B2743" i="1" s="1"/>
  <c r="A2742" i="1"/>
  <c r="B2742" i="1" s="1"/>
  <c r="A2741" i="1"/>
  <c r="B2741" i="1" s="1"/>
  <c r="A2740" i="1"/>
  <c r="B2740" i="1" s="1"/>
  <c r="A2739" i="1"/>
  <c r="B2739" i="1" s="1"/>
  <c r="A2738" i="1"/>
  <c r="B2738" i="1" s="1"/>
  <c r="A2737" i="1"/>
  <c r="B2737" i="1" s="1"/>
  <c r="A2736" i="1"/>
  <c r="B2736" i="1" s="1"/>
  <c r="A2735" i="1"/>
  <c r="B2735" i="1" s="1"/>
  <c r="A2734" i="1"/>
  <c r="B2734" i="1" s="1"/>
  <c r="A2733" i="1"/>
  <c r="B2733" i="1" s="1"/>
  <c r="A2732" i="1"/>
  <c r="B2732" i="1" s="1"/>
  <c r="A2731" i="1"/>
  <c r="B2731" i="1" s="1"/>
  <c r="A2730" i="1"/>
  <c r="B2730" i="1" s="1"/>
  <c r="A2729" i="1"/>
  <c r="B2729" i="1" s="1"/>
  <c r="A2728" i="1"/>
  <c r="B2728" i="1" s="1"/>
  <c r="A2727" i="1"/>
  <c r="B2727" i="1" s="1"/>
  <c r="A2726" i="1"/>
  <c r="B2726" i="1" s="1"/>
  <c r="A2725" i="1"/>
  <c r="B2725" i="1" s="1"/>
  <c r="A2724" i="1"/>
  <c r="B2724" i="1" s="1"/>
  <c r="A2723" i="1"/>
  <c r="B2723" i="1" s="1"/>
  <c r="A2722" i="1"/>
  <c r="B2722" i="1" s="1"/>
  <c r="A2721" i="1"/>
  <c r="B2721" i="1" s="1"/>
  <c r="A2720" i="1"/>
  <c r="B2720" i="1" s="1"/>
  <c r="A2719" i="1"/>
  <c r="B2719" i="1" s="1"/>
  <c r="A2718" i="1"/>
  <c r="B2718" i="1" s="1"/>
  <c r="A2717" i="1"/>
  <c r="B2717" i="1" s="1"/>
  <c r="A2716" i="1"/>
  <c r="B2716" i="1" s="1"/>
  <c r="A2715" i="1"/>
  <c r="B2715" i="1" s="1"/>
  <c r="A2714" i="1"/>
  <c r="B2714" i="1" s="1"/>
  <c r="A2713" i="1"/>
  <c r="B2713" i="1" s="1"/>
  <c r="A2712" i="1"/>
  <c r="B2712" i="1" s="1"/>
  <c r="A2711" i="1"/>
  <c r="B2711" i="1" s="1"/>
  <c r="A2710" i="1"/>
  <c r="B2710" i="1" s="1"/>
  <c r="A2709" i="1"/>
  <c r="B2709" i="1" s="1"/>
  <c r="A2708" i="1"/>
  <c r="B2708" i="1" s="1"/>
  <c r="A2707" i="1"/>
  <c r="B2707" i="1" s="1"/>
  <c r="A2706" i="1"/>
  <c r="B2706" i="1" s="1"/>
  <c r="A2705" i="1"/>
  <c r="B2705" i="1" s="1"/>
  <c r="A2704" i="1"/>
  <c r="B2704" i="1" s="1"/>
  <c r="A2703" i="1"/>
  <c r="B2703" i="1" s="1"/>
  <c r="A2702" i="1"/>
  <c r="B2702" i="1" s="1"/>
  <c r="A2701" i="1"/>
  <c r="B2701" i="1" s="1"/>
  <c r="A2700" i="1"/>
  <c r="B2700" i="1" s="1"/>
  <c r="A2699" i="1"/>
  <c r="B2699" i="1" s="1"/>
  <c r="A2698" i="1"/>
  <c r="B2698" i="1" s="1"/>
  <c r="A2697" i="1"/>
  <c r="B2697" i="1" s="1"/>
  <c r="A2696" i="1"/>
  <c r="B2696" i="1" s="1"/>
  <c r="A2695" i="1"/>
  <c r="B2695" i="1" s="1"/>
  <c r="A2694" i="1"/>
  <c r="B2694" i="1" s="1"/>
  <c r="A2693" i="1"/>
  <c r="B2693" i="1" s="1"/>
  <c r="A2692" i="1"/>
  <c r="B2692" i="1" s="1"/>
  <c r="A2691" i="1"/>
  <c r="B2691" i="1" s="1"/>
  <c r="A2690" i="1"/>
  <c r="B2690" i="1" s="1"/>
  <c r="A2689" i="1"/>
  <c r="B2689" i="1" s="1"/>
  <c r="A2688" i="1"/>
  <c r="B2688" i="1" s="1"/>
  <c r="A2687" i="1"/>
  <c r="B2687" i="1" s="1"/>
  <c r="A2686" i="1"/>
  <c r="B2686" i="1" s="1"/>
  <c r="A2685" i="1"/>
  <c r="B2685" i="1" s="1"/>
  <c r="A2684" i="1"/>
  <c r="B2684" i="1" s="1"/>
  <c r="A2683" i="1"/>
  <c r="B2683" i="1" s="1"/>
  <c r="A2682" i="1"/>
  <c r="B2682" i="1" s="1"/>
  <c r="A2681" i="1"/>
  <c r="B2681" i="1" s="1"/>
  <c r="A2680" i="1"/>
  <c r="B2680" i="1" s="1"/>
  <c r="A2679" i="1"/>
  <c r="B2679" i="1" s="1"/>
  <c r="A2678" i="1"/>
  <c r="B2678" i="1" s="1"/>
  <c r="A2677" i="1"/>
  <c r="B2677" i="1" s="1"/>
  <c r="A2676" i="1"/>
  <c r="B2676" i="1" s="1"/>
  <c r="A2675" i="1"/>
  <c r="B2675" i="1" s="1"/>
  <c r="A2674" i="1"/>
  <c r="B2674" i="1" s="1"/>
  <c r="A2673" i="1"/>
  <c r="B2673" i="1" s="1"/>
  <c r="A2672" i="1"/>
  <c r="B2672" i="1" s="1"/>
  <c r="A2671" i="1"/>
  <c r="B2671" i="1" s="1"/>
  <c r="A2670" i="1"/>
  <c r="B2670" i="1" s="1"/>
  <c r="A2669" i="1"/>
  <c r="B2669" i="1" s="1"/>
  <c r="A2668" i="1"/>
  <c r="B2668" i="1" s="1"/>
  <c r="A2667" i="1"/>
  <c r="B2667" i="1" s="1"/>
  <c r="A2666" i="1"/>
  <c r="B2666" i="1" s="1"/>
  <c r="A2665" i="1"/>
  <c r="B2665" i="1" s="1"/>
  <c r="A2664" i="1"/>
  <c r="B2664" i="1" s="1"/>
  <c r="A2663" i="1"/>
  <c r="B2663" i="1" s="1"/>
  <c r="A2662" i="1"/>
  <c r="B2662" i="1" s="1"/>
  <c r="A2661" i="1"/>
  <c r="B2661" i="1" s="1"/>
  <c r="A2660" i="1"/>
  <c r="B2660" i="1" s="1"/>
  <c r="A2659" i="1"/>
  <c r="B2659" i="1" s="1"/>
  <c r="A2658" i="1"/>
  <c r="B2658" i="1" s="1"/>
  <c r="A2657" i="1"/>
  <c r="B2657" i="1" s="1"/>
  <c r="A2656" i="1"/>
  <c r="B2656" i="1" s="1"/>
  <c r="A2655" i="1"/>
  <c r="B2655" i="1" s="1"/>
  <c r="A2654" i="1"/>
  <c r="B2654" i="1" s="1"/>
  <c r="A2653" i="1"/>
  <c r="B2653" i="1" s="1"/>
  <c r="A2652" i="1"/>
  <c r="B2652" i="1" s="1"/>
  <c r="A2651" i="1"/>
  <c r="B2651" i="1" s="1"/>
  <c r="A2650" i="1"/>
  <c r="B2650" i="1" s="1"/>
  <c r="A2649" i="1"/>
  <c r="B2649" i="1" s="1"/>
  <c r="A2648" i="1"/>
  <c r="B2648" i="1" s="1"/>
  <c r="A2647" i="1"/>
  <c r="B2647" i="1" s="1"/>
  <c r="A2646" i="1"/>
  <c r="B2646" i="1" s="1"/>
  <c r="A2645" i="1"/>
  <c r="B2645" i="1" s="1"/>
  <c r="A2644" i="1"/>
  <c r="B2644" i="1" s="1"/>
  <c r="A2643" i="1"/>
  <c r="B2643" i="1" s="1"/>
  <c r="A2642" i="1"/>
  <c r="B2642" i="1" s="1"/>
  <c r="A2641" i="1"/>
  <c r="B2641" i="1" s="1"/>
  <c r="A2640" i="1"/>
  <c r="B2640" i="1" s="1"/>
  <c r="A2639" i="1"/>
  <c r="B2639" i="1" s="1"/>
  <c r="A2638" i="1"/>
  <c r="B2638" i="1" s="1"/>
  <c r="A2637" i="1"/>
  <c r="B2637" i="1" s="1"/>
  <c r="A2636" i="1"/>
  <c r="B2636" i="1" s="1"/>
  <c r="A2635" i="1"/>
  <c r="B2635" i="1" s="1"/>
  <c r="A2634" i="1"/>
  <c r="B2634" i="1" s="1"/>
  <c r="A2633" i="1"/>
  <c r="B2633" i="1" s="1"/>
  <c r="A2632" i="1"/>
  <c r="B2632" i="1" s="1"/>
  <c r="A2631" i="1"/>
  <c r="B2631" i="1" s="1"/>
  <c r="A2630" i="1"/>
  <c r="B2630" i="1" s="1"/>
  <c r="A2629" i="1"/>
  <c r="B2629" i="1" s="1"/>
  <c r="A2628" i="1"/>
  <c r="B2628" i="1" s="1"/>
  <c r="A2627" i="1"/>
  <c r="B2627" i="1" s="1"/>
  <c r="A2626" i="1"/>
  <c r="B2626" i="1" s="1"/>
  <c r="A2625" i="1"/>
  <c r="B2625" i="1" s="1"/>
  <c r="A2624" i="1"/>
  <c r="B2624" i="1" s="1"/>
  <c r="A2623" i="1"/>
  <c r="B2623" i="1" s="1"/>
  <c r="A2622" i="1"/>
  <c r="B2622" i="1" s="1"/>
  <c r="A2621" i="1"/>
  <c r="B2621" i="1" s="1"/>
  <c r="A2620" i="1"/>
  <c r="B2620" i="1" s="1"/>
  <c r="A2619" i="1"/>
  <c r="B2619" i="1" s="1"/>
  <c r="A2618" i="1"/>
  <c r="B2618" i="1" s="1"/>
  <c r="A2617" i="1"/>
  <c r="B2617" i="1" s="1"/>
  <c r="A2616" i="1"/>
  <c r="B2616" i="1" s="1"/>
  <c r="A2615" i="1"/>
  <c r="B2615" i="1" s="1"/>
  <c r="A2614" i="1"/>
  <c r="B2614" i="1" s="1"/>
  <c r="A2613" i="1"/>
  <c r="B2613" i="1" s="1"/>
  <c r="A2612" i="1"/>
  <c r="B2612" i="1" s="1"/>
  <c r="A2611" i="1"/>
  <c r="B2611" i="1" s="1"/>
  <c r="A2610" i="1"/>
  <c r="B2610" i="1" s="1"/>
  <c r="A2609" i="1"/>
  <c r="B2609" i="1" s="1"/>
  <c r="A2608" i="1"/>
  <c r="B2608" i="1" s="1"/>
  <c r="A2607" i="1"/>
  <c r="B2607" i="1" s="1"/>
  <c r="A2606" i="1"/>
  <c r="B2606" i="1" s="1"/>
  <c r="A2605" i="1"/>
  <c r="B2605" i="1" s="1"/>
  <c r="A2604" i="1"/>
  <c r="B2604" i="1" s="1"/>
  <c r="A2603" i="1"/>
  <c r="B2603" i="1" s="1"/>
  <c r="A2602" i="1"/>
  <c r="B2602" i="1" s="1"/>
  <c r="A2601" i="1"/>
  <c r="B2601" i="1" s="1"/>
  <c r="A2600" i="1"/>
  <c r="B2600" i="1" s="1"/>
  <c r="A2599" i="1"/>
  <c r="B2599" i="1" s="1"/>
  <c r="A2598" i="1"/>
  <c r="B2598" i="1" s="1"/>
  <c r="A2597" i="1"/>
  <c r="B2597" i="1" s="1"/>
  <c r="A2596" i="1"/>
  <c r="B2596" i="1" s="1"/>
  <c r="A2595" i="1"/>
  <c r="B2595" i="1" s="1"/>
  <c r="A2594" i="1"/>
  <c r="B2594" i="1" s="1"/>
  <c r="A2593" i="1"/>
  <c r="B2593" i="1" s="1"/>
  <c r="A2592" i="1"/>
  <c r="B2592" i="1" s="1"/>
  <c r="A2591" i="1"/>
  <c r="B2591" i="1" s="1"/>
  <c r="A2590" i="1"/>
  <c r="B2590" i="1" s="1"/>
  <c r="A2589" i="1"/>
  <c r="B2589" i="1" s="1"/>
  <c r="A2588" i="1"/>
  <c r="B2588" i="1" s="1"/>
  <c r="A2587" i="1"/>
  <c r="B2587" i="1" s="1"/>
  <c r="A2586" i="1"/>
  <c r="B2586" i="1" s="1"/>
  <c r="A2585" i="1"/>
  <c r="B2585" i="1" s="1"/>
  <c r="A2584" i="1"/>
  <c r="B2584" i="1" s="1"/>
  <c r="A2583" i="1"/>
  <c r="B2583" i="1" s="1"/>
  <c r="A2582" i="1"/>
  <c r="B2582" i="1" s="1"/>
  <c r="A2581" i="1"/>
  <c r="B2581" i="1" s="1"/>
  <c r="A2580" i="1"/>
  <c r="B2580" i="1" s="1"/>
  <c r="A2579" i="1"/>
  <c r="B2579" i="1" s="1"/>
  <c r="A2578" i="1"/>
  <c r="B2578" i="1" s="1"/>
  <c r="A2577" i="1"/>
  <c r="B2577" i="1" s="1"/>
  <c r="A2576" i="1"/>
  <c r="B2576" i="1" s="1"/>
  <c r="A2575" i="1"/>
  <c r="B2575" i="1" s="1"/>
  <c r="A2574" i="1"/>
  <c r="B2574" i="1" s="1"/>
  <c r="A2573" i="1"/>
  <c r="B2573" i="1" s="1"/>
  <c r="A2572" i="1"/>
  <c r="B2572" i="1" s="1"/>
  <c r="A2571" i="1"/>
  <c r="B2571" i="1" s="1"/>
  <c r="A2570" i="1"/>
  <c r="B2570" i="1" s="1"/>
  <c r="A2569" i="1"/>
  <c r="B2569" i="1" s="1"/>
  <c r="A2568" i="1"/>
  <c r="B2568" i="1" s="1"/>
  <c r="A2567" i="1"/>
  <c r="B2567" i="1" s="1"/>
  <c r="A2566" i="1"/>
  <c r="B2566" i="1" s="1"/>
  <c r="A2565" i="1"/>
  <c r="B2565" i="1" s="1"/>
  <c r="A2564" i="1"/>
  <c r="B2564" i="1" s="1"/>
  <c r="A2563" i="1"/>
  <c r="B2563" i="1" s="1"/>
  <c r="A2562" i="1"/>
  <c r="B2562" i="1" s="1"/>
  <c r="A2561" i="1"/>
  <c r="B2561" i="1" s="1"/>
  <c r="A2560" i="1"/>
  <c r="B2560" i="1" s="1"/>
  <c r="A2559" i="1"/>
  <c r="B2559" i="1" s="1"/>
  <c r="A2558" i="1"/>
  <c r="B2558" i="1" s="1"/>
  <c r="A2557" i="1"/>
  <c r="B2557" i="1" s="1"/>
  <c r="A2556" i="1"/>
  <c r="B2556" i="1" s="1"/>
  <c r="A2555" i="1"/>
  <c r="B2555" i="1" s="1"/>
  <c r="A2554" i="1"/>
  <c r="B2554" i="1" s="1"/>
  <c r="A2553" i="1"/>
  <c r="B2553" i="1" s="1"/>
  <c r="A2552" i="1"/>
  <c r="B2552" i="1" s="1"/>
  <c r="A2551" i="1"/>
  <c r="B2551" i="1" s="1"/>
  <c r="A2550" i="1"/>
  <c r="B2550" i="1" s="1"/>
  <c r="A2549" i="1"/>
  <c r="B2549" i="1" s="1"/>
  <c r="A2548" i="1"/>
  <c r="B2548" i="1" s="1"/>
  <c r="A2547" i="1"/>
  <c r="B2547" i="1" s="1"/>
  <c r="A2546" i="1"/>
  <c r="B2546" i="1" s="1"/>
  <c r="A2545" i="1"/>
  <c r="B2545" i="1" s="1"/>
  <c r="A2544" i="1"/>
  <c r="B2544" i="1" s="1"/>
  <c r="A2543" i="1"/>
  <c r="B2543" i="1" s="1"/>
  <c r="A2542" i="1"/>
  <c r="B2542" i="1" s="1"/>
  <c r="A2541" i="1"/>
  <c r="B2541" i="1" s="1"/>
  <c r="A2540" i="1"/>
  <c r="B2540" i="1" s="1"/>
  <c r="A2539" i="1"/>
  <c r="B2539" i="1" s="1"/>
  <c r="A2538" i="1"/>
  <c r="B2538" i="1" s="1"/>
  <c r="A2537" i="1"/>
  <c r="B2537" i="1" s="1"/>
  <c r="A2536" i="1"/>
  <c r="B2536" i="1" s="1"/>
  <c r="A2535" i="1"/>
  <c r="B2535" i="1" s="1"/>
  <c r="A2534" i="1"/>
  <c r="B2534" i="1" s="1"/>
  <c r="A2533" i="1"/>
  <c r="B2533" i="1" s="1"/>
  <c r="A2532" i="1"/>
  <c r="B2532" i="1" s="1"/>
  <c r="A2531" i="1"/>
  <c r="B2531" i="1" s="1"/>
  <c r="A2530" i="1"/>
  <c r="B2530" i="1" s="1"/>
  <c r="A2529" i="1"/>
  <c r="B2529" i="1" s="1"/>
  <c r="A2528" i="1"/>
  <c r="B2528" i="1" s="1"/>
  <c r="A2527" i="1"/>
  <c r="B2527" i="1" s="1"/>
  <c r="A2526" i="1"/>
  <c r="B2526" i="1" s="1"/>
  <c r="A2525" i="1"/>
  <c r="B2525" i="1" s="1"/>
  <c r="A2524" i="1"/>
  <c r="B2524" i="1" s="1"/>
  <c r="A2523" i="1"/>
  <c r="B2523" i="1" s="1"/>
  <c r="A2522" i="1"/>
  <c r="B2522" i="1" s="1"/>
  <c r="A2521" i="1"/>
  <c r="B2521" i="1" s="1"/>
  <c r="A2520" i="1"/>
  <c r="B2520" i="1" s="1"/>
  <c r="A2519" i="1"/>
  <c r="B2519" i="1" s="1"/>
  <c r="A2518" i="1"/>
  <c r="B2518" i="1" s="1"/>
  <c r="A2517" i="1"/>
  <c r="B2517" i="1" s="1"/>
  <c r="A2516" i="1"/>
  <c r="B2516" i="1" s="1"/>
  <c r="A2515" i="1"/>
  <c r="B2515" i="1" s="1"/>
  <c r="A2514" i="1"/>
  <c r="B2514" i="1" s="1"/>
  <c r="A2513" i="1"/>
  <c r="B2513" i="1" s="1"/>
  <c r="A2512" i="1"/>
  <c r="B2512" i="1" s="1"/>
  <c r="A2511" i="1"/>
  <c r="B2511" i="1" s="1"/>
  <c r="A2510" i="1"/>
  <c r="B2510" i="1" s="1"/>
  <c r="B2509" i="1"/>
  <c r="A2509" i="1"/>
  <c r="A2508" i="1"/>
  <c r="B2508" i="1" s="1"/>
  <c r="A2507" i="1"/>
  <c r="B2507" i="1" s="1"/>
  <c r="A2506" i="1"/>
  <c r="B2506" i="1" s="1"/>
  <c r="A2505" i="1"/>
  <c r="B2505" i="1" s="1"/>
  <c r="A2504" i="1"/>
  <c r="B2504" i="1" s="1"/>
  <c r="A2503" i="1"/>
  <c r="B2503" i="1" s="1"/>
  <c r="A2502" i="1"/>
  <c r="B2502" i="1" s="1"/>
  <c r="A2501" i="1"/>
  <c r="B2501" i="1" s="1"/>
  <c r="A2500" i="1"/>
  <c r="B2500" i="1" s="1"/>
  <c r="A2499" i="1"/>
  <c r="B2499" i="1" s="1"/>
  <c r="A2498" i="1"/>
  <c r="B2498" i="1" s="1"/>
  <c r="A2497" i="1"/>
  <c r="B2497" i="1" s="1"/>
  <c r="A2496" i="1"/>
  <c r="B2496" i="1" s="1"/>
  <c r="A2495" i="1"/>
  <c r="B2495" i="1" s="1"/>
  <c r="A2494" i="1"/>
  <c r="B2494" i="1" s="1"/>
  <c r="A2493" i="1"/>
  <c r="B2493" i="1" s="1"/>
  <c r="A2492" i="1"/>
  <c r="B2492" i="1" s="1"/>
  <c r="A2491" i="1"/>
  <c r="B2491" i="1" s="1"/>
  <c r="A2490" i="1"/>
  <c r="B2490" i="1" s="1"/>
  <c r="A2489" i="1"/>
  <c r="B2489" i="1" s="1"/>
  <c r="A2488" i="1"/>
  <c r="B2488" i="1" s="1"/>
  <c r="A2487" i="1"/>
  <c r="B2487" i="1" s="1"/>
  <c r="A2486" i="1"/>
  <c r="B2486" i="1" s="1"/>
  <c r="A2485" i="1"/>
  <c r="B2485" i="1" s="1"/>
  <c r="A2484" i="1"/>
  <c r="B2484" i="1" s="1"/>
  <c r="A2483" i="1"/>
  <c r="B2483" i="1" s="1"/>
  <c r="A2482" i="1"/>
  <c r="B2482" i="1" s="1"/>
  <c r="A2481" i="1"/>
  <c r="B2481" i="1" s="1"/>
  <c r="A2480" i="1"/>
  <c r="B2480" i="1" s="1"/>
  <c r="A2479" i="1"/>
  <c r="B2479" i="1" s="1"/>
  <c r="A2478" i="1"/>
  <c r="B2478" i="1" s="1"/>
  <c r="A2477" i="1"/>
  <c r="B2477" i="1" s="1"/>
  <c r="A2476" i="1"/>
  <c r="B2476" i="1" s="1"/>
  <c r="A2475" i="1"/>
  <c r="B2475" i="1" s="1"/>
  <c r="A2474" i="1"/>
  <c r="B2474" i="1" s="1"/>
  <c r="A2473" i="1"/>
  <c r="B2473" i="1" s="1"/>
  <c r="A2472" i="1"/>
  <c r="B2472" i="1" s="1"/>
  <c r="A2471" i="1"/>
  <c r="B2471" i="1" s="1"/>
  <c r="A2470" i="1"/>
  <c r="B2470" i="1" s="1"/>
  <c r="A2469" i="1"/>
  <c r="B2469" i="1" s="1"/>
  <c r="A2468" i="1"/>
  <c r="B2468" i="1" s="1"/>
  <c r="A2467" i="1"/>
  <c r="B2467" i="1" s="1"/>
  <c r="A2466" i="1"/>
  <c r="B2466" i="1" s="1"/>
  <c r="A2465" i="1"/>
  <c r="B2465" i="1" s="1"/>
  <c r="A2464" i="1"/>
  <c r="B2464" i="1" s="1"/>
  <c r="A2463" i="1"/>
  <c r="B2463" i="1" s="1"/>
  <c r="A2462" i="1"/>
  <c r="B2462" i="1" s="1"/>
  <c r="A2461" i="1"/>
  <c r="B2461" i="1" s="1"/>
  <c r="A2460" i="1"/>
  <c r="B2460" i="1" s="1"/>
  <c r="A2459" i="1"/>
  <c r="B2459" i="1" s="1"/>
  <c r="A2458" i="1"/>
  <c r="B2458" i="1" s="1"/>
  <c r="A2457" i="1"/>
  <c r="B2457" i="1" s="1"/>
  <c r="A2456" i="1"/>
  <c r="B2456" i="1" s="1"/>
  <c r="A2455" i="1"/>
  <c r="B2455" i="1" s="1"/>
  <c r="A2454" i="1"/>
  <c r="B2454" i="1" s="1"/>
  <c r="A2453" i="1"/>
  <c r="B2453" i="1" s="1"/>
  <c r="A2452" i="1"/>
  <c r="B2452" i="1" s="1"/>
  <c r="A2451" i="1"/>
  <c r="B2451" i="1" s="1"/>
  <c r="A2450" i="1"/>
  <c r="B2450" i="1" s="1"/>
  <c r="A2449" i="1"/>
  <c r="B2449" i="1" s="1"/>
  <c r="A2448" i="1"/>
  <c r="B2448" i="1" s="1"/>
  <c r="A2447" i="1"/>
  <c r="B2447" i="1" s="1"/>
  <c r="A2446" i="1"/>
  <c r="B2446" i="1" s="1"/>
  <c r="A2445" i="1"/>
  <c r="B2445" i="1" s="1"/>
  <c r="A2444" i="1"/>
  <c r="B2444" i="1" s="1"/>
  <c r="A2443" i="1"/>
  <c r="B2443" i="1" s="1"/>
  <c r="A2442" i="1"/>
  <c r="B2442" i="1" s="1"/>
  <c r="A2441" i="1"/>
  <c r="B2441" i="1" s="1"/>
  <c r="A2440" i="1"/>
  <c r="B2440" i="1" s="1"/>
  <c r="A2439" i="1"/>
  <c r="B2439" i="1" s="1"/>
  <c r="A2438" i="1"/>
  <c r="B2438" i="1" s="1"/>
  <c r="A2437" i="1"/>
  <c r="B2437" i="1" s="1"/>
  <c r="A2436" i="1"/>
  <c r="B2436" i="1" s="1"/>
  <c r="A2435" i="1"/>
  <c r="B2435" i="1" s="1"/>
  <c r="A2434" i="1"/>
  <c r="B2434" i="1" s="1"/>
  <c r="A2433" i="1"/>
  <c r="B2433" i="1" s="1"/>
  <c r="A2432" i="1"/>
  <c r="B2432" i="1" s="1"/>
  <c r="A2431" i="1"/>
  <c r="B2431" i="1" s="1"/>
  <c r="A2430" i="1"/>
  <c r="B2430" i="1" s="1"/>
  <c r="A2429" i="1"/>
  <c r="B2429" i="1" s="1"/>
  <c r="A2428" i="1"/>
  <c r="B2428" i="1" s="1"/>
  <c r="A2427" i="1"/>
  <c r="B2427" i="1" s="1"/>
  <c r="A2426" i="1"/>
  <c r="B2426" i="1" s="1"/>
  <c r="A2425" i="1"/>
  <c r="B2425" i="1" s="1"/>
  <c r="A2424" i="1"/>
  <c r="B2424" i="1" s="1"/>
  <c r="A2423" i="1"/>
  <c r="B2423" i="1" s="1"/>
  <c r="A2422" i="1"/>
  <c r="B2422" i="1" s="1"/>
  <c r="A2421" i="1"/>
  <c r="B2421" i="1" s="1"/>
  <c r="A2420" i="1"/>
  <c r="B2420" i="1" s="1"/>
  <c r="A2419" i="1"/>
  <c r="B2419" i="1" s="1"/>
  <c r="A2418" i="1"/>
  <c r="B2418" i="1" s="1"/>
  <c r="A2417" i="1"/>
  <c r="B2417" i="1" s="1"/>
  <c r="A2416" i="1"/>
  <c r="B2416" i="1" s="1"/>
  <c r="A2415" i="1"/>
  <c r="B2415" i="1" s="1"/>
  <c r="A2414" i="1"/>
  <c r="B2414" i="1" s="1"/>
  <c r="A2413" i="1"/>
  <c r="B2413" i="1" s="1"/>
  <c r="A2412" i="1"/>
  <c r="B2412" i="1" s="1"/>
  <c r="A2411" i="1"/>
  <c r="B2411" i="1" s="1"/>
  <c r="A2410" i="1"/>
  <c r="B2410" i="1" s="1"/>
  <c r="A2409" i="1"/>
  <c r="B2409" i="1" s="1"/>
  <c r="A2408" i="1"/>
  <c r="B2408" i="1" s="1"/>
  <c r="A2407" i="1"/>
  <c r="B2407" i="1" s="1"/>
  <c r="A2406" i="1"/>
  <c r="B2406" i="1" s="1"/>
  <c r="A2405" i="1"/>
  <c r="B2405" i="1" s="1"/>
  <c r="A2404" i="1"/>
  <c r="B2404" i="1" s="1"/>
  <c r="A2403" i="1"/>
  <c r="B2403" i="1" s="1"/>
  <c r="A2402" i="1"/>
  <c r="B2402" i="1" s="1"/>
  <c r="A2401" i="1"/>
  <c r="B2401" i="1" s="1"/>
  <c r="A2400" i="1"/>
  <c r="B2400" i="1" s="1"/>
  <c r="A2399" i="1"/>
  <c r="B2399" i="1" s="1"/>
  <c r="A2398" i="1"/>
  <c r="B2398" i="1" s="1"/>
  <c r="A2397" i="1"/>
  <c r="B2397" i="1" s="1"/>
  <c r="A2396" i="1"/>
  <c r="B2396" i="1" s="1"/>
  <c r="A2395" i="1"/>
  <c r="B2395" i="1" s="1"/>
  <c r="A2394" i="1"/>
  <c r="B2394" i="1" s="1"/>
  <c r="A2393" i="1"/>
  <c r="B2393" i="1" s="1"/>
  <c r="A2392" i="1"/>
  <c r="B2392" i="1" s="1"/>
  <c r="A2391" i="1"/>
  <c r="B2391" i="1" s="1"/>
  <c r="A2390" i="1"/>
  <c r="B2390" i="1" s="1"/>
  <c r="A2389" i="1"/>
  <c r="B2389" i="1" s="1"/>
  <c r="A2388" i="1"/>
  <c r="B2388" i="1" s="1"/>
  <c r="A2387" i="1"/>
  <c r="B2387" i="1" s="1"/>
  <c r="A2386" i="1"/>
  <c r="B2386" i="1" s="1"/>
  <c r="A2385" i="1"/>
  <c r="B2385" i="1" s="1"/>
  <c r="A2384" i="1"/>
  <c r="B2384" i="1" s="1"/>
  <c r="A2383" i="1"/>
  <c r="B2383" i="1" s="1"/>
  <c r="A2382" i="1"/>
  <c r="B2382" i="1" s="1"/>
  <c r="A2381" i="1"/>
  <c r="B2381" i="1" s="1"/>
  <c r="A2380" i="1"/>
  <c r="B2380" i="1" s="1"/>
  <c r="A2379" i="1"/>
  <c r="B2379" i="1" s="1"/>
  <c r="A2378" i="1"/>
  <c r="B2378" i="1" s="1"/>
  <c r="A2377" i="1"/>
  <c r="B2377" i="1" s="1"/>
  <c r="A2376" i="1"/>
  <c r="B2376" i="1" s="1"/>
  <c r="A2375" i="1"/>
  <c r="B2375" i="1" s="1"/>
  <c r="A2374" i="1"/>
  <c r="B2374" i="1" s="1"/>
  <c r="A2373" i="1"/>
  <c r="B2373" i="1" s="1"/>
  <c r="A2372" i="1"/>
  <c r="B2372" i="1" s="1"/>
  <c r="A2371" i="1"/>
  <c r="B2371" i="1" s="1"/>
  <c r="A2370" i="1"/>
  <c r="B2370" i="1" s="1"/>
  <c r="A2369" i="1"/>
  <c r="B2369" i="1" s="1"/>
  <c r="A2368" i="1"/>
  <c r="B2368" i="1" s="1"/>
  <c r="A2367" i="1"/>
  <c r="B2367" i="1" s="1"/>
  <c r="A2366" i="1"/>
  <c r="B2366" i="1" s="1"/>
  <c r="A2365" i="1"/>
  <c r="B2365" i="1" s="1"/>
  <c r="A2364" i="1"/>
  <c r="B2364" i="1" s="1"/>
  <c r="A2363" i="1"/>
  <c r="B2363" i="1" s="1"/>
  <c r="A2362" i="1"/>
  <c r="B2362" i="1" s="1"/>
  <c r="A2361" i="1"/>
  <c r="B2361" i="1" s="1"/>
  <c r="A2360" i="1"/>
  <c r="B2360" i="1" s="1"/>
  <c r="A2359" i="1"/>
  <c r="B2359" i="1" s="1"/>
  <c r="A2358" i="1"/>
  <c r="B2358" i="1" s="1"/>
  <c r="A2357" i="1"/>
  <c r="B2357" i="1" s="1"/>
  <c r="A2356" i="1"/>
  <c r="B2356" i="1" s="1"/>
  <c r="A2355" i="1"/>
  <c r="B2355" i="1" s="1"/>
  <c r="A2354" i="1"/>
  <c r="B2354" i="1" s="1"/>
  <c r="A2353" i="1"/>
  <c r="B2353" i="1" s="1"/>
  <c r="A2352" i="1"/>
  <c r="B2352" i="1" s="1"/>
  <c r="A2351" i="1"/>
  <c r="B2351" i="1" s="1"/>
  <c r="A2350" i="1"/>
  <c r="B2350" i="1" s="1"/>
  <c r="A2349" i="1"/>
  <c r="B2349" i="1" s="1"/>
  <c r="A2348" i="1"/>
  <c r="B2348" i="1" s="1"/>
  <c r="A2347" i="1"/>
  <c r="B2347" i="1" s="1"/>
  <c r="A2346" i="1"/>
  <c r="B2346" i="1" s="1"/>
  <c r="A2345" i="1"/>
  <c r="B2345" i="1" s="1"/>
  <c r="A2344" i="1"/>
  <c r="B2344" i="1" s="1"/>
  <c r="A2343" i="1"/>
  <c r="B2343" i="1" s="1"/>
  <c r="A2342" i="1"/>
  <c r="B2342" i="1" s="1"/>
  <c r="A2341" i="1"/>
  <c r="B2341" i="1" s="1"/>
  <c r="A2340" i="1"/>
  <c r="B2340" i="1" s="1"/>
  <c r="A2339" i="1"/>
  <c r="B2339" i="1" s="1"/>
  <c r="A2338" i="1"/>
  <c r="B2338" i="1" s="1"/>
  <c r="A2337" i="1"/>
  <c r="B2337" i="1" s="1"/>
  <c r="A2336" i="1"/>
  <c r="B2336" i="1" s="1"/>
  <c r="A2335" i="1"/>
  <c r="B2335" i="1" s="1"/>
  <c r="A2334" i="1"/>
  <c r="B2334" i="1" s="1"/>
  <c r="A2333" i="1"/>
  <c r="B2333" i="1" s="1"/>
  <c r="A2332" i="1"/>
  <c r="B2332" i="1" s="1"/>
  <c r="A2331" i="1"/>
  <c r="B2331" i="1" s="1"/>
  <c r="A2330" i="1"/>
  <c r="B2330" i="1" s="1"/>
  <c r="A2329" i="1"/>
  <c r="B2329" i="1" s="1"/>
  <c r="A2328" i="1"/>
  <c r="B2328" i="1" s="1"/>
  <c r="A2327" i="1"/>
  <c r="B2327" i="1" s="1"/>
  <c r="A2326" i="1"/>
  <c r="B2326" i="1" s="1"/>
  <c r="A2325" i="1"/>
  <c r="B2325" i="1" s="1"/>
  <c r="A2324" i="1"/>
  <c r="B2324" i="1" s="1"/>
  <c r="A2323" i="1"/>
  <c r="B2323" i="1" s="1"/>
  <c r="A2322" i="1"/>
  <c r="B2322" i="1" s="1"/>
  <c r="A2321" i="1"/>
  <c r="B2321" i="1" s="1"/>
  <c r="A2320" i="1"/>
  <c r="B2320" i="1" s="1"/>
  <c r="A2319" i="1"/>
  <c r="B2319" i="1" s="1"/>
  <c r="A2318" i="1"/>
  <c r="B2318" i="1" s="1"/>
  <c r="A2317" i="1"/>
  <c r="B2317" i="1" s="1"/>
  <c r="A2316" i="1"/>
  <c r="B2316" i="1" s="1"/>
  <c r="A2315" i="1"/>
  <c r="B2315" i="1" s="1"/>
  <c r="A2314" i="1"/>
  <c r="B2314" i="1" s="1"/>
  <c r="A2313" i="1"/>
  <c r="B2313" i="1" s="1"/>
  <c r="A2312" i="1"/>
  <c r="B2312" i="1" s="1"/>
  <c r="A2311" i="1"/>
  <c r="B2311" i="1" s="1"/>
  <c r="A2310" i="1"/>
  <c r="B2310" i="1" s="1"/>
  <c r="A2309" i="1"/>
  <c r="B2309" i="1" s="1"/>
  <c r="A2308" i="1"/>
  <c r="B2308" i="1" s="1"/>
  <c r="A2307" i="1"/>
  <c r="B2307" i="1" s="1"/>
  <c r="A2306" i="1"/>
  <c r="B2306" i="1" s="1"/>
  <c r="A2305" i="1"/>
  <c r="B2305" i="1" s="1"/>
  <c r="A2304" i="1"/>
  <c r="B2304" i="1" s="1"/>
  <c r="A2303" i="1"/>
  <c r="B2303" i="1" s="1"/>
  <c r="A2302" i="1"/>
  <c r="B2302" i="1" s="1"/>
  <c r="A2301" i="1"/>
  <c r="B2301" i="1" s="1"/>
  <c r="A2300" i="1"/>
  <c r="B2300" i="1" s="1"/>
  <c r="A2299" i="1"/>
  <c r="B2299" i="1" s="1"/>
  <c r="A2298" i="1"/>
  <c r="B2298" i="1" s="1"/>
  <c r="A2297" i="1"/>
  <c r="B2297" i="1" s="1"/>
  <c r="A2296" i="1"/>
  <c r="B2296" i="1" s="1"/>
  <c r="A2295" i="1"/>
  <c r="B2295" i="1" s="1"/>
  <c r="A2294" i="1"/>
  <c r="B2294" i="1" s="1"/>
  <c r="A2293" i="1"/>
  <c r="B2293" i="1" s="1"/>
  <c r="A2292" i="1"/>
  <c r="B2292" i="1" s="1"/>
  <c r="A2291" i="1"/>
  <c r="B2291" i="1" s="1"/>
  <c r="A2290" i="1"/>
  <c r="B2290" i="1" s="1"/>
  <c r="A2289" i="1"/>
  <c r="B2289" i="1" s="1"/>
  <c r="A2288" i="1"/>
  <c r="B2288" i="1" s="1"/>
  <c r="A2287" i="1"/>
  <c r="B2287" i="1" s="1"/>
  <c r="A2286" i="1"/>
  <c r="B2286" i="1" s="1"/>
  <c r="A2285" i="1"/>
  <c r="B2285" i="1" s="1"/>
  <c r="A2284" i="1"/>
  <c r="B2284" i="1" s="1"/>
  <c r="A2283" i="1"/>
  <c r="B2283" i="1" s="1"/>
  <c r="A2282" i="1"/>
  <c r="B2282" i="1" s="1"/>
  <c r="A2281" i="1"/>
  <c r="B2281" i="1" s="1"/>
  <c r="A2280" i="1"/>
  <c r="B2280" i="1" s="1"/>
  <c r="A2279" i="1"/>
  <c r="B2279" i="1" s="1"/>
  <c r="A2278" i="1"/>
  <c r="B2278" i="1" s="1"/>
  <c r="A2277" i="1"/>
  <c r="B2277" i="1" s="1"/>
  <c r="A2276" i="1"/>
  <c r="B2276" i="1" s="1"/>
  <c r="A2275" i="1"/>
  <c r="B2275" i="1" s="1"/>
  <c r="A2274" i="1"/>
  <c r="B2274" i="1" s="1"/>
  <c r="A2273" i="1"/>
  <c r="B2273" i="1" s="1"/>
  <c r="A2272" i="1"/>
  <c r="B2272" i="1" s="1"/>
  <c r="A2271" i="1"/>
  <c r="B2271" i="1" s="1"/>
  <c r="B2270" i="1"/>
  <c r="A2270" i="1"/>
  <c r="A2269" i="1"/>
  <c r="B2269" i="1" s="1"/>
  <c r="A2268" i="1"/>
  <c r="B2268" i="1" s="1"/>
  <c r="A2267" i="1"/>
  <c r="B2267" i="1" s="1"/>
  <c r="A2266" i="1"/>
  <c r="B2266" i="1" s="1"/>
  <c r="A2265" i="1"/>
  <c r="B2265" i="1" s="1"/>
  <c r="A2264" i="1"/>
  <c r="B2264" i="1" s="1"/>
  <c r="A2263" i="1"/>
  <c r="B2263" i="1" s="1"/>
  <c r="A2262" i="1"/>
  <c r="B2262" i="1" s="1"/>
  <c r="A2261" i="1"/>
  <c r="B2261" i="1" s="1"/>
  <c r="A2260" i="1"/>
  <c r="B2260" i="1" s="1"/>
  <c r="A2259" i="1"/>
  <c r="B2259" i="1" s="1"/>
  <c r="A2258" i="1"/>
  <c r="B2258" i="1" s="1"/>
  <c r="A2257" i="1"/>
  <c r="B2257" i="1" s="1"/>
  <c r="A2256" i="1"/>
  <c r="B2256" i="1" s="1"/>
  <c r="A2255" i="1"/>
  <c r="B2255" i="1" s="1"/>
  <c r="A2254" i="1"/>
  <c r="B2254" i="1" s="1"/>
  <c r="A2253" i="1"/>
  <c r="B2253" i="1" s="1"/>
  <c r="A2252" i="1"/>
  <c r="B2252" i="1" s="1"/>
  <c r="A2251" i="1"/>
  <c r="B2251" i="1" s="1"/>
  <c r="A2250" i="1"/>
  <c r="B2250" i="1" s="1"/>
  <c r="A2249" i="1"/>
  <c r="B2249" i="1" s="1"/>
  <c r="A2248" i="1"/>
  <c r="B2248" i="1" s="1"/>
  <c r="A2247" i="1"/>
  <c r="B2247" i="1" s="1"/>
  <c r="A2246" i="1"/>
  <c r="B2246" i="1" s="1"/>
  <c r="A2245" i="1"/>
  <c r="B2245" i="1" s="1"/>
  <c r="A2244" i="1"/>
  <c r="B2244" i="1" s="1"/>
  <c r="A2243" i="1"/>
  <c r="B2243" i="1" s="1"/>
  <c r="A2242" i="1"/>
  <c r="B2242" i="1" s="1"/>
  <c r="A2241" i="1"/>
  <c r="B2241" i="1" s="1"/>
  <c r="A2240" i="1"/>
  <c r="B2240" i="1" s="1"/>
  <c r="A2239" i="1"/>
  <c r="B2239" i="1" s="1"/>
  <c r="A2238" i="1"/>
  <c r="B2238" i="1" s="1"/>
  <c r="A2237" i="1"/>
  <c r="B2237" i="1" s="1"/>
  <c r="A2236" i="1"/>
  <c r="B2236" i="1" s="1"/>
  <c r="A2235" i="1"/>
  <c r="B2235" i="1" s="1"/>
  <c r="A2234" i="1"/>
  <c r="B2234" i="1" s="1"/>
  <c r="A2233" i="1"/>
  <c r="B2233" i="1" s="1"/>
  <c r="A2232" i="1"/>
  <c r="B2232" i="1" s="1"/>
  <c r="A2231" i="1"/>
  <c r="B2231" i="1" s="1"/>
  <c r="A2230" i="1"/>
  <c r="B2230" i="1" s="1"/>
  <c r="A2229" i="1"/>
  <c r="B2229" i="1" s="1"/>
  <c r="A2228" i="1"/>
  <c r="B2228" i="1" s="1"/>
  <c r="A2227" i="1"/>
  <c r="B2227" i="1" s="1"/>
  <c r="A2226" i="1"/>
  <c r="B2226" i="1" s="1"/>
  <c r="A2225" i="1"/>
  <c r="B2225" i="1" s="1"/>
  <c r="A2224" i="1"/>
  <c r="B2224" i="1" s="1"/>
  <c r="A2223" i="1"/>
  <c r="B2223" i="1" s="1"/>
  <c r="A2222" i="1"/>
  <c r="B2222" i="1" s="1"/>
  <c r="A2221" i="1"/>
  <c r="B2221" i="1" s="1"/>
  <c r="A2220" i="1"/>
  <c r="B2220" i="1" s="1"/>
  <c r="A2219" i="1"/>
  <c r="B2219" i="1" s="1"/>
  <c r="A2218" i="1"/>
  <c r="B2218" i="1" s="1"/>
  <c r="A2217" i="1"/>
  <c r="B2217" i="1" s="1"/>
  <c r="A2216" i="1"/>
  <c r="B2216" i="1" s="1"/>
  <c r="A2215" i="1"/>
  <c r="B2215" i="1" s="1"/>
  <c r="A2214" i="1"/>
  <c r="B2214" i="1" s="1"/>
  <c r="A2213" i="1"/>
  <c r="B2213" i="1" s="1"/>
  <c r="A2212" i="1"/>
  <c r="B2212" i="1" s="1"/>
  <c r="A2211" i="1"/>
  <c r="B2211" i="1" s="1"/>
  <c r="A2210" i="1"/>
  <c r="B2210" i="1" s="1"/>
  <c r="A2209" i="1"/>
  <c r="B2209" i="1" s="1"/>
  <c r="A2208" i="1"/>
  <c r="B2208" i="1" s="1"/>
  <c r="B2207" i="1"/>
  <c r="A2207" i="1"/>
  <c r="A2206" i="1"/>
  <c r="B2206" i="1" s="1"/>
  <c r="A2205" i="1"/>
  <c r="B2205" i="1" s="1"/>
  <c r="A2204" i="1"/>
  <c r="B2204" i="1" s="1"/>
  <c r="A2203" i="1"/>
  <c r="B2203" i="1" s="1"/>
  <c r="A2202" i="1"/>
  <c r="B2202" i="1" s="1"/>
  <c r="A2201" i="1"/>
  <c r="B2201" i="1" s="1"/>
  <c r="A2200" i="1"/>
  <c r="B2200" i="1" s="1"/>
  <c r="A2199" i="1"/>
  <c r="B2199" i="1" s="1"/>
  <c r="A2198" i="1"/>
  <c r="B2198" i="1" s="1"/>
  <c r="A2197" i="1"/>
  <c r="B2197" i="1" s="1"/>
  <c r="A2196" i="1"/>
  <c r="B2196" i="1" s="1"/>
  <c r="A2195" i="1"/>
  <c r="B2195" i="1" s="1"/>
  <c r="A2194" i="1"/>
  <c r="B2194" i="1" s="1"/>
  <c r="A2193" i="1"/>
  <c r="B2193" i="1" s="1"/>
  <c r="A2192" i="1"/>
  <c r="B2192" i="1" s="1"/>
  <c r="A2191" i="1"/>
  <c r="B2191" i="1" s="1"/>
  <c r="A2190" i="1"/>
  <c r="B2190" i="1" s="1"/>
  <c r="A2189" i="1"/>
  <c r="B2189" i="1" s="1"/>
  <c r="A2188" i="1"/>
  <c r="B2188" i="1" s="1"/>
  <c r="A2187" i="1"/>
  <c r="B2187" i="1" s="1"/>
  <c r="A2186" i="1"/>
  <c r="B2186" i="1" s="1"/>
  <c r="A2185" i="1"/>
  <c r="B2185" i="1" s="1"/>
  <c r="A2184" i="1"/>
  <c r="B2184" i="1" s="1"/>
  <c r="A2183" i="1"/>
  <c r="B2183" i="1" s="1"/>
  <c r="A2182" i="1"/>
  <c r="B2182" i="1" s="1"/>
  <c r="A2181" i="1"/>
  <c r="B2181" i="1" s="1"/>
  <c r="A2180" i="1"/>
  <c r="B2180" i="1" s="1"/>
  <c r="A2179" i="1"/>
  <c r="B2179" i="1" s="1"/>
  <c r="A2178" i="1"/>
  <c r="B2178" i="1" s="1"/>
  <c r="A2177" i="1"/>
  <c r="B2177" i="1" s="1"/>
  <c r="B2176" i="1"/>
  <c r="A2176" i="1"/>
  <c r="A2175" i="1"/>
  <c r="B2175" i="1" s="1"/>
  <c r="A2174" i="1"/>
  <c r="B2174" i="1" s="1"/>
  <c r="A2173" i="1"/>
  <c r="B2173" i="1" s="1"/>
  <c r="A2172" i="1"/>
  <c r="B2172" i="1" s="1"/>
  <c r="A2171" i="1"/>
  <c r="B2171" i="1" s="1"/>
  <c r="A2170" i="1"/>
  <c r="B2170" i="1" s="1"/>
  <c r="A2169" i="1"/>
  <c r="B2169" i="1" s="1"/>
  <c r="A2168" i="1"/>
  <c r="B2168" i="1" s="1"/>
  <c r="A2167" i="1"/>
  <c r="B2167" i="1" s="1"/>
  <c r="A2166" i="1"/>
  <c r="B2166" i="1" s="1"/>
  <c r="A2165" i="1"/>
  <c r="B2165" i="1" s="1"/>
  <c r="A2164" i="1"/>
  <c r="B2164" i="1" s="1"/>
  <c r="A2163" i="1"/>
  <c r="B2163" i="1" s="1"/>
  <c r="A2162" i="1"/>
  <c r="B2162" i="1" s="1"/>
  <c r="A2161" i="1"/>
  <c r="B2161" i="1" s="1"/>
  <c r="A2160" i="1"/>
  <c r="B2160" i="1" s="1"/>
  <c r="A2159" i="1"/>
  <c r="B2159" i="1" s="1"/>
  <c r="A2158" i="1"/>
  <c r="B2158" i="1" s="1"/>
  <c r="A2157" i="1"/>
  <c r="B2157" i="1" s="1"/>
  <c r="A2156" i="1"/>
  <c r="B2156" i="1" s="1"/>
  <c r="A2155" i="1"/>
  <c r="B2155" i="1" s="1"/>
  <c r="A2154" i="1"/>
  <c r="B2154" i="1" s="1"/>
  <c r="A2153" i="1"/>
  <c r="B2153" i="1" s="1"/>
  <c r="A2152" i="1"/>
  <c r="B2152" i="1" s="1"/>
  <c r="A2151" i="1"/>
  <c r="B2151" i="1" s="1"/>
  <c r="A2150" i="1"/>
  <c r="B2150" i="1" s="1"/>
  <c r="A2149" i="1"/>
  <c r="B2149" i="1" s="1"/>
  <c r="A2148" i="1"/>
  <c r="B2148" i="1" s="1"/>
  <c r="A2147" i="1"/>
  <c r="B2147" i="1" s="1"/>
  <c r="A2146" i="1"/>
  <c r="B2146" i="1" s="1"/>
  <c r="A2145" i="1"/>
  <c r="B2145" i="1" s="1"/>
  <c r="A2144" i="1"/>
  <c r="B2144" i="1" s="1"/>
  <c r="A2143" i="1"/>
  <c r="B2143" i="1" s="1"/>
  <c r="A2142" i="1"/>
  <c r="B2142" i="1" s="1"/>
  <c r="A2141" i="1"/>
  <c r="B2141" i="1" s="1"/>
  <c r="A2140" i="1"/>
  <c r="B2140" i="1" s="1"/>
  <c r="A2139" i="1"/>
  <c r="B2139" i="1" s="1"/>
  <c r="A2138" i="1"/>
  <c r="B2138" i="1" s="1"/>
  <c r="A2137" i="1"/>
  <c r="B2137" i="1" s="1"/>
  <c r="A2136" i="1"/>
  <c r="B2136" i="1" s="1"/>
  <c r="A2135" i="1"/>
  <c r="B2135" i="1" s="1"/>
  <c r="A2134" i="1"/>
  <c r="B2134" i="1" s="1"/>
  <c r="A2133" i="1"/>
  <c r="B2133" i="1" s="1"/>
  <c r="A2132" i="1"/>
  <c r="B2132" i="1" s="1"/>
  <c r="A2131" i="1"/>
  <c r="B2131" i="1" s="1"/>
  <c r="A2130" i="1"/>
  <c r="B2130" i="1" s="1"/>
  <c r="A2129" i="1"/>
  <c r="B2129" i="1" s="1"/>
  <c r="A2128" i="1"/>
  <c r="B2128" i="1" s="1"/>
  <c r="A2127" i="1"/>
  <c r="B2127" i="1" s="1"/>
  <c r="A2126" i="1"/>
  <c r="B2126" i="1" s="1"/>
  <c r="A2125" i="1"/>
  <c r="B2125" i="1" s="1"/>
  <c r="A2124" i="1"/>
  <c r="B2124" i="1" s="1"/>
  <c r="A2123" i="1"/>
  <c r="B2123" i="1" s="1"/>
  <c r="A2122" i="1"/>
  <c r="B2122" i="1" s="1"/>
  <c r="A2121" i="1"/>
  <c r="B2121" i="1" s="1"/>
  <c r="A2120" i="1"/>
  <c r="B2120" i="1" s="1"/>
  <c r="A2119" i="1"/>
  <c r="B2119" i="1" s="1"/>
  <c r="A2118" i="1"/>
  <c r="B2118" i="1" s="1"/>
  <c r="A2117" i="1"/>
  <c r="B2117" i="1" s="1"/>
  <c r="A2116" i="1"/>
  <c r="B2116" i="1" s="1"/>
  <c r="A2115" i="1"/>
  <c r="B2115" i="1" s="1"/>
  <c r="A2114" i="1"/>
  <c r="B2114" i="1" s="1"/>
  <c r="A2113" i="1"/>
  <c r="B2113" i="1" s="1"/>
  <c r="A2112" i="1"/>
  <c r="B2112" i="1" s="1"/>
  <c r="A2111" i="1"/>
  <c r="B2111" i="1" s="1"/>
  <c r="A2110" i="1"/>
  <c r="B2110" i="1" s="1"/>
  <c r="A2109" i="1"/>
  <c r="B2109" i="1" s="1"/>
  <c r="A2108" i="1"/>
  <c r="B2108" i="1" s="1"/>
  <c r="A2107" i="1"/>
  <c r="B2107" i="1" s="1"/>
  <c r="A2106" i="1"/>
  <c r="B2106" i="1" s="1"/>
  <c r="A2105" i="1"/>
  <c r="B2105" i="1" s="1"/>
  <c r="A2104" i="1"/>
  <c r="B2104" i="1" s="1"/>
  <c r="A2103" i="1"/>
  <c r="B2103" i="1" s="1"/>
  <c r="A2102" i="1"/>
  <c r="B2102" i="1" s="1"/>
  <c r="A2101" i="1"/>
  <c r="B2101" i="1" s="1"/>
  <c r="A2100" i="1"/>
  <c r="B2100" i="1" s="1"/>
  <c r="A2099" i="1"/>
  <c r="B2099" i="1" s="1"/>
  <c r="A2098" i="1"/>
  <c r="B2098" i="1" s="1"/>
  <c r="A2097" i="1"/>
  <c r="B2097" i="1" s="1"/>
  <c r="A2096" i="1"/>
  <c r="B2096" i="1" s="1"/>
  <c r="A2095" i="1"/>
  <c r="B2095" i="1" s="1"/>
  <c r="A2094" i="1"/>
  <c r="B2094" i="1" s="1"/>
  <c r="A2093" i="1"/>
  <c r="B2093" i="1" s="1"/>
  <c r="A2092" i="1"/>
  <c r="B2092" i="1" s="1"/>
  <c r="A2091" i="1"/>
  <c r="B2091" i="1" s="1"/>
  <c r="A2090" i="1"/>
  <c r="B2090" i="1" s="1"/>
  <c r="A2089" i="1"/>
  <c r="B2089" i="1" s="1"/>
  <c r="A2088" i="1"/>
  <c r="B2088" i="1" s="1"/>
  <c r="A2087" i="1"/>
  <c r="B2087" i="1" s="1"/>
  <c r="A2086" i="1"/>
  <c r="B2086" i="1" s="1"/>
  <c r="A2085" i="1"/>
  <c r="B2085" i="1" s="1"/>
  <c r="A2084" i="1"/>
  <c r="B2084" i="1" s="1"/>
  <c r="A2083" i="1"/>
  <c r="B2083" i="1" s="1"/>
  <c r="A2082" i="1"/>
  <c r="B2082" i="1" s="1"/>
  <c r="A2081" i="1"/>
  <c r="B2081" i="1" s="1"/>
  <c r="A2080" i="1"/>
  <c r="B2080" i="1" s="1"/>
  <c r="A2079" i="1"/>
  <c r="B2079" i="1" s="1"/>
  <c r="A2078" i="1"/>
  <c r="B2078" i="1" s="1"/>
  <c r="A2077" i="1"/>
  <c r="B2077" i="1" s="1"/>
  <c r="A2076" i="1"/>
  <c r="B2076" i="1" s="1"/>
  <c r="A2075" i="1"/>
  <c r="B2075" i="1" s="1"/>
  <c r="A2074" i="1"/>
  <c r="B2074" i="1" s="1"/>
  <c r="A2073" i="1"/>
  <c r="B2073" i="1" s="1"/>
  <c r="A2072" i="1"/>
  <c r="B2072" i="1" s="1"/>
  <c r="A2071" i="1"/>
  <c r="B2071" i="1" s="1"/>
  <c r="A2070" i="1"/>
  <c r="B2070" i="1" s="1"/>
  <c r="A2069" i="1"/>
  <c r="B2069" i="1" s="1"/>
  <c r="A2068" i="1"/>
  <c r="B2068" i="1" s="1"/>
  <c r="A2067" i="1"/>
  <c r="B2067" i="1" s="1"/>
  <c r="A2066" i="1"/>
  <c r="B2066" i="1" s="1"/>
  <c r="A2065" i="1"/>
  <c r="B2065" i="1" s="1"/>
  <c r="A2064" i="1"/>
  <c r="B2064" i="1" s="1"/>
  <c r="A2063" i="1"/>
  <c r="B2063" i="1" s="1"/>
  <c r="A2062" i="1"/>
  <c r="B2062" i="1" s="1"/>
  <c r="A2061" i="1"/>
  <c r="B2061" i="1" s="1"/>
  <c r="A2060" i="1"/>
  <c r="B2060" i="1" s="1"/>
  <c r="A2059" i="1"/>
  <c r="B2059" i="1" s="1"/>
  <c r="A2058" i="1"/>
  <c r="B2058" i="1" s="1"/>
  <c r="A2057" i="1"/>
  <c r="B2057" i="1" s="1"/>
  <c r="A2056" i="1"/>
  <c r="B2056" i="1" s="1"/>
  <c r="A2055" i="1"/>
  <c r="B2055" i="1" s="1"/>
  <c r="A2054" i="1"/>
  <c r="B2054" i="1" s="1"/>
  <c r="A2053" i="1"/>
  <c r="B2053" i="1" s="1"/>
  <c r="A2052" i="1"/>
  <c r="B2052" i="1" s="1"/>
  <c r="A2051" i="1"/>
  <c r="B2051" i="1" s="1"/>
  <c r="A2050" i="1"/>
  <c r="B2050" i="1" s="1"/>
  <c r="A2049" i="1"/>
  <c r="B2049" i="1" s="1"/>
  <c r="A2048" i="1"/>
  <c r="B2048" i="1" s="1"/>
  <c r="A2047" i="1"/>
  <c r="B2047" i="1" s="1"/>
  <c r="A2046" i="1"/>
  <c r="B2046" i="1" s="1"/>
  <c r="A2045" i="1"/>
  <c r="B2045" i="1" s="1"/>
  <c r="A2044" i="1"/>
  <c r="B2044" i="1" s="1"/>
  <c r="A2043" i="1"/>
  <c r="B2043" i="1" s="1"/>
  <c r="A2042" i="1"/>
  <c r="B2042" i="1" s="1"/>
  <c r="A2041" i="1"/>
  <c r="B2041" i="1" s="1"/>
  <c r="A2040" i="1"/>
  <c r="B2040" i="1" s="1"/>
  <c r="A2039" i="1"/>
  <c r="B2039" i="1" s="1"/>
  <c r="A2038" i="1"/>
  <c r="B2038" i="1" s="1"/>
  <c r="A2037" i="1"/>
  <c r="B2037" i="1" s="1"/>
  <c r="A2036" i="1"/>
  <c r="B2036" i="1" s="1"/>
  <c r="A2035" i="1"/>
  <c r="B2035" i="1" s="1"/>
  <c r="A2034" i="1"/>
  <c r="B2034" i="1" s="1"/>
  <c r="A2033" i="1"/>
  <c r="B2033" i="1" s="1"/>
  <c r="A2032" i="1"/>
  <c r="B2032" i="1" s="1"/>
  <c r="A2031" i="1"/>
  <c r="B2031" i="1" s="1"/>
  <c r="A2030" i="1"/>
  <c r="B2030" i="1" s="1"/>
  <c r="A2029" i="1"/>
  <c r="B2029" i="1" s="1"/>
  <c r="A2028" i="1"/>
  <c r="B2028" i="1" s="1"/>
  <c r="A2027" i="1"/>
  <c r="B2027" i="1" s="1"/>
  <c r="A2026" i="1"/>
  <c r="B2026" i="1" s="1"/>
  <c r="A2025" i="1"/>
  <c r="B2025" i="1" s="1"/>
  <c r="A2024" i="1"/>
  <c r="B2024" i="1" s="1"/>
  <c r="A2023" i="1"/>
  <c r="B2023" i="1" s="1"/>
  <c r="B2022" i="1"/>
  <c r="A2022" i="1"/>
  <c r="A2021" i="1"/>
  <c r="B2021" i="1" s="1"/>
  <c r="A2020" i="1"/>
  <c r="B2020" i="1" s="1"/>
  <c r="A2019" i="1"/>
  <c r="B2019" i="1" s="1"/>
  <c r="A2018" i="1"/>
  <c r="B2018" i="1" s="1"/>
  <c r="A2017" i="1"/>
  <c r="B2017" i="1" s="1"/>
  <c r="A2016" i="1"/>
  <c r="B2016" i="1" s="1"/>
  <c r="A2015" i="1"/>
  <c r="B2015" i="1" s="1"/>
  <c r="B2014" i="1"/>
  <c r="A2014" i="1"/>
  <c r="A2013" i="1"/>
  <c r="B2013" i="1" s="1"/>
  <c r="A2012" i="1"/>
  <c r="B2012" i="1" s="1"/>
  <c r="A2011" i="1"/>
  <c r="B2011" i="1" s="1"/>
  <c r="A2010" i="1"/>
  <c r="B2010" i="1" s="1"/>
  <c r="A2009" i="1"/>
  <c r="B2009" i="1" s="1"/>
  <c r="A2008" i="1"/>
  <c r="B2008" i="1" s="1"/>
  <c r="A2007" i="1"/>
  <c r="B2007" i="1" s="1"/>
  <c r="A2006" i="1"/>
  <c r="B2006" i="1" s="1"/>
  <c r="A2005" i="1"/>
  <c r="B2005" i="1" s="1"/>
  <c r="A2004" i="1"/>
  <c r="B2004" i="1" s="1"/>
  <c r="A2003" i="1"/>
  <c r="B2003" i="1" s="1"/>
  <c r="A2002" i="1"/>
  <c r="B2002" i="1" s="1"/>
  <c r="A2001" i="1"/>
  <c r="B2001" i="1" s="1"/>
  <c r="A2000" i="1"/>
  <c r="B2000" i="1" s="1"/>
  <c r="A1999" i="1"/>
  <c r="B1999" i="1" s="1"/>
  <c r="A1998" i="1"/>
  <c r="B1998" i="1" s="1"/>
  <c r="A1997" i="1"/>
  <c r="B1997" i="1" s="1"/>
  <c r="A1996" i="1"/>
  <c r="B1996" i="1" s="1"/>
  <c r="A1995" i="1"/>
  <c r="B1995" i="1" s="1"/>
  <c r="A1994" i="1"/>
  <c r="B1994" i="1" s="1"/>
  <c r="A1993" i="1"/>
  <c r="B1993" i="1" s="1"/>
  <c r="A1992" i="1"/>
  <c r="B1992" i="1" s="1"/>
  <c r="A1991" i="1"/>
  <c r="B1991" i="1" s="1"/>
  <c r="A1990" i="1"/>
  <c r="B1990" i="1" s="1"/>
  <c r="A1989" i="1"/>
  <c r="B1989" i="1" s="1"/>
  <c r="A1988" i="1"/>
  <c r="B1988" i="1" s="1"/>
  <c r="A1987" i="1"/>
  <c r="B1987" i="1" s="1"/>
  <c r="A1986" i="1"/>
  <c r="B1986" i="1" s="1"/>
  <c r="A1985" i="1"/>
  <c r="B1985" i="1" s="1"/>
  <c r="A1984" i="1"/>
  <c r="B1984" i="1" s="1"/>
  <c r="A1983" i="1"/>
  <c r="B1983" i="1" s="1"/>
  <c r="A1982" i="1"/>
  <c r="B1982" i="1" s="1"/>
  <c r="B1981" i="1"/>
  <c r="A1981" i="1"/>
  <c r="A1980" i="1"/>
  <c r="B1980" i="1" s="1"/>
  <c r="A1979" i="1"/>
  <c r="B1979" i="1" s="1"/>
  <c r="A1978" i="1"/>
  <c r="B1978" i="1" s="1"/>
  <c r="A1977" i="1"/>
  <c r="B1977" i="1" s="1"/>
  <c r="A1976" i="1"/>
  <c r="B1976" i="1" s="1"/>
  <c r="A1975" i="1"/>
  <c r="B1975" i="1" s="1"/>
  <c r="A1974" i="1"/>
  <c r="B1974" i="1" s="1"/>
  <c r="A1973" i="1"/>
  <c r="B1973" i="1" s="1"/>
  <c r="A1972" i="1"/>
  <c r="B1972" i="1" s="1"/>
  <c r="A1971" i="1"/>
  <c r="B1971" i="1" s="1"/>
  <c r="A1970" i="1"/>
  <c r="B1970" i="1" s="1"/>
  <c r="A1969" i="1"/>
  <c r="B1969" i="1" s="1"/>
  <c r="A1968" i="1"/>
  <c r="B1968" i="1" s="1"/>
  <c r="A1967" i="1"/>
  <c r="B1967" i="1" s="1"/>
  <c r="A1966" i="1"/>
  <c r="B1966" i="1" s="1"/>
  <c r="A1965" i="1"/>
  <c r="B1965" i="1" s="1"/>
  <c r="A1964" i="1"/>
  <c r="B1964" i="1" s="1"/>
  <c r="A1963" i="1"/>
  <c r="B1963" i="1" s="1"/>
  <c r="A1962" i="1"/>
  <c r="B1962" i="1" s="1"/>
  <c r="A1961" i="1"/>
  <c r="B1961" i="1" s="1"/>
  <c r="A1960" i="1"/>
  <c r="B1960" i="1" s="1"/>
  <c r="A1959" i="1"/>
  <c r="B1959" i="1" s="1"/>
  <c r="A1958" i="1"/>
  <c r="B1958" i="1" s="1"/>
  <c r="A1957" i="1"/>
  <c r="B1957" i="1" s="1"/>
  <c r="A1956" i="1"/>
  <c r="B1956" i="1" s="1"/>
  <c r="A1955" i="1"/>
  <c r="B1955" i="1" s="1"/>
  <c r="A1954" i="1"/>
  <c r="B1954" i="1" s="1"/>
  <c r="A1953" i="1"/>
  <c r="B1953" i="1" s="1"/>
  <c r="A1952" i="1"/>
  <c r="B1952" i="1" s="1"/>
  <c r="A1951" i="1"/>
  <c r="B1951" i="1" s="1"/>
  <c r="A1950" i="1"/>
  <c r="B1950" i="1" s="1"/>
  <c r="A1949" i="1"/>
  <c r="B1949" i="1" s="1"/>
  <c r="A1948" i="1"/>
  <c r="B1948" i="1" s="1"/>
  <c r="A1947" i="1"/>
  <c r="B1947" i="1" s="1"/>
  <c r="A1946" i="1"/>
  <c r="B1946" i="1" s="1"/>
  <c r="A1945" i="1"/>
  <c r="B1945" i="1" s="1"/>
  <c r="A1944" i="1"/>
  <c r="B1944" i="1" s="1"/>
  <c r="A1943" i="1"/>
  <c r="B1943" i="1" s="1"/>
  <c r="A1942" i="1"/>
  <c r="B1942" i="1" s="1"/>
  <c r="A1941" i="1"/>
  <c r="B1941" i="1" s="1"/>
  <c r="A1940" i="1"/>
  <c r="B1940" i="1" s="1"/>
  <c r="A1939" i="1"/>
  <c r="B1939" i="1" s="1"/>
  <c r="A1938" i="1"/>
  <c r="B1938" i="1" s="1"/>
  <c r="A1937" i="1"/>
  <c r="B1937" i="1" s="1"/>
  <c r="A1936" i="1"/>
  <c r="B1936" i="1" s="1"/>
  <c r="A1935" i="1"/>
  <c r="B1935" i="1" s="1"/>
  <c r="A1934" i="1"/>
  <c r="B1934" i="1" s="1"/>
  <c r="A1933" i="1"/>
  <c r="B1933" i="1" s="1"/>
  <c r="A1932" i="1"/>
  <c r="B1932" i="1" s="1"/>
  <c r="A1931" i="1"/>
  <c r="B1931" i="1" s="1"/>
  <c r="A1930" i="1"/>
  <c r="B1930" i="1" s="1"/>
  <c r="A1929" i="1"/>
  <c r="B1929" i="1" s="1"/>
  <c r="A1928" i="1"/>
  <c r="B1928" i="1" s="1"/>
  <c r="A1927" i="1"/>
  <c r="B1927" i="1" s="1"/>
  <c r="A1926" i="1"/>
  <c r="B1926" i="1" s="1"/>
  <c r="A1925" i="1"/>
  <c r="B1925" i="1" s="1"/>
  <c r="A1924" i="1"/>
  <c r="B1924" i="1" s="1"/>
  <c r="A1923" i="1"/>
  <c r="B1923" i="1" s="1"/>
  <c r="A1922" i="1"/>
  <c r="B1922" i="1" s="1"/>
  <c r="A1921" i="1"/>
  <c r="B1921" i="1" s="1"/>
  <c r="A1920" i="1"/>
  <c r="B1920" i="1" s="1"/>
  <c r="A1919" i="1"/>
  <c r="B1919" i="1" s="1"/>
  <c r="A1918" i="1"/>
  <c r="B1918" i="1" s="1"/>
  <c r="A1917" i="1"/>
  <c r="B1917" i="1" s="1"/>
  <c r="A1916" i="1"/>
  <c r="B1916" i="1" s="1"/>
  <c r="A1915" i="1"/>
  <c r="B1915" i="1" s="1"/>
  <c r="A1914" i="1"/>
  <c r="B1914" i="1" s="1"/>
  <c r="A1913" i="1"/>
  <c r="B1913" i="1" s="1"/>
  <c r="A1912" i="1"/>
  <c r="B1912" i="1" s="1"/>
  <c r="A1911" i="1"/>
  <c r="B1911" i="1" s="1"/>
  <c r="A1910" i="1"/>
  <c r="B1910" i="1" s="1"/>
  <c r="A1909" i="1"/>
  <c r="B1909" i="1" s="1"/>
  <c r="A1908" i="1"/>
  <c r="B1908" i="1" s="1"/>
  <c r="A1907" i="1"/>
  <c r="B1907" i="1" s="1"/>
  <c r="A1906" i="1"/>
  <c r="B1906" i="1" s="1"/>
  <c r="A1905" i="1"/>
  <c r="B1905" i="1" s="1"/>
  <c r="A1904" i="1"/>
  <c r="B1904" i="1" s="1"/>
  <c r="A1903" i="1"/>
  <c r="B1903" i="1" s="1"/>
  <c r="A1902" i="1"/>
  <c r="B1902" i="1" s="1"/>
  <c r="A1901" i="1"/>
  <c r="B1901" i="1" s="1"/>
  <c r="A1900" i="1"/>
  <c r="B1900" i="1" s="1"/>
  <c r="A1899" i="1"/>
  <c r="B1899" i="1" s="1"/>
  <c r="A1898" i="1"/>
  <c r="B1898" i="1" s="1"/>
  <c r="A1897" i="1"/>
  <c r="B1897" i="1" s="1"/>
  <c r="A1896" i="1"/>
  <c r="B1896" i="1" s="1"/>
  <c r="A1895" i="1"/>
  <c r="B1895" i="1" s="1"/>
  <c r="A1894" i="1"/>
  <c r="B1894" i="1" s="1"/>
  <c r="A1893" i="1"/>
  <c r="B1893" i="1" s="1"/>
  <c r="A1892" i="1"/>
  <c r="B1892" i="1" s="1"/>
  <c r="A1891" i="1"/>
  <c r="B1891" i="1" s="1"/>
  <c r="A1890" i="1"/>
  <c r="B1890" i="1" s="1"/>
  <c r="A1889" i="1"/>
  <c r="B1889" i="1" s="1"/>
  <c r="A1888" i="1"/>
  <c r="B1888" i="1" s="1"/>
  <c r="A1887" i="1"/>
  <c r="B1887" i="1" s="1"/>
  <c r="A1886" i="1"/>
  <c r="B1886" i="1" s="1"/>
  <c r="A1885" i="1"/>
  <c r="B1885" i="1" s="1"/>
  <c r="A1884" i="1"/>
  <c r="B1884" i="1" s="1"/>
  <c r="A1883" i="1"/>
  <c r="B1883" i="1" s="1"/>
  <c r="A1882" i="1"/>
  <c r="B1882" i="1" s="1"/>
  <c r="A1881" i="1"/>
  <c r="B1881" i="1" s="1"/>
  <c r="A1880" i="1"/>
  <c r="B1880" i="1" s="1"/>
  <c r="A1879" i="1"/>
  <c r="B1879" i="1" s="1"/>
  <c r="A1878" i="1"/>
  <c r="B1878" i="1" s="1"/>
  <c r="A1877" i="1"/>
  <c r="B1877" i="1" s="1"/>
  <c r="A1876" i="1"/>
  <c r="B1876" i="1" s="1"/>
  <c r="A1875" i="1"/>
  <c r="B1875" i="1" s="1"/>
  <c r="A1874" i="1"/>
  <c r="B1874" i="1" s="1"/>
  <c r="A1873" i="1"/>
  <c r="B1873" i="1" s="1"/>
  <c r="A1872" i="1"/>
  <c r="B1872" i="1" s="1"/>
  <c r="A1871" i="1"/>
  <c r="B1871" i="1" s="1"/>
  <c r="A1870" i="1"/>
  <c r="B1870" i="1" s="1"/>
  <c r="A1869" i="1"/>
  <c r="B1869" i="1" s="1"/>
  <c r="A1868" i="1"/>
  <c r="B1868" i="1" s="1"/>
  <c r="A1867" i="1"/>
  <c r="B1867" i="1" s="1"/>
  <c r="A1866" i="1"/>
  <c r="B1866" i="1" s="1"/>
  <c r="A1865" i="1"/>
  <c r="B1865" i="1" s="1"/>
  <c r="A1864" i="1"/>
  <c r="B1864" i="1" s="1"/>
  <c r="A1863" i="1"/>
  <c r="B1863" i="1" s="1"/>
  <c r="A1862" i="1"/>
  <c r="B1862" i="1" s="1"/>
  <c r="A1861" i="1"/>
  <c r="B1861" i="1" s="1"/>
  <c r="A1860" i="1"/>
  <c r="B1860" i="1" s="1"/>
  <c r="A1859" i="1"/>
  <c r="B1859" i="1" s="1"/>
  <c r="A1858" i="1"/>
  <c r="B1858" i="1" s="1"/>
  <c r="A1857" i="1"/>
  <c r="B1857" i="1" s="1"/>
  <c r="A1856" i="1"/>
  <c r="B1856" i="1" s="1"/>
  <c r="A1855" i="1"/>
  <c r="B1855" i="1" s="1"/>
  <c r="A1854" i="1"/>
  <c r="B1854" i="1" s="1"/>
  <c r="A1853" i="1"/>
  <c r="B1853" i="1" s="1"/>
  <c r="A1852" i="1"/>
  <c r="B1852" i="1" s="1"/>
  <c r="A1851" i="1"/>
  <c r="B1851" i="1" s="1"/>
  <c r="A1850" i="1"/>
  <c r="B1850" i="1" s="1"/>
  <c r="A1849" i="1"/>
  <c r="B1849" i="1" s="1"/>
  <c r="A1848" i="1"/>
  <c r="B1848" i="1" s="1"/>
  <c r="A1847" i="1"/>
  <c r="B1847" i="1" s="1"/>
  <c r="A1846" i="1"/>
  <c r="B1846" i="1" s="1"/>
  <c r="A1845" i="1"/>
  <c r="B1845" i="1" s="1"/>
  <c r="A1844" i="1"/>
  <c r="B1844" i="1" s="1"/>
  <c r="A1843" i="1"/>
  <c r="B1843" i="1" s="1"/>
  <c r="A1842" i="1"/>
  <c r="B1842" i="1" s="1"/>
  <c r="A1841" i="1"/>
  <c r="B1841" i="1" s="1"/>
  <c r="A1840" i="1"/>
  <c r="B1840" i="1" s="1"/>
  <c r="A1839" i="1"/>
  <c r="B1839" i="1" s="1"/>
  <c r="A1838" i="1"/>
  <c r="B1838" i="1" s="1"/>
  <c r="A1837" i="1"/>
  <c r="B1837" i="1" s="1"/>
  <c r="A1836" i="1"/>
  <c r="B1836" i="1" s="1"/>
  <c r="A1835" i="1"/>
  <c r="B1835" i="1" s="1"/>
  <c r="A1834" i="1"/>
  <c r="B1834" i="1" s="1"/>
  <c r="A1833" i="1"/>
  <c r="B1833" i="1" s="1"/>
  <c r="A1832" i="1"/>
  <c r="B1832" i="1" s="1"/>
  <c r="A1831" i="1"/>
  <c r="B1831" i="1" s="1"/>
  <c r="A1830" i="1"/>
  <c r="B1830" i="1" s="1"/>
  <c r="A1829" i="1"/>
  <c r="B1829" i="1" s="1"/>
  <c r="B1828" i="1"/>
  <c r="A1828" i="1"/>
  <c r="A1827" i="1"/>
  <c r="B1827" i="1" s="1"/>
  <c r="A1826" i="1"/>
  <c r="B1826" i="1" s="1"/>
  <c r="A1825" i="1"/>
  <c r="B1825" i="1" s="1"/>
  <c r="A1824" i="1"/>
  <c r="B1824" i="1" s="1"/>
  <c r="A1823" i="1"/>
  <c r="B1823" i="1" s="1"/>
  <c r="A1822" i="1"/>
  <c r="B1822" i="1" s="1"/>
  <c r="A1821" i="1"/>
  <c r="B1821" i="1" s="1"/>
  <c r="A1820" i="1"/>
  <c r="B1820" i="1" s="1"/>
  <c r="A1819" i="1"/>
  <c r="B1819" i="1" s="1"/>
  <c r="A1818" i="1"/>
  <c r="B1818" i="1" s="1"/>
  <c r="A1817" i="1"/>
  <c r="B1817" i="1" s="1"/>
  <c r="A1816" i="1"/>
  <c r="B1816" i="1" s="1"/>
  <c r="A1815" i="1"/>
  <c r="B1815" i="1" s="1"/>
  <c r="A1814" i="1"/>
  <c r="B1814" i="1" s="1"/>
  <c r="A1813" i="1"/>
  <c r="B1813" i="1" s="1"/>
  <c r="A1812" i="1"/>
  <c r="B1812" i="1" s="1"/>
  <c r="A1811" i="1"/>
  <c r="B1811" i="1" s="1"/>
  <c r="A1810" i="1"/>
  <c r="B1810" i="1" s="1"/>
  <c r="A1809" i="1"/>
  <c r="B1809" i="1" s="1"/>
  <c r="A1808" i="1"/>
  <c r="B1808" i="1" s="1"/>
  <c r="A1807" i="1"/>
  <c r="B1807" i="1" s="1"/>
  <c r="A1806" i="1"/>
  <c r="B1806" i="1" s="1"/>
  <c r="A1805" i="1"/>
  <c r="B1805" i="1" s="1"/>
  <c r="A1804" i="1"/>
  <c r="B1804" i="1" s="1"/>
  <c r="A1803" i="1"/>
  <c r="B1803" i="1" s="1"/>
  <c r="A1802" i="1"/>
  <c r="B1802" i="1" s="1"/>
  <c r="A1801" i="1"/>
  <c r="B1801" i="1" s="1"/>
  <c r="A1800" i="1"/>
  <c r="B1800" i="1" s="1"/>
  <c r="A1799" i="1"/>
  <c r="B1799" i="1" s="1"/>
  <c r="A1798" i="1"/>
  <c r="B1798" i="1" s="1"/>
  <c r="A1797" i="1"/>
  <c r="B1797" i="1" s="1"/>
  <c r="A1796" i="1"/>
  <c r="B1796" i="1" s="1"/>
  <c r="A1795" i="1"/>
  <c r="B1795" i="1" s="1"/>
  <c r="A1794" i="1"/>
  <c r="B1794" i="1" s="1"/>
  <c r="A1793" i="1"/>
  <c r="B1793" i="1" s="1"/>
  <c r="A1792" i="1"/>
  <c r="B1792" i="1" s="1"/>
  <c r="A1791" i="1"/>
  <c r="B1791" i="1" s="1"/>
  <c r="A1790" i="1"/>
  <c r="B1790" i="1" s="1"/>
  <c r="A1789" i="1"/>
  <c r="B1789" i="1" s="1"/>
  <c r="A1788" i="1"/>
  <c r="B1788" i="1" s="1"/>
  <c r="A1787" i="1"/>
  <c r="B1787" i="1" s="1"/>
  <c r="A1786" i="1"/>
  <c r="B1786" i="1" s="1"/>
  <c r="A1785" i="1"/>
  <c r="B1785" i="1" s="1"/>
  <c r="A1784" i="1"/>
  <c r="B1784" i="1" s="1"/>
  <c r="A1783" i="1"/>
  <c r="B1783" i="1" s="1"/>
  <c r="A1782" i="1"/>
  <c r="B1782" i="1" s="1"/>
  <c r="A1781" i="1"/>
  <c r="B1781" i="1" s="1"/>
  <c r="A1780" i="1"/>
  <c r="B1780" i="1" s="1"/>
  <c r="A1779" i="1"/>
  <c r="B1779" i="1" s="1"/>
  <c r="A1778" i="1"/>
  <c r="B1778" i="1" s="1"/>
  <c r="A1777" i="1"/>
  <c r="B1777" i="1" s="1"/>
  <c r="A1776" i="1"/>
  <c r="B1776" i="1" s="1"/>
  <c r="A1775" i="1"/>
  <c r="B1775" i="1" s="1"/>
  <c r="A1774" i="1"/>
  <c r="B1774" i="1" s="1"/>
  <c r="A1773" i="1"/>
  <c r="B1773" i="1" s="1"/>
  <c r="A1772" i="1"/>
  <c r="B1772" i="1" s="1"/>
  <c r="A1771" i="1"/>
  <c r="B1771" i="1" s="1"/>
  <c r="A1770" i="1"/>
  <c r="B1770" i="1" s="1"/>
  <c r="A1769" i="1"/>
  <c r="B1769" i="1" s="1"/>
  <c r="A1768" i="1"/>
  <c r="B1768" i="1" s="1"/>
  <c r="A1767" i="1"/>
  <c r="B1767" i="1" s="1"/>
  <c r="A1766" i="1"/>
  <c r="B1766" i="1" s="1"/>
  <c r="A1765" i="1"/>
  <c r="B1765" i="1" s="1"/>
  <c r="A1764" i="1"/>
  <c r="B1764" i="1" s="1"/>
  <c r="A1763" i="1"/>
  <c r="B1763" i="1" s="1"/>
  <c r="A1762" i="1"/>
  <c r="B1762" i="1" s="1"/>
  <c r="A1761" i="1"/>
  <c r="B1761" i="1" s="1"/>
  <c r="A1760" i="1"/>
  <c r="B1760" i="1" s="1"/>
  <c r="B1759" i="1"/>
  <c r="A1759" i="1"/>
  <c r="A1758" i="1"/>
  <c r="B1758" i="1" s="1"/>
  <c r="A1757" i="1"/>
  <c r="B1757" i="1" s="1"/>
  <c r="A1756" i="1"/>
  <c r="B1756" i="1" s="1"/>
  <c r="A1755" i="1"/>
  <c r="B1755" i="1" s="1"/>
  <c r="A1754" i="1"/>
  <c r="B1754" i="1" s="1"/>
  <c r="A1753" i="1"/>
  <c r="B1753" i="1" s="1"/>
  <c r="A1752" i="1"/>
  <c r="B1752" i="1" s="1"/>
  <c r="B1751" i="1"/>
  <c r="A1751" i="1"/>
  <c r="A1750" i="1"/>
  <c r="B1750" i="1" s="1"/>
  <c r="A1749" i="1"/>
  <c r="B1749" i="1" s="1"/>
  <c r="A1748" i="1"/>
  <c r="B1748" i="1" s="1"/>
  <c r="A1747" i="1"/>
  <c r="B1747" i="1" s="1"/>
  <c r="A1746" i="1"/>
  <c r="B1746" i="1" s="1"/>
  <c r="A1745" i="1"/>
  <c r="B1745" i="1" s="1"/>
  <c r="A1744" i="1"/>
  <c r="B1744" i="1" s="1"/>
  <c r="A1743" i="1"/>
  <c r="B1743" i="1" s="1"/>
  <c r="A1742" i="1"/>
  <c r="B1742" i="1" s="1"/>
  <c r="A1741" i="1"/>
  <c r="B1741" i="1" s="1"/>
  <c r="A1740" i="1"/>
  <c r="B1740" i="1" s="1"/>
  <c r="A1739" i="1"/>
  <c r="B1739" i="1" s="1"/>
  <c r="A1738" i="1"/>
  <c r="B1738" i="1" s="1"/>
  <c r="A1737" i="1"/>
  <c r="B1737" i="1" s="1"/>
  <c r="A1736" i="1"/>
  <c r="B1736" i="1" s="1"/>
  <c r="A1735" i="1"/>
  <c r="B1735" i="1" s="1"/>
  <c r="A1734" i="1"/>
  <c r="B1734" i="1" s="1"/>
  <c r="A1733" i="1"/>
  <c r="B1733" i="1" s="1"/>
  <c r="A1732" i="1"/>
  <c r="B1732" i="1" s="1"/>
  <c r="A1731" i="1"/>
  <c r="B1731" i="1" s="1"/>
  <c r="A1730" i="1"/>
  <c r="B1730" i="1" s="1"/>
  <c r="A1729" i="1"/>
  <c r="B1729" i="1" s="1"/>
  <c r="A1728" i="1"/>
  <c r="B1728" i="1" s="1"/>
  <c r="A1727" i="1"/>
  <c r="B1727" i="1" s="1"/>
  <c r="A1726" i="1"/>
  <c r="B1726" i="1" s="1"/>
  <c r="A1725" i="1"/>
  <c r="B1725" i="1" s="1"/>
  <c r="A1724" i="1"/>
  <c r="B1724" i="1" s="1"/>
  <c r="A1723" i="1"/>
  <c r="B1723" i="1" s="1"/>
  <c r="A1722" i="1"/>
  <c r="B1722" i="1" s="1"/>
  <c r="A1721" i="1"/>
  <c r="B1721" i="1" s="1"/>
  <c r="A1720" i="1"/>
  <c r="B1720" i="1" s="1"/>
  <c r="A1719" i="1"/>
  <c r="B1719" i="1" s="1"/>
  <c r="A1718" i="1"/>
  <c r="B1718" i="1" s="1"/>
  <c r="A1717" i="1"/>
  <c r="B1717" i="1" s="1"/>
  <c r="A1716" i="1"/>
  <c r="B1716" i="1" s="1"/>
  <c r="A1715" i="1"/>
  <c r="B1715" i="1" s="1"/>
  <c r="A1714" i="1"/>
  <c r="B1714" i="1" s="1"/>
  <c r="A1713" i="1"/>
  <c r="B1713" i="1" s="1"/>
  <c r="A1712" i="1"/>
  <c r="B1712" i="1" s="1"/>
  <c r="A1711" i="1"/>
  <c r="B1711" i="1" s="1"/>
  <c r="A1710" i="1"/>
  <c r="B1710" i="1" s="1"/>
  <c r="A1709" i="1"/>
  <c r="B1709" i="1" s="1"/>
  <c r="A1708" i="1"/>
  <c r="B1708" i="1" s="1"/>
  <c r="A1707" i="1"/>
  <c r="B1707" i="1" s="1"/>
  <c r="A1706" i="1"/>
  <c r="B1706" i="1" s="1"/>
  <c r="A1705" i="1"/>
  <c r="B1705" i="1" s="1"/>
  <c r="A1704" i="1"/>
  <c r="B1704" i="1" s="1"/>
  <c r="A1703" i="1"/>
  <c r="B1703" i="1" s="1"/>
  <c r="A1702" i="1"/>
  <c r="B1702" i="1" s="1"/>
  <c r="A1701" i="1"/>
  <c r="B1701" i="1" s="1"/>
  <c r="A1700" i="1"/>
  <c r="B1700" i="1" s="1"/>
  <c r="A1699" i="1"/>
  <c r="B1699" i="1" s="1"/>
  <c r="A1698" i="1"/>
  <c r="B1698" i="1" s="1"/>
  <c r="A1697" i="1"/>
  <c r="B1697" i="1" s="1"/>
  <c r="A1696" i="1"/>
  <c r="B1696" i="1" s="1"/>
  <c r="A1695" i="1"/>
  <c r="B1695" i="1" s="1"/>
  <c r="A1694" i="1"/>
  <c r="B1694" i="1" s="1"/>
  <c r="A1693" i="1"/>
  <c r="B1693" i="1" s="1"/>
  <c r="A1692" i="1"/>
  <c r="B1692" i="1" s="1"/>
  <c r="A1691" i="1"/>
  <c r="B1691" i="1" s="1"/>
  <c r="A1690" i="1"/>
  <c r="B1690" i="1" s="1"/>
  <c r="A1689" i="1"/>
  <c r="B1689" i="1" s="1"/>
  <c r="A1688" i="1"/>
  <c r="B1688" i="1" s="1"/>
  <c r="A1687" i="1"/>
  <c r="B1687" i="1" s="1"/>
  <c r="A1686" i="1"/>
  <c r="B1686" i="1" s="1"/>
  <c r="A1685" i="1"/>
  <c r="B1685" i="1" s="1"/>
  <c r="A1684" i="1"/>
  <c r="B1684" i="1" s="1"/>
  <c r="A1683" i="1"/>
  <c r="B1683" i="1" s="1"/>
  <c r="A1682" i="1"/>
  <c r="B1682" i="1" s="1"/>
  <c r="A1681" i="1"/>
  <c r="B1681" i="1" s="1"/>
  <c r="A1680" i="1"/>
  <c r="B1680" i="1" s="1"/>
  <c r="A1679" i="1"/>
  <c r="B1679" i="1" s="1"/>
  <c r="A1678" i="1"/>
  <c r="B1678" i="1" s="1"/>
  <c r="A1677" i="1"/>
  <c r="B1677" i="1" s="1"/>
  <c r="A1676" i="1"/>
  <c r="B1676" i="1" s="1"/>
  <c r="A1675" i="1"/>
  <c r="B1675" i="1" s="1"/>
  <c r="A1674" i="1"/>
  <c r="B1674" i="1" s="1"/>
  <c r="A1673" i="1"/>
  <c r="B1673" i="1" s="1"/>
  <c r="A1672" i="1"/>
  <c r="B1672" i="1" s="1"/>
  <c r="A1671" i="1"/>
  <c r="B1671" i="1" s="1"/>
  <c r="A1670" i="1"/>
  <c r="B1670" i="1" s="1"/>
  <c r="A1669" i="1"/>
  <c r="B1669" i="1" s="1"/>
  <c r="A1668" i="1"/>
  <c r="B1668" i="1" s="1"/>
  <c r="A1667" i="1"/>
  <c r="B1667" i="1" s="1"/>
  <c r="A1666" i="1"/>
  <c r="B1666" i="1" s="1"/>
  <c r="A1665" i="1"/>
  <c r="B1665" i="1" s="1"/>
  <c r="A1664" i="1"/>
  <c r="B1664" i="1" s="1"/>
  <c r="A1663" i="1"/>
  <c r="B1663" i="1" s="1"/>
  <c r="A1662" i="1"/>
  <c r="B1662" i="1" s="1"/>
  <c r="A1661" i="1"/>
  <c r="B1661" i="1" s="1"/>
  <c r="A1660" i="1"/>
  <c r="B1660" i="1" s="1"/>
  <c r="A1659" i="1"/>
  <c r="B1659" i="1" s="1"/>
  <c r="A1658" i="1"/>
  <c r="B1658" i="1" s="1"/>
  <c r="A1657" i="1"/>
  <c r="B1657" i="1" s="1"/>
  <c r="A1656" i="1"/>
  <c r="B1656" i="1" s="1"/>
  <c r="A1655" i="1"/>
  <c r="B1655" i="1" s="1"/>
  <c r="A1654" i="1"/>
  <c r="B1654" i="1" s="1"/>
  <c r="A1653" i="1"/>
  <c r="B1653" i="1" s="1"/>
  <c r="A1652" i="1"/>
  <c r="B1652" i="1" s="1"/>
  <c r="A1651" i="1"/>
  <c r="B1651" i="1" s="1"/>
  <c r="A1650" i="1"/>
  <c r="B1650" i="1" s="1"/>
  <c r="A1649" i="1"/>
  <c r="B1649" i="1" s="1"/>
  <c r="A1648" i="1"/>
  <c r="B1648" i="1" s="1"/>
  <c r="A1647" i="1"/>
  <c r="B1647" i="1" s="1"/>
  <c r="A1646" i="1"/>
  <c r="B1646" i="1" s="1"/>
  <c r="A1645" i="1"/>
  <c r="B1645" i="1" s="1"/>
  <c r="A1644" i="1"/>
  <c r="B1644" i="1" s="1"/>
  <c r="A1643" i="1"/>
  <c r="B1643" i="1" s="1"/>
  <c r="A1642" i="1"/>
  <c r="B1642" i="1" s="1"/>
  <c r="A1641" i="1"/>
  <c r="B1641" i="1" s="1"/>
  <c r="A1640" i="1"/>
  <c r="B1640" i="1" s="1"/>
  <c r="A1639" i="1"/>
  <c r="B1639" i="1" s="1"/>
  <c r="A1638" i="1"/>
  <c r="B1638" i="1" s="1"/>
  <c r="A1637" i="1"/>
  <c r="B1637" i="1" s="1"/>
  <c r="A1636" i="1"/>
  <c r="B1636" i="1" s="1"/>
  <c r="A1635" i="1"/>
  <c r="B1635" i="1" s="1"/>
  <c r="A1634" i="1"/>
  <c r="B1634" i="1" s="1"/>
  <c r="A1633" i="1"/>
  <c r="B1633" i="1" s="1"/>
  <c r="A1632" i="1"/>
  <c r="B1632" i="1" s="1"/>
  <c r="A1631" i="1"/>
  <c r="B1631" i="1" s="1"/>
  <c r="A1630" i="1"/>
  <c r="B1630" i="1" s="1"/>
  <c r="A1629" i="1"/>
  <c r="B1629" i="1" s="1"/>
  <c r="A1628" i="1"/>
  <c r="B1628" i="1" s="1"/>
  <c r="A1627" i="1"/>
  <c r="B1627" i="1" s="1"/>
  <c r="A1626" i="1"/>
  <c r="B1626" i="1" s="1"/>
  <c r="A1625" i="1"/>
  <c r="B1625" i="1" s="1"/>
  <c r="A1624" i="1"/>
  <c r="B1624" i="1" s="1"/>
  <c r="A1623" i="1"/>
  <c r="B1623" i="1" s="1"/>
  <c r="A1622" i="1"/>
  <c r="B1622" i="1" s="1"/>
  <c r="A1621" i="1"/>
  <c r="B1621" i="1" s="1"/>
  <c r="A1620" i="1"/>
  <c r="B1620" i="1" s="1"/>
  <c r="A1619" i="1"/>
  <c r="B1619" i="1" s="1"/>
  <c r="A1618" i="1"/>
  <c r="B1618" i="1" s="1"/>
  <c r="A1617" i="1"/>
  <c r="B1617" i="1" s="1"/>
  <c r="B1616" i="1"/>
  <c r="A1616" i="1"/>
  <c r="A1615" i="1"/>
  <c r="B1615" i="1" s="1"/>
  <c r="A1614" i="1"/>
  <c r="B1614" i="1" s="1"/>
  <c r="A1613" i="1"/>
  <c r="B1613" i="1" s="1"/>
  <c r="A1612" i="1"/>
  <c r="B1612" i="1" s="1"/>
  <c r="A1611" i="1"/>
  <c r="B1611" i="1" s="1"/>
  <c r="A1610" i="1"/>
  <c r="B1610" i="1" s="1"/>
  <c r="A1609" i="1"/>
  <c r="B1609" i="1" s="1"/>
  <c r="A1608" i="1"/>
  <c r="B1608" i="1" s="1"/>
  <c r="A1607" i="1"/>
  <c r="B1607" i="1" s="1"/>
  <c r="A1606" i="1"/>
  <c r="B1606" i="1" s="1"/>
  <c r="B1605" i="1"/>
  <c r="A1605" i="1"/>
  <c r="A1604" i="1"/>
  <c r="B1604" i="1" s="1"/>
  <c r="A1603" i="1"/>
  <c r="B1603" i="1" s="1"/>
  <c r="A1602" i="1"/>
  <c r="B1602" i="1" s="1"/>
  <c r="A1601" i="1"/>
  <c r="B1601" i="1" s="1"/>
  <c r="A1600" i="1"/>
  <c r="B1600" i="1" s="1"/>
  <c r="A1599" i="1"/>
  <c r="B1599" i="1" s="1"/>
  <c r="A1598" i="1"/>
  <c r="B1598" i="1" s="1"/>
  <c r="A1597" i="1"/>
  <c r="B1597" i="1" s="1"/>
  <c r="A1596" i="1"/>
  <c r="B1596" i="1" s="1"/>
  <c r="A1595" i="1"/>
  <c r="B1595" i="1" s="1"/>
  <c r="A1594" i="1"/>
  <c r="B1594" i="1" s="1"/>
  <c r="A1593" i="1"/>
  <c r="B1593" i="1" s="1"/>
  <c r="A1592" i="1"/>
  <c r="B1592" i="1" s="1"/>
  <c r="A1591" i="1"/>
  <c r="B1591" i="1" s="1"/>
  <c r="A1590" i="1"/>
  <c r="B1590" i="1" s="1"/>
  <c r="A1589" i="1"/>
  <c r="B1589" i="1" s="1"/>
  <c r="A1588" i="1"/>
  <c r="B1588" i="1" s="1"/>
  <c r="A1587" i="1"/>
  <c r="B1587" i="1" s="1"/>
  <c r="A1586" i="1"/>
  <c r="B1586" i="1" s="1"/>
  <c r="A1585" i="1"/>
  <c r="B1585" i="1" s="1"/>
  <c r="A1584" i="1"/>
  <c r="B1584" i="1" s="1"/>
  <c r="A1583" i="1"/>
  <c r="B1583" i="1" s="1"/>
  <c r="A1582" i="1"/>
  <c r="B1582" i="1" s="1"/>
  <c r="A1581" i="1"/>
  <c r="B1581" i="1" s="1"/>
  <c r="A1580" i="1"/>
  <c r="B1580" i="1" s="1"/>
  <c r="A1579" i="1"/>
  <c r="B1579" i="1" s="1"/>
  <c r="A1578" i="1"/>
  <c r="B1578" i="1" s="1"/>
  <c r="A1577" i="1"/>
  <c r="B1577" i="1" s="1"/>
  <c r="A1576" i="1"/>
  <c r="B1576" i="1" s="1"/>
  <c r="A1575" i="1"/>
  <c r="B1575" i="1" s="1"/>
  <c r="A1574" i="1"/>
  <c r="B1574" i="1" s="1"/>
  <c r="A1573" i="1"/>
  <c r="B1573" i="1" s="1"/>
  <c r="A1572" i="1"/>
  <c r="B1572" i="1" s="1"/>
  <c r="A1571" i="1"/>
  <c r="B1571" i="1" s="1"/>
  <c r="A1570" i="1"/>
  <c r="B1570" i="1" s="1"/>
  <c r="A1569" i="1"/>
  <c r="B1569" i="1" s="1"/>
  <c r="A1568" i="1"/>
  <c r="B1568" i="1" s="1"/>
  <c r="A1567" i="1"/>
  <c r="B1567" i="1" s="1"/>
  <c r="A1566" i="1"/>
  <c r="B1566" i="1" s="1"/>
  <c r="A1565" i="1"/>
  <c r="B1565" i="1" s="1"/>
  <c r="A1564" i="1"/>
  <c r="B1564" i="1" s="1"/>
  <c r="A1563" i="1"/>
  <c r="B1563" i="1" s="1"/>
  <c r="A1562" i="1"/>
  <c r="B1562" i="1" s="1"/>
  <c r="A1561" i="1"/>
  <c r="B1561" i="1" s="1"/>
  <c r="A1560" i="1"/>
  <c r="B1560" i="1" s="1"/>
  <c r="A1559" i="1"/>
  <c r="B1559" i="1" s="1"/>
  <c r="A1558" i="1"/>
  <c r="B1558" i="1" s="1"/>
  <c r="A1557" i="1"/>
  <c r="B1557" i="1" s="1"/>
  <c r="A1556" i="1"/>
  <c r="B1556" i="1" s="1"/>
  <c r="A1555" i="1"/>
  <c r="B1555" i="1" s="1"/>
  <c r="A1554" i="1"/>
  <c r="B1554" i="1" s="1"/>
  <c r="A1553" i="1"/>
  <c r="B1553" i="1" s="1"/>
  <c r="A1552" i="1"/>
  <c r="B1552" i="1" s="1"/>
  <c r="A1551" i="1"/>
  <c r="B1551" i="1" s="1"/>
  <c r="A1550" i="1"/>
  <c r="B1550" i="1" s="1"/>
  <c r="A1549" i="1"/>
  <c r="B1549" i="1" s="1"/>
  <c r="A1548" i="1"/>
  <c r="B1548" i="1" s="1"/>
  <c r="A1547" i="1"/>
  <c r="B1547" i="1" s="1"/>
  <c r="A1546" i="1"/>
  <c r="B1546" i="1" s="1"/>
  <c r="A1545" i="1"/>
  <c r="B1545" i="1" s="1"/>
  <c r="A1544" i="1"/>
  <c r="B1544" i="1" s="1"/>
  <c r="A1543" i="1"/>
  <c r="B1543" i="1" s="1"/>
  <c r="A1542" i="1"/>
  <c r="B1542" i="1" s="1"/>
  <c r="A1541" i="1"/>
  <c r="B1541" i="1" s="1"/>
  <c r="A1540" i="1"/>
  <c r="B1540" i="1" s="1"/>
  <c r="A1539" i="1"/>
  <c r="B1539" i="1" s="1"/>
  <c r="A1538" i="1"/>
  <c r="B1538" i="1" s="1"/>
  <c r="A1537" i="1"/>
  <c r="B1537" i="1" s="1"/>
  <c r="A1536" i="1"/>
  <c r="B1536" i="1" s="1"/>
  <c r="A1535" i="1"/>
  <c r="B1535" i="1" s="1"/>
  <c r="A1534" i="1"/>
  <c r="B1534" i="1" s="1"/>
  <c r="A1533" i="1"/>
  <c r="B1533" i="1" s="1"/>
  <c r="A1532" i="1"/>
  <c r="B1532" i="1" s="1"/>
  <c r="A1531" i="1"/>
  <c r="B1531" i="1" s="1"/>
  <c r="A1530" i="1"/>
  <c r="B1530" i="1" s="1"/>
  <c r="A1529" i="1"/>
  <c r="B1529" i="1" s="1"/>
  <c r="A1528" i="1"/>
  <c r="B1528" i="1" s="1"/>
  <c r="A1527" i="1"/>
  <c r="B1527" i="1" s="1"/>
  <c r="A1526" i="1"/>
  <c r="B1526" i="1" s="1"/>
  <c r="A1525" i="1"/>
  <c r="B1525" i="1" s="1"/>
  <c r="A1524" i="1"/>
  <c r="B1524" i="1" s="1"/>
  <c r="A1523" i="1"/>
  <c r="B1523" i="1" s="1"/>
  <c r="A1522" i="1"/>
  <c r="B1522" i="1" s="1"/>
  <c r="A1521" i="1"/>
  <c r="B1521" i="1" s="1"/>
  <c r="A1520" i="1"/>
  <c r="B1520" i="1" s="1"/>
  <c r="A1519" i="1"/>
  <c r="B1519" i="1" s="1"/>
  <c r="A1518" i="1"/>
  <c r="B1518" i="1" s="1"/>
  <c r="A1517" i="1"/>
  <c r="B1517" i="1" s="1"/>
  <c r="A1516" i="1"/>
  <c r="B1516" i="1" s="1"/>
  <c r="A1515" i="1"/>
  <c r="B1515" i="1" s="1"/>
  <c r="A1514" i="1"/>
  <c r="B1514" i="1" s="1"/>
  <c r="A1513" i="1"/>
  <c r="B1513" i="1" s="1"/>
  <c r="A1512" i="1"/>
  <c r="B1512" i="1" s="1"/>
  <c r="A1511" i="1"/>
  <c r="B1511" i="1" s="1"/>
  <c r="A1510" i="1"/>
  <c r="B1510" i="1" s="1"/>
  <c r="A1509" i="1"/>
  <c r="B1509" i="1" s="1"/>
  <c r="A1508" i="1"/>
  <c r="B1508" i="1" s="1"/>
  <c r="A1507" i="1"/>
  <c r="B1507" i="1" s="1"/>
  <c r="A1506" i="1"/>
  <c r="B1506" i="1" s="1"/>
  <c r="A1505" i="1"/>
  <c r="B1505" i="1" s="1"/>
  <c r="A1504" i="1"/>
  <c r="B1504" i="1" s="1"/>
  <c r="A1503" i="1"/>
  <c r="B1503" i="1" s="1"/>
  <c r="A1502" i="1"/>
  <c r="B1502" i="1" s="1"/>
  <c r="A1501" i="1"/>
  <c r="B1501" i="1" s="1"/>
  <c r="A1500" i="1"/>
  <c r="B1500" i="1" s="1"/>
  <c r="A1499" i="1"/>
  <c r="B1499" i="1" s="1"/>
  <c r="A1498" i="1"/>
  <c r="B1498" i="1" s="1"/>
  <c r="A1497" i="1"/>
  <c r="B1497" i="1" s="1"/>
  <c r="A1496" i="1"/>
  <c r="B1496" i="1" s="1"/>
  <c r="A1495" i="1"/>
  <c r="B1495" i="1" s="1"/>
  <c r="A1494" i="1"/>
  <c r="B1494" i="1" s="1"/>
  <c r="A1493" i="1"/>
  <c r="B1493" i="1" s="1"/>
  <c r="A1492" i="1"/>
  <c r="B1492" i="1" s="1"/>
  <c r="A1491" i="1"/>
  <c r="B1491" i="1" s="1"/>
  <c r="A1490" i="1"/>
  <c r="B1490" i="1" s="1"/>
  <c r="A1489" i="1"/>
  <c r="B1489" i="1" s="1"/>
  <c r="A1488" i="1"/>
  <c r="B1488" i="1" s="1"/>
  <c r="B1487" i="1"/>
  <c r="A1487" i="1"/>
  <c r="A1486" i="1"/>
  <c r="B1486" i="1" s="1"/>
  <c r="A1485" i="1"/>
  <c r="B1485" i="1" s="1"/>
  <c r="A1484" i="1"/>
  <c r="B1484" i="1" s="1"/>
  <c r="A1483" i="1"/>
  <c r="B1483" i="1" s="1"/>
  <c r="A1482" i="1"/>
  <c r="B1482" i="1" s="1"/>
  <c r="A1481" i="1"/>
  <c r="B1481" i="1" s="1"/>
  <c r="A1480" i="1"/>
  <c r="B1480" i="1" s="1"/>
  <c r="A1479" i="1"/>
  <c r="B1479" i="1" s="1"/>
  <c r="A1478" i="1"/>
  <c r="B1478" i="1" s="1"/>
  <c r="B1477" i="1"/>
  <c r="A1477" i="1"/>
  <c r="A1476" i="1"/>
  <c r="B1476" i="1" s="1"/>
  <c r="A1475" i="1"/>
  <c r="B1475" i="1" s="1"/>
  <c r="A1474" i="1"/>
  <c r="B1474" i="1" s="1"/>
  <c r="A1473" i="1"/>
  <c r="B1473" i="1" s="1"/>
  <c r="A1472" i="1"/>
  <c r="B1472" i="1" s="1"/>
  <c r="A1471" i="1"/>
  <c r="B1471" i="1" s="1"/>
  <c r="A1470" i="1"/>
  <c r="B1470" i="1" s="1"/>
  <c r="A1469" i="1"/>
  <c r="B1469" i="1" s="1"/>
  <c r="A1468" i="1"/>
  <c r="B1468" i="1" s="1"/>
  <c r="A1467" i="1"/>
  <c r="B1467" i="1" s="1"/>
  <c r="A1466" i="1"/>
  <c r="B1466" i="1" s="1"/>
  <c r="A1465" i="1"/>
  <c r="B1465" i="1" s="1"/>
  <c r="A1464" i="1"/>
  <c r="B1464" i="1" s="1"/>
  <c r="A1463" i="1"/>
  <c r="B1463" i="1" s="1"/>
  <c r="A1462" i="1"/>
  <c r="B1462" i="1" s="1"/>
  <c r="A1461" i="1"/>
  <c r="B1461" i="1" s="1"/>
  <c r="A1460" i="1"/>
  <c r="B1460" i="1" s="1"/>
  <c r="A1459" i="1"/>
  <c r="B1459" i="1" s="1"/>
  <c r="A1458" i="1"/>
  <c r="B1458" i="1" s="1"/>
  <c r="A1457" i="1"/>
  <c r="B1457" i="1" s="1"/>
  <c r="A1456" i="1"/>
  <c r="B1456" i="1" s="1"/>
  <c r="A1455" i="1"/>
  <c r="B1455" i="1" s="1"/>
  <c r="A1454" i="1"/>
  <c r="B1454" i="1" s="1"/>
  <c r="A1453" i="1"/>
  <c r="B1453" i="1" s="1"/>
  <c r="A1452" i="1"/>
  <c r="B1452" i="1" s="1"/>
  <c r="A1451" i="1"/>
  <c r="B1451" i="1" s="1"/>
  <c r="A1450" i="1"/>
  <c r="B1450" i="1" s="1"/>
  <c r="A1449" i="1"/>
  <c r="B1449" i="1" s="1"/>
  <c r="A1448" i="1"/>
  <c r="B1448" i="1" s="1"/>
  <c r="A1447" i="1"/>
  <c r="B1447" i="1" s="1"/>
  <c r="A1446" i="1"/>
  <c r="B1446" i="1" s="1"/>
  <c r="A1445" i="1"/>
  <c r="B1445" i="1" s="1"/>
  <c r="A1444" i="1"/>
  <c r="B1444" i="1" s="1"/>
  <c r="A1443" i="1"/>
  <c r="B1443" i="1" s="1"/>
  <c r="A1442" i="1"/>
  <c r="B1442" i="1" s="1"/>
  <c r="A1441" i="1"/>
  <c r="B1441" i="1" s="1"/>
  <c r="A1440" i="1"/>
  <c r="B1440" i="1" s="1"/>
  <c r="A1439" i="1"/>
  <c r="B1439" i="1" s="1"/>
  <c r="A1438" i="1"/>
  <c r="B1438" i="1" s="1"/>
  <c r="A1437" i="1"/>
  <c r="B1437" i="1" s="1"/>
  <c r="A1436" i="1"/>
  <c r="B1436" i="1" s="1"/>
  <c r="A1435" i="1"/>
  <c r="B1435" i="1" s="1"/>
  <c r="A1434" i="1"/>
  <c r="B1434" i="1" s="1"/>
  <c r="A1433" i="1"/>
  <c r="B1433" i="1" s="1"/>
  <c r="A1432" i="1"/>
  <c r="B1432" i="1" s="1"/>
  <c r="A1431" i="1"/>
  <c r="B1431" i="1" s="1"/>
  <c r="A1430" i="1"/>
  <c r="B1430" i="1" s="1"/>
  <c r="A1429" i="1"/>
  <c r="B1429" i="1" s="1"/>
  <c r="A1428" i="1"/>
  <c r="B1428" i="1" s="1"/>
  <c r="A1427" i="1"/>
  <c r="B1427" i="1" s="1"/>
  <c r="A1426" i="1"/>
  <c r="B1426" i="1" s="1"/>
  <c r="A1425" i="1"/>
  <c r="B1425" i="1" s="1"/>
  <c r="A1424" i="1"/>
  <c r="B1424" i="1" s="1"/>
  <c r="A1423" i="1"/>
  <c r="B1423" i="1" s="1"/>
  <c r="A1422" i="1"/>
  <c r="B1422" i="1" s="1"/>
  <c r="A1421" i="1"/>
  <c r="B1421" i="1" s="1"/>
  <c r="A1420" i="1"/>
  <c r="B1420" i="1" s="1"/>
  <c r="A1419" i="1"/>
  <c r="B1419" i="1" s="1"/>
  <c r="A1418" i="1"/>
  <c r="B1418" i="1" s="1"/>
  <c r="A1417" i="1"/>
  <c r="B1417" i="1" s="1"/>
  <c r="A1416" i="1"/>
  <c r="B1416" i="1" s="1"/>
  <c r="A1415" i="1"/>
  <c r="B1415" i="1" s="1"/>
  <c r="A1414" i="1"/>
  <c r="B1414" i="1" s="1"/>
  <c r="A1413" i="1"/>
  <c r="B1413" i="1" s="1"/>
  <c r="A1412" i="1"/>
  <c r="B1412" i="1" s="1"/>
  <c r="A1411" i="1"/>
  <c r="B1411" i="1" s="1"/>
  <c r="A1410" i="1"/>
  <c r="B1410" i="1" s="1"/>
  <c r="A1409" i="1"/>
  <c r="B1409" i="1" s="1"/>
  <c r="A1408" i="1"/>
  <c r="B1408" i="1" s="1"/>
  <c r="A1407" i="1"/>
  <c r="B1407" i="1" s="1"/>
  <c r="A1406" i="1"/>
  <c r="B1406" i="1" s="1"/>
  <c r="A1405" i="1"/>
  <c r="B1405" i="1" s="1"/>
  <c r="A1404" i="1"/>
  <c r="B1404" i="1" s="1"/>
  <c r="A1403" i="1"/>
  <c r="B1403" i="1" s="1"/>
  <c r="A1402" i="1"/>
  <c r="B1402" i="1" s="1"/>
  <c r="A1401" i="1"/>
  <c r="B1401" i="1" s="1"/>
  <c r="A1400" i="1"/>
  <c r="B1400" i="1" s="1"/>
  <c r="A1399" i="1"/>
  <c r="B1399" i="1" s="1"/>
  <c r="A1398" i="1"/>
  <c r="B1398" i="1" s="1"/>
  <c r="A1397" i="1"/>
  <c r="B1397" i="1" s="1"/>
  <c r="A1396" i="1"/>
  <c r="B1396" i="1" s="1"/>
  <c r="A1395" i="1"/>
  <c r="B1395" i="1" s="1"/>
  <c r="A1394" i="1"/>
  <c r="B1394" i="1" s="1"/>
  <c r="A1393" i="1"/>
  <c r="B1393" i="1" s="1"/>
  <c r="A1392" i="1"/>
  <c r="B1392" i="1" s="1"/>
  <c r="A1391" i="1"/>
  <c r="B1391" i="1" s="1"/>
  <c r="A1390" i="1"/>
  <c r="B1390" i="1" s="1"/>
  <c r="A1389" i="1"/>
  <c r="B1389" i="1" s="1"/>
  <c r="A1388" i="1"/>
  <c r="B1388" i="1" s="1"/>
  <c r="A1387" i="1"/>
  <c r="B1387" i="1" s="1"/>
  <c r="A1386" i="1"/>
  <c r="B1386" i="1" s="1"/>
  <c r="A1385" i="1"/>
  <c r="B1385" i="1" s="1"/>
  <c r="A1384" i="1"/>
  <c r="B1384" i="1" s="1"/>
  <c r="B1383" i="1"/>
  <c r="A1383" i="1"/>
  <c r="A1382" i="1"/>
  <c r="B1382" i="1" s="1"/>
  <c r="A1381" i="1"/>
  <c r="B1381" i="1" s="1"/>
  <c r="A1380" i="1"/>
  <c r="B1380" i="1" s="1"/>
  <c r="A1379" i="1"/>
  <c r="B1379" i="1" s="1"/>
  <c r="A1378" i="1"/>
  <c r="B1378" i="1" s="1"/>
  <c r="A1377" i="1"/>
  <c r="B1377" i="1" s="1"/>
  <c r="A1376" i="1"/>
  <c r="B1376" i="1" s="1"/>
  <c r="A1375" i="1"/>
  <c r="B1375" i="1" s="1"/>
  <c r="A1374" i="1"/>
  <c r="B1374" i="1" s="1"/>
  <c r="A1373" i="1"/>
  <c r="B1373" i="1" s="1"/>
  <c r="A1372" i="1"/>
  <c r="B1372" i="1" s="1"/>
  <c r="A1371" i="1"/>
  <c r="B1371" i="1" s="1"/>
  <c r="A1370" i="1"/>
  <c r="B1370" i="1" s="1"/>
  <c r="A1369" i="1"/>
  <c r="B1369" i="1" s="1"/>
  <c r="A1368" i="1"/>
  <c r="B1368" i="1" s="1"/>
  <c r="A1367" i="1"/>
  <c r="B1367" i="1" s="1"/>
  <c r="A1366" i="1"/>
  <c r="B1366" i="1" s="1"/>
  <c r="A1365" i="1"/>
  <c r="B1365" i="1" s="1"/>
  <c r="A1364" i="1"/>
  <c r="B1364" i="1" s="1"/>
  <c r="A1363" i="1"/>
  <c r="B1363" i="1" s="1"/>
  <c r="A1362" i="1"/>
  <c r="B1362" i="1" s="1"/>
  <c r="A1361" i="1"/>
  <c r="B1361" i="1" s="1"/>
  <c r="A1360" i="1"/>
  <c r="B1360" i="1" s="1"/>
  <c r="A1359" i="1"/>
  <c r="B1359" i="1" s="1"/>
  <c r="A1358" i="1"/>
  <c r="B1358" i="1" s="1"/>
  <c r="A1357" i="1"/>
  <c r="B1357" i="1" s="1"/>
  <c r="A1356" i="1"/>
  <c r="B1356" i="1" s="1"/>
  <c r="A1355" i="1"/>
  <c r="B1355" i="1" s="1"/>
  <c r="A1354" i="1"/>
  <c r="B1354" i="1" s="1"/>
  <c r="A1353" i="1"/>
  <c r="B1353" i="1" s="1"/>
  <c r="A1352" i="1"/>
  <c r="B1352" i="1" s="1"/>
  <c r="A1351" i="1"/>
  <c r="B1351" i="1" s="1"/>
  <c r="A1350" i="1"/>
  <c r="B1350" i="1" s="1"/>
  <c r="A1349" i="1"/>
  <c r="B1349" i="1" s="1"/>
  <c r="A1348" i="1"/>
  <c r="B1348" i="1" s="1"/>
  <c r="A1347" i="1"/>
  <c r="B1347" i="1" s="1"/>
  <c r="A1346" i="1"/>
  <c r="B1346" i="1" s="1"/>
  <c r="A1345" i="1"/>
  <c r="B1345" i="1" s="1"/>
  <c r="A1344" i="1"/>
  <c r="B1344" i="1" s="1"/>
  <c r="A1343" i="1"/>
  <c r="B1343" i="1" s="1"/>
  <c r="A1342" i="1"/>
  <c r="B1342" i="1" s="1"/>
  <c r="A1341" i="1"/>
  <c r="B1341" i="1" s="1"/>
  <c r="A1340" i="1"/>
  <c r="B1340" i="1" s="1"/>
  <c r="A1339" i="1"/>
  <c r="B1339" i="1" s="1"/>
  <c r="A1338" i="1"/>
  <c r="B1338" i="1" s="1"/>
  <c r="A1337" i="1"/>
  <c r="B1337" i="1" s="1"/>
  <c r="A1336" i="1"/>
  <c r="B1336" i="1" s="1"/>
  <c r="A1335" i="1"/>
  <c r="B1335" i="1" s="1"/>
  <c r="A1334" i="1"/>
  <c r="B1334" i="1" s="1"/>
  <c r="A1333" i="1"/>
  <c r="B1333" i="1" s="1"/>
  <c r="A1332" i="1"/>
  <c r="B1332" i="1" s="1"/>
  <c r="A1331" i="1"/>
  <c r="B1331" i="1" s="1"/>
  <c r="A1330" i="1"/>
  <c r="B1330" i="1" s="1"/>
  <c r="A1329" i="1"/>
  <c r="B1329" i="1" s="1"/>
  <c r="A1328" i="1"/>
  <c r="B1328" i="1" s="1"/>
  <c r="A1327" i="1"/>
  <c r="B1327" i="1" s="1"/>
  <c r="A1326" i="1"/>
  <c r="B1326" i="1" s="1"/>
  <c r="A1325" i="1"/>
  <c r="B1325" i="1" s="1"/>
  <c r="A1324" i="1"/>
  <c r="B1324" i="1" s="1"/>
  <c r="A1323" i="1"/>
  <c r="B1323" i="1" s="1"/>
  <c r="A1322" i="1"/>
  <c r="B1322" i="1" s="1"/>
  <c r="A1321" i="1"/>
  <c r="B1321" i="1" s="1"/>
  <c r="A1320" i="1"/>
  <c r="B1320" i="1" s="1"/>
  <c r="A1319" i="1"/>
  <c r="B1319" i="1" s="1"/>
  <c r="A1318" i="1"/>
  <c r="B1318" i="1" s="1"/>
  <c r="A1317" i="1"/>
  <c r="B1317" i="1" s="1"/>
  <c r="A1316" i="1"/>
  <c r="B1316" i="1" s="1"/>
  <c r="A1315" i="1"/>
  <c r="B1315" i="1" s="1"/>
  <c r="A1314" i="1"/>
  <c r="B1314" i="1" s="1"/>
  <c r="A1313" i="1"/>
  <c r="B1313" i="1" s="1"/>
  <c r="A1312" i="1"/>
  <c r="B1312" i="1" s="1"/>
  <c r="A1311" i="1"/>
  <c r="B1311" i="1" s="1"/>
  <c r="A1310" i="1"/>
  <c r="B1310" i="1" s="1"/>
  <c r="A1309" i="1"/>
  <c r="B1309" i="1" s="1"/>
  <c r="A1308" i="1"/>
  <c r="B1308" i="1" s="1"/>
  <c r="A1307" i="1"/>
  <c r="B1307" i="1" s="1"/>
  <c r="A1306" i="1"/>
  <c r="B1306" i="1" s="1"/>
  <c r="A1305" i="1"/>
  <c r="B1305" i="1" s="1"/>
  <c r="A1304" i="1"/>
  <c r="B1304" i="1" s="1"/>
  <c r="A1303" i="1"/>
  <c r="B1303" i="1" s="1"/>
  <c r="A1302" i="1"/>
  <c r="B1302" i="1" s="1"/>
  <c r="A1301" i="1"/>
  <c r="B1301" i="1" s="1"/>
  <c r="A1300" i="1"/>
  <c r="B1300" i="1" s="1"/>
  <c r="A1299" i="1"/>
  <c r="B1299" i="1" s="1"/>
  <c r="A1298" i="1"/>
  <c r="B1298" i="1" s="1"/>
  <c r="A1297" i="1"/>
  <c r="B1297" i="1" s="1"/>
  <c r="A1296" i="1"/>
  <c r="B1296" i="1" s="1"/>
  <c r="A1295" i="1"/>
  <c r="B1295" i="1" s="1"/>
  <c r="A1294" i="1"/>
  <c r="B1294" i="1" s="1"/>
  <c r="A1293" i="1"/>
  <c r="B1293" i="1" s="1"/>
  <c r="A1292" i="1"/>
  <c r="B1292" i="1" s="1"/>
  <c r="A1291" i="1"/>
  <c r="B1291" i="1" s="1"/>
  <c r="A1290" i="1"/>
  <c r="B1290" i="1" s="1"/>
  <c r="A1289" i="1"/>
  <c r="B1289" i="1" s="1"/>
  <c r="A1288" i="1"/>
  <c r="B1288" i="1" s="1"/>
  <c r="A1287" i="1"/>
  <c r="B1287" i="1" s="1"/>
  <c r="A1286" i="1"/>
  <c r="B1286" i="1" s="1"/>
  <c r="A1285" i="1"/>
  <c r="B1285" i="1" s="1"/>
  <c r="A1284" i="1"/>
  <c r="B1284" i="1" s="1"/>
  <c r="A1283" i="1"/>
  <c r="B1283" i="1" s="1"/>
  <c r="A1282" i="1"/>
  <c r="B1282" i="1" s="1"/>
  <c r="A1281" i="1"/>
  <c r="B1281" i="1" s="1"/>
  <c r="A1280" i="1"/>
  <c r="B1280" i="1" s="1"/>
  <c r="A1279" i="1"/>
  <c r="B1279" i="1" s="1"/>
  <c r="A1278" i="1"/>
  <c r="B1278" i="1" s="1"/>
  <c r="A1277" i="1"/>
  <c r="B1277" i="1" s="1"/>
  <c r="A1276" i="1"/>
  <c r="B1276" i="1" s="1"/>
  <c r="A1275" i="1"/>
  <c r="B1275" i="1" s="1"/>
  <c r="A1274" i="1"/>
  <c r="B1274" i="1" s="1"/>
  <c r="A1273" i="1"/>
  <c r="B1273" i="1" s="1"/>
  <c r="A1272" i="1"/>
  <c r="B1272" i="1" s="1"/>
  <c r="A1271" i="1"/>
  <c r="B1271" i="1" s="1"/>
  <c r="A1270" i="1"/>
  <c r="B1270" i="1" s="1"/>
  <c r="A1269" i="1"/>
  <c r="B1269" i="1" s="1"/>
  <c r="A1268" i="1"/>
  <c r="B1268" i="1" s="1"/>
  <c r="A1267" i="1"/>
  <c r="B1267" i="1" s="1"/>
  <c r="A1266" i="1"/>
  <c r="B1266" i="1" s="1"/>
  <c r="A1265" i="1"/>
  <c r="B1265" i="1" s="1"/>
  <c r="A1264" i="1"/>
  <c r="B1264" i="1" s="1"/>
  <c r="A1263" i="1"/>
  <c r="B1263" i="1" s="1"/>
  <c r="A1262" i="1"/>
  <c r="B1262" i="1" s="1"/>
  <c r="A1261" i="1"/>
  <c r="B1261" i="1" s="1"/>
  <c r="A1260" i="1"/>
  <c r="B1260" i="1" s="1"/>
  <c r="A1259" i="1"/>
  <c r="B1259" i="1" s="1"/>
  <c r="A1258" i="1"/>
  <c r="B1258" i="1" s="1"/>
  <c r="A1257" i="1"/>
  <c r="B1257" i="1" s="1"/>
  <c r="A1256" i="1"/>
  <c r="B1256" i="1" s="1"/>
  <c r="A1255" i="1"/>
  <c r="B1255" i="1" s="1"/>
  <c r="A1254" i="1"/>
  <c r="B1254" i="1" s="1"/>
  <c r="A1253" i="1"/>
  <c r="B1253" i="1" s="1"/>
  <c r="A1252" i="1"/>
  <c r="B1252" i="1" s="1"/>
  <c r="A1251" i="1"/>
  <c r="B1251" i="1" s="1"/>
  <c r="A1250" i="1"/>
  <c r="B1250" i="1" s="1"/>
  <c r="A1249" i="1"/>
  <c r="B1249" i="1" s="1"/>
  <c r="A1248" i="1"/>
  <c r="B1248" i="1" s="1"/>
  <c r="A1247" i="1"/>
  <c r="B1247" i="1" s="1"/>
  <c r="A1246" i="1"/>
  <c r="B1246" i="1" s="1"/>
  <c r="A1245" i="1"/>
  <c r="B1245" i="1" s="1"/>
  <c r="A1244" i="1"/>
  <c r="B1244" i="1" s="1"/>
  <c r="A1243" i="1"/>
  <c r="B1243" i="1" s="1"/>
  <c r="A1242" i="1"/>
  <c r="B1242" i="1" s="1"/>
  <c r="A1241" i="1"/>
  <c r="B1241" i="1" s="1"/>
  <c r="A1240" i="1"/>
  <c r="B1240" i="1" s="1"/>
  <c r="A1239" i="1"/>
  <c r="B1239" i="1" s="1"/>
  <c r="A1238" i="1"/>
  <c r="B1238" i="1" s="1"/>
  <c r="A1237" i="1"/>
  <c r="B1237" i="1" s="1"/>
  <c r="A1236" i="1"/>
  <c r="B1236" i="1" s="1"/>
  <c r="A1235" i="1"/>
  <c r="B1235" i="1" s="1"/>
  <c r="A1234" i="1"/>
  <c r="B1234" i="1" s="1"/>
  <c r="B1233" i="1"/>
  <c r="A1233" i="1"/>
  <c r="A1232" i="1"/>
  <c r="B1232" i="1" s="1"/>
  <c r="A1231" i="1"/>
  <c r="B1231" i="1" s="1"/>
  <c r="A1230" i="1"/>
  <c r="B1230" i="1" s="1"/>
  <c r="A1229" i="1"/>
  <c r="B1229" i="1" s="1"/>
  <c r="A1228" i="1"/>
  <c r="B1228" i="1" s="1"/>
  <c r="A1227" i="1"/>
  <c r="B1227" i="1" s="1"/>
  <c r="A1226" i="1"/>
  <c r="B1226" i="1" s="1"/>
  <c r="A1225" i="1"/>
  <c r="B1225" i="1" s="1"/>
  <c r="A1224" i="1"/>
  <c r="B1224" i="1" s="1"/>
  <c r="A1223" i="1"/>
  <c r="B1223" i="1" s="1"/>
  <c r="A1222" i="1"/>
  <c r="B1222" i="1" s="1"/>
  <c r="A1221" i="1"/>
  <c r="B1221" i="1" s="1"/>
  <c r="A1220" i="1"/>
  <c r="B1220" i="1" s="1"/>
  <c r="A1219" i="1"/>
  <c r="B1219" i="1" s="1"/>
  <c r="A1218" i="1"/>
  <c r="B1218" i="1" s="1"/>
  <c r="A1217" i="1"/>
  <c r="B1217" i="1" s="1"/>
  <c r="A1216" i="1"/>
  <c r="B1216" i="1" s="1"/>
  <c r="A1215" i="1"/>
  <c r="B1215" i="1" s="1"/>
  <c r="A1214" i="1"/>
  <c r="B1214" i="1" s="1"/>
  <c r="A1213" i="1"/>
  <c r="B1213" i="1" s="1"/>
  <c r="A1212" i="1"/>
  <c r="B1212" i="1" s="1"/>
  <c r="A1211" i="1"/>
  <c r="B1211" i="1" s="1"/>
  <c r="A1210" i="1"/>
  <c r="B1210" i="1" s="1"/>
  <c r="A1209" i="1"/>
  <c r="B1209" i="1" s="1"/>
  <c r="A1208" i="1"/>
  <c r="B1208" i="1" s="1"/>
  <c r="A1207" i="1"/>
  <c r="B1207" i="1" s="1"/>
  <c r="A1206" i="1"/>
  <c r="B1206" i="1" s="1"/>
  <c r="A1205" i="1"/>
  <c r="B1205" i="1" s="1"/>
  <c r="A1204" i="1"/>
  <c r="B1204" i="1" s="1"/>
  <c r="A1203" i="1"/>
  <c r="B1203" i="1" s="1"/>
  <c r="A1202" i="1"/>
  <c r="B1202" i="1" s="1"/>
  <c r="A1201" i="1"/>
  <c r="B1201" i="1" s="1"/>
  <c r="A1200" i="1"/>
  <c r="B1200" i="1" s="1"/>
  <c r="A1199" i="1"/>
  <c r="B1199" i="1" s="1"/>
  <c r="A1198" i="1"/>
  <c r="B1198" i="1" s="1"/>
  <c r="A1197" i="1"/>
  <c r="B1197" i="1" s="1"/>
  <c r="A1196" i="1"/>
  <c r="B1196" i="1" s="1"/>
  <c r="A1195" i="1"/>
  <c r="B1195" i="1" s="1"/>
  <c r="A1194" i="1"/>
  <c r="B1194" i="1" s="1"/>
  <c r="A1193" i="1"/>
  <c r="B1193" i="1" s="1"/>
  <c r="A1192" i="1"/>
  <c r="B1192" i="1" s="1"/>
  <c r="A1191" i="1"/>
  <c r="B1191" i="1" s="1"/>
  <c r="A1190" i="1"/>
  <c r="B1190" i="1" s="1"/>
  <c r="A1189" i="1"/>
  <c r="B1189" i="1" s="1"/>
  <c r="A1188" i="1"/>
  <c r="B1188" i="1" s="1"/>
  <c r="A1187" i="1"/>
  <c r="B1187" i="1" s="1"/>
  <c r="A1186" i="1"/>
  <c r="B1186" i="1" s="1"/>
  <c r="A1185" i="1"/>
  <c r="B1185" i="1" s="1"/>
  <c r="A1184" i="1"/>
  <c r="B1184" i="1" s="1"/>
  <c r="A1183" i="1"/>
  <c r="B1183" i="1" s="1"/>
  <c r="A1182" i="1"/>
  <c r="B1182" i="1" s="1"/>
  <c r="A1181" i="1"/>
  <c r="B1181" i="1" s="1"/>
  <c r="A1180" i="1"/>
  <c r="B1180" i="1" s="1"/>
  <c r="A1179" i="1"/>
  <c r="B1179" i="1" s="1"/>
  <c r="A1178" i="1"/>
  <c r="B1178" i="1" s="1"/>
  <c r="A1177" i="1"/>
  <c r="B1177" i="1" s="1"/>
  <c r="A1176" i="1"/>
  <c r="B1176" i="1" s="1"/>
  <c r="A1175" i="1"/>
  <c r="B1175" i="1" s="1"/>
  <c r="A1174" i="1"/>
  <c r="B1174" i="1" s="1"/>
  <c r="A1173" i="1"/>
  <c r="B1173" i="1" s="1"/>
  <c r="A1172" i="1"/>
  <c r="B1172" i="1" s="1"/>
  <c r="A1171" i="1"/>
  <c r="B1171" i="1" s="1"/>
  <c r="A1170" i="1"/>
  <c r="B1170" i="1" s="1"/>
  <c r="A1169" i="1"/>
  <c r="B1169" i="1" s="1"/>
  <c r="A1168" i="1"/>
  <c r="B1168" i="1" s="1"/>
  <c r="A1167" i="1"/>
  <c r="B1167" i="1" s="1"/>
  <c r="A1166" i="1"/>
  <c r="B1166" i="1" s="1"/>
  <c r="A1165" i="1"/>
  <c r="B1165" i="1" s="1"/>
  <c r="A1164" i="1"/>
  <c r="B1164" i="1" s="1"/>
  <c r="A1163" i="1"/>
  <c r="B1163" i="1" s="1"/>
  <c r="A1162" i="1"/>
  <c r="B1162" i="1" s="1"/>
  <c r="B1161" i="1"/>
  <c r="A1161" i="1"/>
  <c r="A1160" i="1"/>
  <c r="B1160" i="1" s="1"/>
  <c r="A1159" i="1"/>
  <c r="B1159" i="1" s="1"/>
  <c r="A1158" i="1"/>
  <c r="B1158" i="1" s="1"/>
  <c r="A1157" i="1"/>
  <c r="B1157" i="1" s="1"/>
  <c r="A1156" i="1"/>
  <c r="B1156" i="1" s="1"/>
  <c r="A1155" i="1"/>
  <c r="B1155" i="1" s="1"/>
  <c r="A1154" i="1"/>
  <c r="B1154" i="1" s="1"/>
  <c r="A1153" i="1"/>
  <c r="B1153" i="1" s="1"/>
  <c r="A1152" i="1"/>
  <c r="B1152" i="1" s="1"/>
  <c r="A1151" i="1"/>
  <c r="B1151" i="1" s="1"/>
  <c r="A1150" i="1"/>
  <c r="B1150" i="1" s="1"/>
  <c r="A1149" i="1"/>
  <c r="B1149" i="1" s="1"/>
  <c r="A1148" i="1"/>
  <c r="B1148" i="1" s="1"/>
  <c r="A1147" i="1"/>
  <c r="B1147" i="1" s="1"/>
  <c r="A1146" i="1"/>
  <c r="B1146" i="1" s="1"/>
  <c r="A1145" i="1"/>
  <c r="B1145" i="1" s="1"/>
  <c r="A1144" i="1"/>
  <c r="B1144" i="1" s="1"/>
  <c r="A1143" i="1"/>
  <c r="B1143" i="1" s="1"/>
  <c r="A1142" i="1"/>
  <c r="B1142" i="1" s="1"/>
  <c r="A1141" i="1"/>
  <c r="B1141" i="1" s="1"/>
  <c r="A1140" i="1"/>
  <c r="B1140" i="1" s="1"/>
  <c r="A1139" i="1"/>
  <c r="B1139" i="1" s="1"/>
  <c r="A1138" i="1"/>
  <c r="B1138" i="1" s="1"/>
  <c r="A1137" i="1"/>
  <c r="B1137" i="1" s="1"/>
  <c r="A1136" i="1"/>
  <c r="B1136" i="1" s="1"/>
  <c r="A1135" i="1"/>
  <c r="B1135" i="1" s="1"/>
  <c r="A1134" i="1"/>
  <c r="B1134" i="1" s="1"/>
  <c r="A1133" i="1"/>
  <c r="B1133" i="1" s="1"/>
  <c r="A1132" i="1"/>
  <c r="B1132" i="1" s="1"/>
  <c r="A1131" i="1"/>
  <c r="B1131" i="1" s="1"/>
  <c r="A1130" i="1"/>
  <c r="B1130" i="1" s="1"/>
  <c r="A1129" i="1"/>
  <c r="B1129" i="1" s="1"/>
  <c r="A1128" i="1"/>
  <c r="B1128" i="1" s="1"/>
  <c r="A1127" i="1"/>
  <c r="B1127" i="1" s="1"/>
  <c r="A1126" i="1"/>
  <c r="B1126" i="1" s="1"/>
  <c r="A1125" i="1"/>
  <c r="B1125" i="1" s="1"/>
  <c r="A1124" i="1"/>
  <c r="B1124" i="1" s="1"/>
  <c r="A1123" i="1"/>
  <c r="B1123" i="1" s="1"/>
  <c r="A1122" i="1"/>
  <c r="B1122" i="1" s="1"/>
  <c r="A1121" i="1"/>
  <c r="B1121" i="1" s="1"/>
  <c r="A1120" i="1"/>
  <c r="B1120" i="1" s="1"/>
  <c r="A1119" i="1"/>
  <c r="B1119" i="1" s="1"/>
  <c r="A1118" i="1"/>
  <c r="B1118" i="1" s="1"/>
  <c r="A1117" i="1"/>
  <c r="B1117" i="1" s="1"/>
  <c r="A1116" i="1"/>
  <c r="B1116" i="1" s="1"/>
  <c r="A1115" i="1"/>
  <c r="B1115" i="1" s="1"/>
  <c r="A1114" i="1"/>
  <c r="B1114" i="1" s="1"/>
  <c r="A1113" i="1"/>
  <c r="B1113" i="1" s="1"/>
  <c r="A1112" i="1"/>
  <c r="B1112" i="1" s="1"/>
  <c r="A1111" i="1"/>
  <c r="B1111" i="1" s="1"/>
  <c r="A1110" i="1"/>
  <c r="B1110" i="1" s="1"/>
  <c r="A1109" i="1"/>
  <c r="B1109" i="1" s="1"/>
  <c r="A1108" i="1"/>
  <c r="B1108" i="1" s="1"/>
  <c r="A1107" i="1"/>
  <c r="B1107" i="1" s="1"/>
  <c r="A1106" i="1"/>
  <c r="B1106" i="1" s="1"/>
  <c r="A1105" i="1"/>
  <c r="B1105" i="1" s="1"/>
  <c r="A1104" i="1"/>
  <c r="B1104" i="1" s="1"/>
  <c r="A1103" i="1"/>
  <c r="B1103" i="1" s="1"/>
  <c r="A1102" i="1"/>
  <c r="B1102" i="1" s="1"/>
  <c r="A1101" i="1"/>
  <c r="B1101" i="1" s="1"/>
  <c r="A1100" i="1"/>
  <c r="B1100" i="1" s="1"/>
  <c r="A1099" i="1"/>
  <c r="B1099" i="1" s="1"/>
  <c r="A1098" i="1"/>
  <c r="B1098" i="1" s="1"/>
  <c r="A1097" i="1"/>
  <c r="B1097" i="1" s="1"/>
  <c r="A1096" i="1"/>
  <c r="B1096" i="1" s="1"/>
  <c r="A1095" i="1"/>
  <c r="B1095" i="1" s="1"/>
  <c r="A1094" i="1"/>
  <c r="B1094" i="1" s="1"/>
  <c r="A1093" i="1"/>
  <c r="B1093" i="1" s="1"/>
  <c r="A1092" i="1"/>
  <c r="B1092" i="1" s="1"/>
  <c r="A1091" i="1"/>
  <c r="B1091" i="1" s="1"/>
  <c r="A1090" i="1"/>
  <c r="B1090" i="1" s="1"/>
  <c r="A1089" i="1"/>
  <c r="B1089" i="1" s="1"/>
  <c r="A1088" i="1"/>
  <c r="B1088" i="1" s="1"/>
  <c r="A1087" i="1"/>
  <c r="B1087" i="1" s="1"/>
  <c r="A1086" i="1"/>
  <c r="B1086" i="1" s="1"/>
  <c r="A1085" i="1"/>
  <c r="B1085" i="1" s="1"/>
  <c r="A1084" i="1"/>
  <c r="B1084" i="1" s="1"/>
  <c r="A1083" i="1"/>
  <c r="B1083" i="1" s="1"/>
  <c r="A1082" i="1"/>
  <c r="B1082" i="1" s="1"/>
  <c r="A1081" i="1"/>
  <c r="B1081" i="1" s="1"/>
  <c r="A1080" i="1"/>
  <c r="B1080" i="1" s="1"/>
  <c r="B1079" i="1"/>
  <c r="A1079" i="1"/>
  <c r="A1078" i="1"/>
  <c r="B1078" i="1" s="1"/>
  <c r="A1077" i="1"/>
  <c r="B1077" i="1" s="1"/>
  <c r="A1076" i="1"/>
  <c r="B1076" i="1" s="1"/>
  <c r="A1075" i="1"/>
  <c r="B1075" i="1" s="1"/>
  <c r="A1074" i="1"/>
  <c r="B1074" i="1" s="1"/>
  <c r="A1073" i="1"/>
  <c r="B1073" i="1" s="1"/>
  <c r="A1072" i="1"/>
  <c r="B1072" i="1" s="1"/>
  <c r="A1071" i="1"/>
  <c r="B1071" i="1" s="1"/>
  <c r="A1070" i="1"/>
  <c r="B1070" i="1" s="1"/>
  <c r="A1069" i="1"/>
  <c r="B1069" i="1" s="1"/>
  <c r="A1068" i="1"/>
  <c r="B1068" i="1" s="1"/>
  <c r="A1067" i="1"/>
  <c r="B1067" i="1" s="1"/>
  <c r="A1066" i="1"/>
  <c r="B1066" i="1" s="1"/>
  <c r="A1065" i="1"/>
  <c r="B1065" i="1" s="1"/>
  <c r="A1064" i="1"/>
  <c r="B1064" i="1" s="1"/>
  <c r="A1063" i="1"/>
  <c r="B1063" i="1" s="1"/>
  <c r="A1062" i="1"/>
  <c r="B1062" i="1" s="1"/>
  <c r="A1061" i="1"/>
  <c r="B1061" i="1" s="1"/>
  <c r="A1060" i="1"/>
  <c r="B1060" i="1" s="1"/>
  <c r="A1059" i="1"/>
  <c r="B1059" i="1" s="1"/>
  <c r="A1058" i="1"/>
  <c r="B1058" i="1" s="1"/>
  <c r="A1057" i="1"/>
  <c r="B1057" i="1" s="1"/>
  <c r="A1056" i="1"/>
  <c r="B1056" i="1" s="1"/>
  <c r="A1055" i="1"/>
  <c r="B1055" i="1" s="1"/>
  <c r="A1054" i="1"/>
  <c r="B1054" i="1" s="1"/>
  <c r="A1053" i="1"/>
  <c r="B1053" i="1" s="1"/>
  <c r="A1052" i="1"/>
  <c r="B1052" i="1" s="1"/>
  <c r="A1051" i="1"/>
  <c r="B1051" i="1" s="1"/>
  <c r="A1050" i="1"/>
  <c r="B1050" i="1" s="1"/>
  <c r="A1049" i="1"/>
  <c r="B1049" i="1" s="1"/>
  <c r="A1048" i="1"/>
  <c r="B1048" i="1" s="1"/>
  <c r="A1047" i="1"/>
  <c r="B1047" i="1" s="1"/>
  <c r="A1046" i="1"/>
  <c r="B1046" i="1" s="1"/>
  <c r="A1045" i="1"/>
  <c r="B1045" i="1" s="1"/>
  <c r="A1044" i="1"/>
  <c r="B1044" i="1" s="1"/>
  <c r="A1043" i="1"/>
  <c r="B1043" i="1" s="1"/>
  <c r="A1042" i="1"/>
  <c r="B1042" i="1" s="1"/>
  <c r="A1041" i="1"/>
  <c r="B1041" i="1" s="1"/>
  <c r="A1040" i="1"/>
  <c r="B1040" i="1" s="1"/>
  <c r="A1039" i="1"/>
  <c r="B1039" i="1" s="1"/>
  <c r="A1038" i="1"/>
  <c r="B1038" i="1" s="1"/>
  <c r="A1037" i="1"/>
  <c r="B1037" i="1" s="1"/>
  <c r="A1036" i="1"/>
  <c r="B1036" i="1" s="1"/>
  <c r="A1035" i="1"/>
  <c r="B1035" i="1" s="1"/>
  <c r="A1034" i="1"/>
  <c r="B1034" i="1" s="1"/>
  <c r="A1033" i="1"/>
  <c r="B1033" i="1" s="1"/>
  <c r="A1032" i="1"/>
  <c r="B1032" i="1" s="1"/>
  <c r="A1031" i="1"/>
  <c r="B1031" i="1" s="1"/>
  <c r="A1030" i="1"/>
  <c r="B1030" i="1" s="1"/>
  <c r="A1029" i="1"/>
  <c r="B1029" i="1" s="1"/>
  <c r="A1028" i="1"/>
  <c r="B1028" i="1" s="1"/>
  <c r="A1027" i="1"/>
  <c r="B1027" i="1" s="1"/>
  <c r="A1026" i="1"/>
  <c r="B1026" i="1" s="1"/>
  <c r="A1025" i="1"/>
  <c r="B1025" i="1" s="1"/>
  <c r="A1024" i="1"/>
  <c r="B1024" i="1" s="1"/>
  <c r="A1023" i="1"/>
  <c r="B1023" i="1" s="1"/>
  <c r="A1022" i="1"/>
  <c r="B1022" i="1" s="1"/>
  <c r="A1021" i="1"/>
  <c r="B1021" i="1" s="1"/>
  <c r="A1020" i="1"/>
  <c r="B1020" i="1" s="1"/>
  <c r="A1019" i="1"/>
  <c r="B1019" i="1" s="1"/>
  <c r="A1018" i="1"/>
  <c r="B1018" i="1" s="1"/>
  <c r="B1017" i="1"/>
  <c r="A1017" i="1"/>
  <c r="A1016" i="1"/>
  <c r="B1016" i="1" s="1"/>
  <c r="A1015" i="1"/>
  <c r="B1015" i="1" s="1"/>
  <c r="A1014" i="1"/>
  <c r="B1014" i="1" s="1"/>
  <c r="A1013" i="1"/>
  <c r="B1013" i="1" s="1"/>
  <c r="A1012" i="1"/>
  <c r="B1012" i="1" s="1"/>
  <c r="A1011" i="1"/>
  <c r="B1011" i="1" s="1"/>
  <c r="A1010" i="1"/>
  <c r="B1010" i="1" s="1"/>
  <c r="A1009" i="1"/>
  <c r="B1009" i="1" s="1"/>
  <c r="A1008" i="1"/>
  <c r="B1008" i="1" s="1"/>
  <c r="A1007" i="1"/>
  <c r="B1007" i="1" s="1"/>
  <c r="A1006" i="1"/>
  <c r="B1006" i="1" s="1"/>
  <c r="A1005" i="1"/>
  <c r="B1005" i="1" s="1"/>
  <c r="A1004" i="1"/>
  <c r="B1004" i="1" s="1"/>
  <c r="A1003" i="1"/>
  <c r="B1003" i="1" s="1"/>
  <c r="A1002" i="1"/>
  <c r="B1002" i="1" s="1"/>
  <c r="A1001" i="1"/>
  <c r="B1001" i="1" s="1"/>
  <c r="A1000" i="1"/>
  <c r="B1000" i="1" s="1"/>
  <c r="A999" i="1"/>
  <c r="B999" i="1" s="1"/>
  <c r="A998" i="1"/>
  <c r="B998" i="1" s="1"/>
  <c r="A997" i="1"/>
  <c r="B997" i="1" s="1"/>
  <c r="A996" i="1"/>
  <c r="B996" i="1" s="1"/>
  <c r="A995" i="1"/>
  <c r="B995" i="1" s="1"/>
  <c r="A994" i="1"/>
  <c r="B994" i="1" s="1"/>
  <c r="A993" i="1"/>
  <c r="B993" i="1" s="1"/>
  <c r="A992" i="1"/>
  <c r="B992" i="1" s="1"/>
  <c r="A991" i="1"/>
  <c r="B991" i="1" s="1"/>
  <c r="A990" i="1"/>
  <c r="B990" i="1" s="1"/>
  <c r="A989" i="1"/>
  <c r="B989" i="1" s="1"/>
  <c r="A988" i="1"/>
  <c r="B988" i="1" s="1"/>
  <c r="A987" i="1"/>
  <c r="B987" i="1" s="1"/>
  <c r="A986" i="1"/>
  <c r="B986" i="1" s="1"/>
  <c r="A985" i="1"/>
  <c r="B985" i="1" s="1"/>
  <c r="A984" i="1"/>
  <c r="B984" i="1" s="1"/>
  <c r="A983" i="1"/>
  <c r="B983" i="1" s="1"/>
  <c r="A982" i="1"/>
  <c r="B982" i="1" s="1"/>
  <c r="A981" i="1"/>
  <c r="B981" i="1" s="1"/>
  <c r="A980" i="1"/>
  <c r="B980" i="1" s="1"/>
  <c r="A979" i="1"/>
  <c r="B979" i="1" s="1"/>
  <c r="A978" i="1"/>
  <c r="B978" i="1" s="1"/>
  <c r="A977" i="1"/>
  <c r="B977" i="1" s="1"/>
  <c r="A976" i="1"/>
  <c r="B976" i="1" s="1"/>
  <c r="A975" i="1"/>
  <c r="B975" i="1" s="1"/>
  <c r="A974" i="1"/>
  <c r="B974" i="1" s="1"/>
  <c r="A973" i="1"/>
  <c r="B973" i="1" s="1"/>
  <c r="A972" i="1"/>
  <c r="B972" i="1" s="1"/>
  <c r="A971" i="1"/>
  <c r="B971" i="1" s="1"/>
  <c r="A970" i="1"/>
  <c r="B970" i="1" s="1"/>
  <c r="A969" i="1"/>
  <c r="B969" i="1" s="1"/>
  <c r="A968" i="1"/>
  <c r="B968" i="1" s="1"/>
  <c r="A967" i="1"/>
  <c r="B967" i="1" s="1"/>
  <c r="A966" i="1"/>
  <c r="B966" i="1" s="1"/>
  <c r="A965" i="1"/>
  <c r="B965" i="1" s="1"/>
  <c r="A964" i="1"/>
  <c r="B964" i="1" s="1"/>
  <c r="A963" i="1"/>
  <c r="B963" i="1" s="1"/>
  <c r="A962" i="1"/>
  <c r="B962" i="1" s="1"/>
  <c r="A961" i="1"/>
  <c r="B961" i="1" s="1"/>
  <c r="A960" i="1"/>
  <c r="B960" i="1" s="1"/>
  <c r="A959" i="1"/>
  <c r="B959" i="1" s="1"/>
  <c r="B958" i="1"/>
  <c r="A958" i="1"/>
  <c r="A957" i="1"/>
  <c r="B957" i="1" s="1"/>
  <c r="A956" i="1"/>
  <c r="B956" i="1" s="1"/>
  <c r="A955" i="1"/>
  <c r="B955" i="1" s="1"/>
  <c r="A954" i="1"/>
  <c r="B954" i="1" s="1"/>
  <c r="A953" i="1"/>
  <c r="B953" i="1" s="1"/>
  <c r="A952" i="1"/>
  <c r="B952" i="1" s="1"/>
  <c r="A951" i="1"/>
  <c r="B951" i="1" s="1"/>
  <c r="A950" i="1"/>
  <c r="B950" i="1" s="1"/>
  <c r="A949" i="1"/>
  <c r="B949" i="1" s="1"/>
  <c r="A948" i="1"/>
  <c r="B948" i="1" s="1"/>
  <c r="A947" i="1"/>
  <c r="B947" i="1" s="1"/>
  <c r="A946" i="1"/>
  <c r="B946" i="1" s="1"/>
  <c r="A945" i="1"/>
  <c r="B945" i="1" s="1"/>
  <c r="A944" i="1"/>
  <c r="B944" i="1" s="1"/>
  <c r="A943" i="1"/>
  <c r="B943" i="1" s="1"/>
  <c r="A942" i="1"/>
  <c r="B942" i="1" s="1"/>
  <c r="A941" i="1"/>
  <c r="B941" i="1" s="1"/>
  <c r="A940" i="1"/>
  <c r="B940" i="1" s="1"/>
  <c r="A939" i="1"/>
  <c r="B939" i="1" s="1"/>
  <c r="A938" i="1"/>
  <c r="B938" i="1" s="1"/>
  <c r="A937" i="1"/>
  <c r="B937" i="1" s="1"/>
  <c r="A936" i="1"/>
  <c r="B936" i="1" s="1"/>
  <c r="A935" i="1"/>
  <c r="B935" i="1" s="1"/>
  <c r="A934" i="1"/>
  <c r="B934" i="1" s="1"/>
  <c r="A933" i="1"/>
  <c r="B933" i="1" s="1"/>
  <c r="A932" i="1"/>
  <c r="B932" i="1" s="1"/>
  <c r="A931" i="1"/>
  <c r="B931" i="1" s="1"/>
  <c r="A930" i="1"/>
  <c r="B930" i="1" s="1"/>
  <c r="A929" i="1"/>
  <c r="B929" i="1" s="1"/>
  <c r="A928" i="1"/>
  <c r="B928" i="1" s="1"/>
  <c r="A927" i="1"/>
  <c r="B927" i="1" s="1"/>
  <c r="A926" i="1"/>
  <c r="B926" i="1" s="1"/>
  <c r="A925" i="1"/>
  <c r="B925" i="1" s="1"/>
  <c r="A924" i="1"/>
  <c r="B924" i="1" s="1"/>
  <c r="A923" i="1"/>
  <c r="B923" i="1" s="1"/>
  <c r="A922" i="1"/>
  <c r="B922" i="1" s="1"/>
  <c r="A921" i="1"/>
  <c r="B921" i="1" s="1"/>
  <c r="A920" i="1"/>
  <c r="B920" i="1" s="1"/>
  <c r="A919" i="1"/>
  <c r="B919" i="1" s="1"/>
  <c r="A918" i="1"/>
  <c r="B918" i="1" s="1"/>
  <c r="A917" i="1"/>
  <c r="B917" i="1" s="1"/>
  <c r="A916" i="1"/>
  <c r="B916" i="1" s="1"/>
  <c r="A915" i="1"/>
  <c r="B915" i="1" s="1"/>
  <c r="A914" i="1"/>
  <c r="B914" i="1" s="1"/>
  <c r="A913" i="1"/>
  <c r="B913" i="1" s="1"/>
  <c r="A912" i="1"/>
  <c r="B912" i="1" s="1"/>
  <c r="A911" i="1"/>
  <c r="B911" i="1" s="1"/>
  <c r="A910" i="1"/>
  <c r="B910" i="1" s="1"/>
  <c r="A909" i="1"/>
  <c r="B909" i="1" s="1"/>
  <c r="A908" i="1"/>
  <c r="B908" i="1" s="1"/>
  <c r="A907" i="1"/>
  <c r="B907" i="1" s="1"/>
  <c r="A906" i="1"/>
  <c r="B906" i="1" s="1"/>
  <c r="A905" i="1"/>
  <c r="B905" i="1" s="1"/>
  <c r="A904" i="1"/>
  <c r="B904" i="1" s="1"/>
  <c r="A903" i="1"/>
  <c r="B903" i="1" s="1"/>
  <c r="A902" i="1"/>
  <c r="B902" i="1" s="1"/>
  <c r="A901" i="1"/>
  <c r="B901" i="1" s="1"/>
  <c r="A900" i="1"/>
  <c r="B900" i="1" s="1"/>
  <c r="A899" i="1"/>
  <c r="B899" i="1" s="1"/>
  <c r="A898" i="1"/>
  <c r="B898" i="1" s="1"/>
  <c r="A897" i="1"/>
  <c r="B897" i="1" s="1"/>
  <c r="A896" i="1"/>
  <c r="B896" i="1" s="1"/>
  <c r="A895" i="1"/>
  <c r="B895" i="1" s="1"/>
  <c r="A894" i="1"/>
  <c r="B894" i="1" s="1"/>
  <c r="A893" i="1"/>
  <c r="B893" i="1" s="1"/>
  <c r="A892" i="1"/>
  <c r="B892" i="1" s="1"/>
  <c r="A891" i="1"/>
  <c r="B891" i="1" s="1"/>
  <c r="A890" i="1"/>
  <c r="B890" i="1" s="1"/>
  <c r="A889" i="1"/>
  <c r="B889" i="1" s="1"/>
  <c r="A888" i="1"/>
  <c r="B888" i="1" s="1"/>
  <c r="A887" i="1"/>
  <c r="B887" i="1" s="1"/>
  <c r="A886" i="1"/>
  <c r="B886" i="1" s="1"/>
  <c r="A885" i="1"/>
  <c r="B885" i="1" s="1"/>
  <c r="A884" i="1"/>
  <c r="B884" i="1" s="1"/>
  <c r="A883" i="1"/>
  <c r="B883" i="1" s="1"/>
  <c r="A882" i="1"/>
  <c r="B882" i="1" s="1"/>
  <c r="A881" i="1"/>
  <c r="B881" i="1" s="1"/>
  <c r="A880" i="1"/>
  <c r="B880" i="1" s="1"/>
  <c r="A879" i="1"/>
  <c r="B879" i="1" s="1"/>
  <c r="A878" i="1"/>
  <c r="B878" i="1" s="1"/>
  <c r="A877" i="1"/>
  <c r="B877" i="1" s="1"/>
  <c r="A876" i="1"/>
  <c r="B876" i="1" s="1"/>
  <c r="A875" i="1"/>
  <c r="B875" i="1" s="1"/>
  <c r="A874" i="1"/>
  <c r="B874" i="1" s="1"/>
  <c r="A873" i="1"/>
  <c r="B873" i="1" s="1"/>
  <c r="A872" i="1"/>
  <c r="B872" i="1" s="1"/>
  <c r="A871" i="1"/>
  <c r="B871" i="1" s="1"/>
  <c r="A870" i="1"/>
  <c r="B870" i="1" s="1"/>
  <c r="A869" i="1"/>
  <c r="B869" i="1" s="1"/>
  <c r="A868" i="1"/>
  <c r="B868" i="1" s="1"/>
  <c r="A867" i="1"/>
  <c r="B867" i="1" s="1"/>
  <c r="A866" i="1"/>
  <c r="B866" i="1" s="1"/>
  <c r="A865" i="1"/>
  <c r="B865" i="1" s="1"/>
  <c r="A864" i="1"/>
  <c r="B864" i="1" s="1"/>
  <c r="A863" i="1"/>
  <c r="B863" i="1" s="1"/>
  <c r="A862" i="1"/>
  <c r="B862" i="1" s="1"/>
  <c r="A861" i="1"/>
  <c r="B861" i="1" s="1"/>
  <c r="A860" i="1"/>
  <c r="B860" i="1" s="1"/>
  <c r="A859" i="1"/>
  <c r="B859" i="1" s="1"/>
  <c r="A858" i="1"/>
  <c r="B858" i="1" s="1"/>
  <c r="A857" i="1"/>
  <c r="B857" i="1" s="1"/>
  <c r="A856" i="1"/>
  <c r="B856" i="1" s="1"/>
  <c r="A855" i="1"/>
  <c r="B855" i="1" s="1"/>
  <c r="A854" i="1"/>
  <c r="B854" i="1" s="1"/>
  <c r="A853" i="1"/>
  <c r="B853" i="1" s="1"/>
  <c r="A852" i="1"/>
  <c r="B852" i="1" s="1"/>
  <c r="A851" i="1"/>
  <c r="B851" i="1" s="1"/>
  <c r="A850" i="1"/>
  <c r="B850" i="1" s="1"/>
  <c r="A849" i="1"/>
  <c r="B849" i="1" s="1"/>
  <c r="A848" i="1"/>
  <c r="B848" i="1" s="1"/>
  <c r="A847" i="1"/>
  <c r="B847" i="1" s="1"/>
  <c r="A846" i="1"/>
  <c r="B846" i="1" s="1"/>
  <c r="A845" i="1"/>
  <c r="B845" i="1" s="1"/>
  <c r="A844" i="1"/>
  <c r="B844" i="1" s="1"/>
  <c r="A843" i="1"/>
  <c r="B843" i="1" s="1"/>
  <c r="A842" i="1"/>
  <c r="B842" i="1" s="1"/>
  <c r="A841" i="1"/>
  <c r="B841" i="1" s="1"/>
  <c r="A840" i="1"/>
  <c r="B840" i="1" s="1"/>
  <c r="A839" i="1"/>
  <c r="B839" i="1" s="1"/>
  <c r="A838" i="1"/>
  <c r="B838" i="1" s="1"/>
  <c r="A837" i="1"/>
  <c r="B837" i="1" s="1"/>
  <c r="A836" i="1"/>
  <c r="B836" i="1" s="1"/>
  <c r="A835" i="1"/>
  <c r="B835" i="1" s="1"/>
  <c r="A834" i="1"/>
  <c r="B834" i="1" s="1"/>
  <c r="B833" i="1"/>
  <c r="A833" i="1"/>
  <c r="A832" i="1"/>
  <c r="B832" i="1" s="1"/>
  <c r="A831" i="1"/>
  <c r="B831" i="1" s="1"/>
  <c r="A830" i="1"/>
  <c r="B830" i="1" s="1"/>
  <c r="A829" i="1"/>
  <c r="B829" i="1" s="1"/>
  <c r="A828" i="1"/>
  <c r="B828" i="1" s="1"/>
  <c r="A827" i="1"/>
  <c r="B827" i="1" s="1"/>
  <c r="A826" i="1"/>
  <c r="B826" i="1" s="1"/>
  <c r="A825" i="1"/>
  <c r="B825" i="1" s="1"/>
  <c r="A824" i="1"/>
  <c r="B824" i="1" s="1"/>
  <c r="A823" i="1"/>
  <c r="B823" i="1" s="1"/>
  <c r="A822" i="1"/>
  <c r="B822" i="1" s="1"/>
  <c r="A821" i="1"/>
  <c r="B821" i="1" s="1"/>
  <c r="A820" i="1"/>
  <c r="B820" i="1" s="1"/>
  <c r="A819" i="1"/>
  <c r="B819" i="1" s="1"/>
  <c r="A818" i="1"/>
  <c r="B818" i="1" s="1"/>
  <c r="A817" i="1"/>
  <c r="B817" i="1" s="1"/>
  <c r="A816" i="1"/>
  <c r="B816" i="1" s="1"/>
  <c r="A815" i="1"/>
  <c r="B815" i="1" s="1"/>
  <c r="A814" i="1"/>
  <c r="B814" i="1" s="1"/>
  <c r="A813" i="1"/>
  <c r="B813" i="1" s="1"/>
  <c r="A812" i="1"/>
  <c r="B812" i="1" s="1"/>
  <c r="A811" i="1"/>
  <c r="B811" i="1" s="1"/>
  <c r="A810" i="1"/>
  <c r="B810" i="1" s="1"/>
  <c r="A809" i="1"/>
  <c r="B809" i="1" s="1"/>
  <c r="A808" i="1"/>
  <c r="B808" i="1" s="1"/>
  <c r="A807" i="1"/>
  <c r="B807" i="1" s="1"/>
  <c r="A806" i="1"/>
  <c r="B806" i="1" s="1"/>
  <c r="A805" i="1"/>
  <c r="B805" i="1" s="1"/>
  <c r="A804" i="1"/>
  <c r="B804" i="1" s="1"/>
  <c r="A803" i="1"/>
  <c r="B803" i="1" s="1"/>
  <c r="A802" i="1"/>
  <c r="B802" i="1" s="1"/>
  <c r="A801" i="1"/>
  <c r="B801" i="1" s="1"/>
  <c r="A800" i="1"/>
  <c r="B800" i="1" s="1"/>
  <c r="A799" i="1"/>
  <c r="B799" i="1" s="1"/>
  <c r="A798" i="1"/>
  <c r="B798" i="1" s="1"/>
  <c r="A797" i="1"/>
  <c r="B797" i="1" s="1"/>
  <c r="A796" i="1"/>
  <c r="B796" i="1" s="1"/>
  <c r="A795" i="1"/>
  <c r="B795" i="1" s="1"/>
  <c r="A794" i="1"/>
  <c r="B794" i="1" s="1"/>
  <c r="A793" i="1"/>
  <c r="B793" i="1" s="1"/>
  <c r="A792" i="1"/>
  <c r="B792" i="1" s="1"/>
  <c r="A791" i="1"/>
  <c r="B791" i="1" s="1"/>
  <c r="A790" i="1"/>
  <c r="B790" i="1" s="1"/>
  <c r="A789" i="1"/>
  <c r="B789" i="1" s="1"/>
  <c r="A788" i="1"/>
  <c r="B788" i="1" s="1"/>
  <c r="A787" i="1"/>
  <c r="B787" i="1" s="1"/>
  <c r="A786" i="1"/>
  <c r="B786" i="1" s="1"/>
  <c r="A785" i="1"/>
  <c r="B785" i="1" s="1"/>
  <c r="A784" i="1"/>
  <c r="B784" i="1" s="1"/>
  <c r="A783" i="1"/>
  <c r="B783" i="1" s="1"/>
  <c r="A782" i="1"/>
  <c r="B782" i="1" s="1"/>
  <c r="A781" i="1"/>
  <c r="B781" i="1" s="1"/>
  <c r="A780" i="1"/>
  <c r="B780" i="1" s="1"/>
  <c r="A779" i="1"/>
  <c r="B779" i="1" s="1"/>
  <c r="A778" i="1"/>
  <c r="B778" i="1" s="1"/>
  <c r="A777" i="1"/>
  <c r="B777" i="1" s="1"/>
  <c r="A776" i="1"/>
  <c r="B776" i="1" s="1"/>
  <c r="A775" i="1"/>
  <c r="B775" i="1" s="1"/>
  <c r="A774" i="1"/>
  <c r="B774" i="1" s="1"/>
  <c r="A773" i="1"/>
  <c r="B773" i="1" s="1"/>
  <c r="A772" i="1"/>
  <c r="B772" i="1" s="1"/>
  <c r="A771" i="1"/>
  <c r="B771" i="1" s="1"/>
  <c r="A770" i="1"/>
  <c r="B770" i="1" s="1"/>
  <c r="A769" i="1"/>
  <c r="B769" i="1" s="1"/>
  <c r="A768" i="1"/>
  <c r="B768" i="1" s="1"/>
  <c r="A767" i="1"/>
  <c r="B767" i="1" s="1"/>
  <c r="A766" i="1"/>
  <c r="B766" i="1" s="1"/>
  <c r="A765" i="1"/>
  <c r="B765" i="1" s="1"/>
  <c r="A764" i="1"/>
  <c r="B764" i="1" s="1"/>
  <c r="A763" i="1"/>
  <c r="B763" i="1" s="1"/>
  <c r="A762" i="1"/>
  <c r="B762" i="1" s="1"/>
  <c r="A761" i="1"/>
  <c r="B761" i="1" s="1"/>
  <c r="A760" i="1"/>
  <c r="B760" i="1" s="1"/>
  <c r="A759" i="1"/>
  <c r="B759" i="1" s="1"/>
  <c r="A758" i="1"/>
  <c r="B758" i="1" s="1"/>
  <c r="A757" i="1"/>
  <c r="B757" i="1" s="1"/>
  <c r="A756" i="1"/>
  <c r="B756" i="1" s="1"/>
  <c r="B755" i="1"/>
  <c r="A755" i="1"/>
  <c r="A754" i="1"/>
  <c r="B754" i="1" s="1"/>
  <c r="A753" i="1"/>
  <c r="B753" i="1" s="1"/>
  <c r="A752" i="1"/>
  <c r="B752" i="1" s="1"/>
  <c r="A751" i="1"/>
  <c r="B751" i="1" s="1"/>
  <c r="A750" i="1"/>
  <c r="B750" i="1" s="1"/>
  <c r="A749" i="1"/>
  <c r="B749" i="1" s="1"/>
  <c r="A748" i="1"/>
  <c r="B748" i="1" s="1"/>
  <c r="A747" i="1"/>
  <c r="B747" i="1" s="1"/>
  <c r="A746" i="1"/>
  <c r="B746" i="1" s="1"/>
  <c r="A745" i="1"/>
  <c r="B745" i="1" s="1"/>
  <c r="A744" i="1"/>
  <c r="B744" i="1" s="1"/>
  <c r="A743" i="1"/>
  <c r="B743" i="1" s="1"/>
  <c r="A742" i="1"/>
  <c r="B742" i="1" s="1"/>
  <c r="A741" i="1"/>
  <c r="B741" i="1" s="1"/>
  <c r="A740" i="1"/>
  <c r="B740" i="1" s="1"/>
  <c r="A739" i="1"/>
  <c r="B739" i="1" s="1"/>
  <c r="A738" i="1"/>
  <c r="B738" i="1" s="1"/>
  <c r="A737" i="1"/>
  <c r="B737" i="1" s="1"/>
  <c r="A736" i="1"/>
  <c r="B736" i="1" s="1"/>
  <c r="A735" i="1"/>
  <c r="B735" i="1" s="1"/>
  <c r="A734" i="1"/>
  <c r="B734" i="1" s="1"/>
  <c r="A733" i="1"/>
  <c r="B733" i="1" s="1"/>
  <c r="A732" i="1"/>
  <c r="B732" i="1" s="1"/>
  <c r="A731" i="1"/>
  <c r="B731" i="1" s="1"/>
  <c r="A730" i="1"/>
  <c r="B730" i="1" s="1"/>
  <c r="A729" i="1"/>
  <c r="B729" i="1" s="1"/>
  <c r="A728" i="1"/>
  <c r="B728" i="1" s="1"/>
  <c r="A727" i="1"/>
  <c r="B727" i="1" s="1"/>
  <c r="A726" i="1"/>
  <c r="B726" i="1" s="1"/>
  <c r="A725" i="1"/>
  <c r="B725" i="1" s="1"/>
  <c r="A724" i="1"/>
  <c r="B724" i="1" s="1"/>
  <c r="A723" i="1"/>
  <c r="B723" i="1" s="1"/>
  <c r="A722" i="1"/>
  <c r="B722" i="1" s="1"/>
  <c r="A721" i="1"/>
  <c r="B721" i="1" s="1"/>
  <c r="A720" i="1"/>
  <c r="B720" i="1" s="1"/>
  <c r="A719" i="1"/>
  <c r="B719" i="1" s="1"/>
  <c r="A718" i="1"/>
  <c r="B718" i="1" s="1"/>
  <c r="A717" i="1"/>
  <c r="B717" i="1" s="1"/>
  <c r="A716" i="1"/>
  <c r="B716" i="1" s="1"/>
  <c r="A715" i="1"/>
  <c r="B715" i="1" s="1"/>
  <c r="A714" i="1"/>
  <c r="B714" i="1" s="1"/>
  <c r="A713" i="1"/>
  <c r="B713" i="1" s="1"/>
  <c r="A712" i="1"/>
  <c r="B712" i="1" s="1"/>
  <c r="A711" i="1"/>
  <c r="B711" i="1" s="1"/>
  <c r="A710" i="1"/>
  <c r="B710" i="1" s="1"/>
  <c r="A709" i="1"/>
  <c r="B709" i="1" s="1"/>
  <c r="A708" i="1"/>
  <c r="B708" i="1" s="1"/>
  <c r="B707" i="1"/>
  <c r="A707" i="1"/>
  <c r="A706" i="1"/>
  <c r="B706" i="1" s="1"/>
  <c r="A705" i="1"/>
  <c r="B705" i="1" s="1"/>
  <c r="A704" i="1"/>
  <c r="B704" i="1" s="1"/>
  <c r="B703" i="1"/>
  <c r="A703" i="1"/>
  <c r="A702" i="1"/>
  <c r="B702" i="1" s="1"/>
  <c r="A701" i="1"/>
  <c r="B701" i="1" s="1"/>
  <c r="A700" i="1"/>
  <c r="B700" i="1" s="1"/>
  <c r="A699" i="1"/>
  <c r="B699" i="1" s="1"/>
  <c r="A698" i="1"/>
  <c r="B698" i="1" s="1"/>
  <c r="A697" i="1"/>
  <c r="B697" i="1" s="1"/>
  <c r="A696" i="1"/>
  <c r="B696" i="1" s="1"/>
  <c r="A695" i="1"/>
  <c r="B695" i="1" s="1"/>
  <c r="A694" i="1"/>
  <c r="B694" i="1" s="1"/>
  <c r="A693" i="1"/>
  <c r="B693" i="1" s="1"/>
  <c r="A692" i="1"/>
  <c r="B692" i="1" s="1"/>
  <c r="A691" i="1"/>
  <c r="B691" i="1" s="1"/>
  <c r="A690" i="1"/>
  <c r="B690" i="1" s="1"/>
  <c r="A689" i="1"/>
  <c r="B689" i="1" s="1"/>
  <c r="A688" i="1"/>
  <c r="B688" i="1" s="1"/>
  <c r="A687" i="1"/>
  <c r="B687" i="1" s="1"/>
  <c r="A686" i="1"/>
  <c r="B686" i="1" s="1"/>
  <c r="A685" i="1"/>
  <c r="B685" i="1" s="1"/>
  <c r="A684" i="1"/>
  <c r="B684" i="1" s="1"/>
  <c r="A683" i="1"/>
  <c r="B683" i="1" s="1"/>
  <c r="A682" i="1"/>
  <c r="B682" i="1" s="1"/>
  <c r="A681" i="1"/>
  <c r="B681" i="1" s="1"/>
  <c r="A680" i="1"/>
  <c r="B680" i="1" s="1"/>
  <c r="A679" i="1"/>
  <c r="B679" i="1" s="1"/>
  <c r="A678" i="1"/>
  <c r="B678" i="1" s="1"/>
  <c r="A677" i="1"/>
  <c r="B677" i="1" s="1"/>
  <c r="A676" i="1"/>
  <c r="B676" i="1" s="1"/>
  <c r="A675" i="1"/>
  <c r="B675" i="1" s="1"/>
  <c r="A674" i="1"/>
  <c r="B674" i="1" s="1"/>
  <c r="A673" i="1"/>
  <c r="B673" i="1" s="1"/>
  <c r="A672" i="1"/>
  <c r="B672" i="1" s="1"/>
  <c r="A671" i="1"/>
  <c r="B671" i="1" s="1"/>
  <c r="A670" i="1"/>
  <c r="B670" i="1" s="1"/>
  <c r="A669" i="1"/>
  <c r="B669" i="1" s="1"/>
  <c r="A668" i="1"/>
  <c r="B668" i="1" s="1"/>
  <c r="A667" i="1"/>
  <c r="B667" i="1" s="1"/>
  <c r="A666" i="1"/>
  <c r="B666" i="1" s="1"/>
  <c r="A665" i="1"/>
  <c r="B665" i="1" s="1"/>
  <c r="A664" i="1"/>
  <c r="B664" i="1" s="1"/>
  <c r="A663" i="1"/>
  <c r="B663" i="1" s="1"/>
  <c r="A662" i="1"/>
  <c r="B662" i="1" s="1"/>
  <c r="A661" i="1"/>
  <c r="B661" i="1" s="1"/>
  <c r="A660" i="1"/>
  <c r="B660" i="1" s="1"/>
  <c r="A659" i="1"/>
  <c r="B659" i="1" s="1"/>
  <c r="A658" i="1"/>
  <c r="B658" i="1" s="1"/>
  <c r="A657" i="1"/>
  <c r="B657" i="1" s="1"/>
  <c r="A656" i="1"/>
  <c r="B656" i="1" s="1"/>
  <c r="A655" i="1"/>
  <c r="B655" i="1" s="1"/>
  <c r="A654" i="1"/>
  <c r="B654" i="1" s="1"/>
  <c r="A653" i="1"/>
  <c r="B653" i="1" s="1"/>
  <c r="A652" i="1"/>
  <c r="B652" i="1" s="1"/>
  <c r="A651" i="1"/>
  <c r="B651" i="1" s="1"/>
  <c r="A650" i="1"/>
  <c r="B650" i="1" s="1"/>
  <c r="A649" i="1"/>
  <c r="B649" i="1" s="1"/>
  <c r="A648" i="1"/>
  <c r="B648" i="1" s="1"/>
  <c r="A647" i="1"/>
  <c r="B647" i="1" s="1"/>
  <c r="A646" i="1"/>
  <c r="B646" i="1" s="1"/>
  <c r="A645" i="1"/>
  <c r="B645" i="1" s="1"/>
  <c r="A644" i="1"/>
  <c r="B644" i="1" s="1"/>
  <c r="B643" i="1"/>
  <c r="A643" i="1"/>
  <c r="A642" i="1"/>
  <c r="B642" i="1" s="1"/>
  <c r="A641" i="1"/>
  <c r="B641" i="1" s="1"/>
  <c r="A640" i="1"/>
  <c r="B640" i="1" s="1"/>
  <c r="A639" i="1"/>
  <c r="B639" i="1" s="1"/>
  <c r="A638" i="1"/>
  <c r="B638" i="1" s="1"/>
  <c r="A637" i="1"/>
  <c r="B637" i="1" s="1"/>
  <c r="A636" i="1"/>
  <c r="B636" i="1" s="1"/>
  <c r="A635" i="1"/>
  <c r="B635" i="1" s="1"/>
  <c r="A634" i="1"/>
  <c r="B634" i="1" s="1"/>
  <c r="A633" i="1"/>
  <c r="B633" i="1" s="1"/>
  <c r="A632" i="1"/>
  <c r="B632" i="1" s="1"/>
  <c r="A631" i="1"/>
  <c r="B631" i="1" s="1"/>
  <c r="A630" i="1"/>
  <c r="B630" i="1" s="1"/>
  <c r="A629" i="1"/>
  <c r="B629" i="1" s="1"/>
  <c r="A628" i="1"/>
  <c r="B628" i="1" s="1"/>
  <c r="A627" i="1"/>
  <c r="B627" i="1" s="1"/>
  <c r="B626" i="1"/>
  <c r="A626" i="1"/>
  <c r="A625" i="1"/>
  <c r="B625" i="1" s="1"/>
  <c r="A624" i="1"/>
  <c r="B624" i="1" s="1"/>
  <c r="A623" i="1"/>
  <c r="B623" i="1" s="1"/>
  <c r="B622" i="1"/>
  <c r="A622" i="1"/>
  <c r="A621" i="1"/>
  <c r="B621" i="1" s="1"/>
  <c r="A620" i="1"/>
  <c r="B620" i="1" s="1"/>
  <c r="A619" i="1"/>
  <c r="B619" i="1" s="1"/>
  <c r="A618" i="1"/>
  <c r="B618" i="1" s="1"/>
  <c r="A617" i="1"/>
  <c r="B617" i="1" s="1"/>
  <c r="A616" i="1"/>
  <c r="B616" i="1" s="1"/>
  <c r="A615" i="1"/>
  <c r="B615" i="1" s="1"/>
  <c r="A614" i="1"/>
  <c r="B614" i="1" s="1"/>
  <c r="A613" i="1"/>
  <c r="B613" i="1" s="1"/>
  <c r="A612" i="1"/>
  <c r="B612" i="1" s="1"/>
  <c r="A611" i="1"/>
  <c r="B611" i="1" s="1"/>
  <c r="A610" i="1"/>
  <c r="B610" i="1" s="1"/>
  <c r="A609" i="1"/>
  <c r="B609" i="1" s="1"/>
  <c r="A608" i="1"/>
  <c r="B608" i="1" s="1"/>
  <c r="A607" i="1"/>
  <c r="B607" i="1" s="1"/>
  <c r="B606" i="1"/>
  <c r="A606" i="1"/>
  <c r="A605" i="1"/>
  <c r="B605" i="1" s="1"/>
  <c r="A604" i="1"/>
  <c r="B604" i="1" s="1"/>
  <c r="A603" i="1"/>
  <c r="B603" i="1" s="1"/>
  <c r="A602" i="1"/>
  <c r="B602" i="1" s="1"/>
  <c r="A601" i="1"/>
  <c r="B601" i="1" s="1"/>
  <c r="A600" i="1"/>
  <c r="B600" i="1" s="1"/>
  <c r="A599" i="1"/>
  <c r="B599" i="1" s="1"/>
  <c r="A598" i="1"/>
  <c r="B598" i="1" s="1"/>
  <c r="A597" i="1"/>
  <c r="B597" i="1" s="1"/>
  <c r="A596" i="1"/>
  <c r="B596" i="1" s="1"/>
  <c r="A595" i="1"/>
  <c r="B595" i="1" s="1"/>
  <c r="A594" i="1"/>
  <c r="B594" i="1" s="1"/>
  <c r="A593" i="1"/>
  <c r="B593" i="1" s="1"/>
  <c r="A592" i="1"/>
  <c r="B592" i="1" s="1"/>
  <c r="A591" i="1"/>
  <c r="B591" i="1" s="1"/>
  <c r="A590" i="1"/>
  <c r="B590" i="1" s="1"/>
  <c r="A589" i="1"/>
  <c r="B589" i="1" s="1"/>
  <c r="A588" i="1"/>
  <c r="B588" i="1" s="1"/>
  <c r="A587" i="1"/>
  <c r="B587" i="1" s="1"/>
  <c r="A586" i="1"/>
  <c r="B586" i="1" s="1"/>
  <c r="A585" i="1"/>
  <c r="B585" i="1" s="1"/>
  <c r="A584" i="1"/>
  <c r="B584" i="1" s="1"/>
  <c r="A583" i="1"/>
  <c r="B583" i="1" s="1"/>
  <c r="A582" i="1"/>
  <c r="B582" i="1" s="1"/>
  <c r="A581" i="1"/>
  <c r="B581" i="1" s="1"/>
  <c r="A580" i="1"/>
  <c r="B580" i="1" s="1"/>
  <c r="A579" i="1"/>
  <c r="B579" i="1" s="1"/>
  <c r="A578" i="1"/>
  <c r="B578" i="1" s="1"/>
  <c r="A577" i="1"/>
  <c r="B577" i="1" s="1"/>
  <c r="A576" i="1"/>
  <c r="B576" i="1" s="1"/>
  <c r="A575" i="1"/>
  <c r="B575" i="1" s="1"/>
  <c r="A574" i="1"/>
  <c r="B574" i="1" s="1"/>
  <c r="A573" i="1"/>
  <c r="B573" i="1" s="1"/>
  <c r="A572" i="1"/>
  <c r="B572" i="1" s="1"/>
  <c r="A571" i="1"/>
  <c r="B571" i="1" s="1"/>
  <c r="A570" i="1"/>
  <c r="B570" i="1" s="1"/>
  <c r="A569" i="1"/>
  <c r="B569" i="1" s="1"/>
  <c r="A568" i="1"/>
  <c r="B568" i="1" s="1"/>
  <c r="A567" i="1"/>
  <c r="B567" i="1" s="1"/>
  <c r="A566" i="1"/>
  <c r="B566" i="1" s="1"/>
  <c r="A565" i="1"/>
  <c r="B565" i="1" s="1"/>
  <c r="A564" i="1"/>
  <c r="B564" i="1" s="1"/>
  <c r="A563" i="1"/>
  <c r="B563" i="1" s="1"/>
  <c r="A562" i="1"/>
  <c r="B562" i="1" s="1"/>
  <c r="A561" i="1"/>
  <c r="B561" i="1" s="1"/>
  <c r="A560" i="1"/>
  <c r="B560" i="1" s="1"/>
  <c r="A559" i="1"/>
  <c r="B559" i="1" s="1"/>
  <c r="A558" i="1"/>
  <c r="B558" i="1" s="1"/>
  <c r="A557" i="1"/>
  <c r="B557" i="1" s="1"/>
  <c r="A556" i="1"/>
  <c r="B556" i="1" s="1"/>
  <c r="A555" i="1"/>
  <c r="B555" i="1" s="1"/>
  <c r="A554" i="1"/>
  <c r="B554" i="1" s="1"/>
  <c r="A553" i="1"/>
  <c r="B553" i="1" s="1"/>
  <c r="A552" i="1"/>
  <c r="B552" i="1" s="1"/>
  <c r="A551" i="1"/>
  <c r="B551" i="1" s="1"/>
  <c r="A550" i="1"/>
  <c r="B550" i="1" s="1"/>
  <c r="A549" i="1"/>
  <c r="B549" i="1" s="1"/>
  <c r="A548" i="1"/>
  <c r="B548" i="1" s="1"/>
  <c r="A547" i="1"/>
  <c r="B547" i="1" s="1"/>
  <c r="A546" i="1"/>
  <c r="B546" i="1" s="1"/>
  <c r="A545" i="1"/>
  <c r="B545" i="1" s="1"/>
  <c r="A544" i="1"/>
  <c r="B544" i="1" s="1"/>
  <c r="A543" i="1"/>
  <c r="B543" i="1" s="1"/>
  <c r="A542" i="1"/>
  <c r="B542" i="1" s="1"/>
  <c r="A541" i="1"/>
  <c r="B541" i="1" s="1"/>
  <c r="A540" i="1"/>
  <c r="B540" i="1" s="1"/>
  <c r="A539" i="1"/>
  <c r="B539" i="1" s="1"/>
  <c r="A538" i="1"/>
  <c r="B538" i="1" s="1"/>
  <c r="A537" i="1"/>
  <c r="B537" i="1" s="1"/>
  <c r="A536" i="1"/>
  <c r="B536" i="1" s="1"/>
  <c r="A535" i="1"/>
  <c r="B535" i="1" s="1"/>
  <c r="A534" i="1"/>
  <c r="B534" i="1" s="1"/>
  <c r="A533" i="1"/>
  <c r="B533" i="1" s="1"/>
  <c r="A532" i="1"/>
  <c r="B532" i="1" s="1"/>
  <c r="A531" i="1"/>
  <c r="B531" i="1" s="1"/>
  <c r="A530" i="1"/>
  <c r="B530" i="1" s="1"/>
  <c r="A529" i="1"/>
  <c r="B529" i="1" s="1"/>
  <c r="A528" i="1"/>
  <c r="B528" i="1" s="1"/>
  <c r="A527" i="1"/>
  <c r="B527" i="1" s="1"/>
  <c r="A526" i="1"/>
  <c r="B526" i="1" s="1"/>
  <c r="A525" i="1"/>
  <c r="B525" i="1" s="1"/>
  <c r="A524" i="1"/>
  <c r="B524" i="1" s="1"/>
  <c r="A523" i="1"/>
  <c r="B523" i="1" s="1"/>
  <c r="A522" i="1"/>
  <c r="B522" i="1" s="1"/>
  <c r="A521" i="1"/>
  <c r="B521" i="1" s="1"/>
  <c r="A520" i="1"/>
  <c r="B520" i="1" s="1"/>
  <c r="A519" i="1"/>
  <c r="B519" i="1" s="1"/>
  <c r="A518" i="1"/>
  <c r="B518" i="1" s="1"/>
  <c r="A517" i="1"/>
  <c r="B517" i="1" s="1"/>
  <c r="A516" i="1"/>
  <c r="B516" i="1" s="1"/>
  <c r="A515" i="1"/>
  <c r="B515" i="1" s="1"/>
  <c r="A514" i="1"/>
  <c r="B514" i="1" s="1"/>
  <c r="A513" i="1"/>
  <c r="B513" i="1" s="1"/>
  <c r="A512" i="1"/>
  <c r="B512" i="1" s="1"/>
  <c r="A511" i="1"/>
  <c r="B511" i="1" s="1"/>
  <c r="B510" i="1"/>
  <c r="A510" i="1"/>
  <c r="A509" i="1"/>
  <c r="B509" i="1" s="1"/>
  <c r="A508" i="1"/>
  <c r="B508" i="1" s="1"/>
  <c r="A507" i="1"/>
  <c r="B507" i="1" s="1"/>
  <c r="A506" i="1"/>
  <c r="B506" i="1" s="1"/>
  <c r="A505" i="1"/>
  <c r="B505" i="1" s="1"/>
  <c r="A504" i="1"/>
  <c r="B504" i="1" s="1"/>
  <c r="A503" i="1"/>
  <c r="B503" i="1" s="1"/>
  <c r="A502" i="1"/>
  <c r="B502" i="1" s="1"/>
  <c r="A501" i="1"/>
  <c r="B501" i="1" s="1"/>
  <c r="A500" i="1"/>
  <c r="B500" i="1" s="1"/>
  <c r="A499" i="1"/>
  <c r="B499" i="1" s="1"/>
  <c r="A498" i="1"/>
  <c r="B498" i="1" s="1"/>
  <c r="A497" i="1"/>
  <c r="B497" i="1" s="1"/>
  <c r="A496" i="1"/>
  <c r="B496" i="1" s="1"/>
  <c r="A495" i="1"/>
  <c r="B495" i="1" s="1"/>
  <c r="A494" i="1"/>
  <c r="B494" i="1" s="1"/>
  <c r="A493" i="1"/>
  <c r="B493" i="1" s="1"/>
  <c r="A492" i="1"/>
  <c r="B492" i="1" s="1"/>
  <c r="A491" i="1"/>
  <c r="B491" i="1" s="1"/>
  <c r="A490" i="1"/>
  <c r="B490" i="1" s="1"/>
  <c r="A489" i="1"/>
  <c r="B489" i="1" s="1"/>
  <c r="A488" i="1"/>
  <c r="B488" i="1" s="1"/>
  <c r="A487" i="1"/>
  <c r="B487" i="1" s="1"/>
  <c r="A486" i="1"/>
  <c r="B486" i="1" s="1"/>
  <c r="A485" i="1"/>
  <c r="B485" i="1" s="1"/>
  <c r="A484" i="1"/>
  <c r="B484" i="1" s="1"/>
  <c r="A483" i="1"/>
  <c r="B483" i="1" s="1"/>
  <c r="A482" i="1"/>
  <c r="B482" i="1" s="1"/>
  <c r="A481" i="1"/>
  <c r="B481" i="1" s="1"/>
  <c r="A480" i="1"/>
  <c r="B480" i="1" s="1"/>
  <c r="A479" i="1"/>
  <c r="B479" i="1" s="1"/>
  <c r="A478" i="1"/>
  <c r="B478" i="1" s="1"/>
  <c r="A477" i="1"/>
  <c r="B477" i="1" s="1"/>
  <c r="A476" i="1"/>
  <c r="B476" i="1" s="1"/>
  <c r="A475" i="1"/>
  <c r="B475" i="1" s="1"/>
  <c r="A474" i="1"/>
  <c r="B474" i="1" s="1"/>
  <c r="A473" i="1"/>
  <c r="B473" i="1" s="1"/>
  <c r="A472" i="1"/>
  <c r="B472" i="1" s="1"/>
  <c r="B471" i="1"/>
  <c r="A471" i="1"/>
  <c r="A470" i="1"/>
  <c r="B470" i="1" s="1"/>
  <c r="A469" i="1"/>
  <c r="B469" i="1" s="1"/>
  <c r="A468" i="1"/>
  <c r="B468" i="1" s="1"/>
  <c r="A467" i="1"/>
  <c r="B467" i="1" s="1"/>
  <c r="A466" i="1"/>
  <c r="B466" i="1" s="1"/>
  <c r="A465" i="1"/>
  <c r="B465" i="1" s="1"/>
  <c r="A464" i="1"/>
  <c r="B464" i="1" s="1"/>
  <c r="A463" i="1"/>
  <c r="B463" i="1" s="1"/>
  <c r="A462" i="1"/>
  <c r="B462" i="1" s="1"/>
  <c r="A461" i="1"/>
  <c r="B461" i="1" s="1"/>
  <c r="A460" i="1"/>
  <c r="B460" i="1" s="1"/>
  <c r="A459" i="1"/>
  <c r="B459" i="1" s="1"/>
  <c r="A458" i="1"/>
  <c r="B458" i="1" s="1"/>
  <c r="A457" i="1"/>
  <c r="B457" i="1" s="1"/>
  <c r="A456" i="1"/>
  <c r="B456" i="1" s="1"/>
  <c r="A455" i="1"/>
  <c r="B455" i="1" s="1"/>
  <c r="A454" i="1"/>
  <c r="B454" i="1" s="1"/>
  <c r="A453" i="1"/>
  <c r="B453" i="1" s="1"/>
  <c r="A452" i="1"/>
  <c r="B452" i="1" s="1"/>
  <c r="A451" i="1"/>
  <c r="B451" i="1" s="1"/>
  <c r="A450" i="1"/>
  <c r="B450" i="1" s="1"/>
  <c r="A449" i="1"/>
  <c r="B449" i="1" s="1"/>
  <c r="A448" i="1"/>
  <c r="B448" i="1" s="1"/>
  <c r="A447" i="1"/>
  <c r="B447" i="1" s="1"/>
  <c r="A446" i="1"/>
  <c r="B446" i="1" s="1"/>
  <c r="A445" i="1"/>
  <c r="B445" i="1" s="1"/>
  <c r="A444" i="1"/>
  <c r="B444" i="1" s="1"/>
  <c r="A443" i="1"/>
  <c r="B443" i="1" s="1"/>
  <c r="A442" i="1"/>
  <c r="B442" i="1" s="1"/>
  <c r="A441" i="1"/>
  <c r="B441" i="1" s="1"/>
  <c r="A440" i="1"/>
  <c r="B440" i="1" s="1"/>
  <c r="A439" i="1"/>
  <c r="B439" i="1" s="1"/>
  <c r="A438" i="1"/>
  <c r="B438" i="1" s="1"/>
  <c r="A437" i="1"/>
  <c r="B437" i="1" s="1"/>
  <c r="A436" i="1"/>
  <c r="B436" i="1" s="1"/>
  <c r="A435" i="1"/>
  <c r="B435" i="1" s="1"/>
  <c r="A434" i="1"/>
  <c r="B434" i="1" s="1"/>
  <c r="A433" i="1"/>
  <c r="B433" i="1" s="1"/>
  <c r="A432" i="1"/>
  <c r="B432" i="1" s="1"/>
  <c r="A431" i="1"/>
  <c r="B431" i="1" s="1"/>
  <c r="A430" i="1"/>
  <c r="B430" i="1" s="1"/>
  <c r="A429" i="1"/>
  <c r="B429" i="1" s="1"/>
  <c r="A428" i="1"/>
  <c r="B428" i="1" s="1"/>
  <c r="A427" i="1"/>
  <c r="B427" i="1" s="1"/>
  <c r="A426" i="1"/>
  <c r="B426" i="1" s="1"/>
  <c r="A425" i="1"/>
  <c r="B425" i="1" s="1"/>
  <c r="A424" i="1"/>
  <c r="B424" i="1" s="1"/>
  <c r="A423" i="1"/>
  <c r="B423" i="1" s="1"/>
  <c r="A422" i="1"/>
  <c r="B422" i="1" s="1"/>
  <c r="A421" i="1"/>
  <c r="B421" i="1" s="1"/>
  <c r="A420" i="1"/>
  <c r="B420" i="1" s="1"/>
  <c r="A419" i="1"/>
  <c r="B419" i="1" s="1"/>
  <c r="A418" i="1"/>
  <c r="B418" i="1" s="1"/>
  <c r="A417" i="1"/>
  <c r="B417" i="1" s="1"/>
  <c r="A416" i="1"/>
  <c r="B416" i="1" s="1"/>
  <c r="A415" i="1"/>
  <c r="B415" i="1" s="1"/>
  <c r="A414" i="1"/>
  <c r="B414" i="1" s="1"/>
  <c r="A413" i="1"/>
  <c r="B413" i="1" s="1"/>
  <c r="A412" i="1"/>
  <c r="B412" i="1" s="1"/>
  <c r="A411" i="1"/>
  <c r="B411" i="1" s="1"/>
  <c r="A410" i="1"/>
  <c r="B410" i="1" s="1"/>
  <c r="A409" i="1"/>
  <c r="B409" i="1" s="1"/>
  <c r="A408" i="1"/>
  <c r="B408" i="1" s="1"/>
  <c r="A407" i="1"/>
  <c r="B407" i="1" s="1"/>
  <c r="A406" i="1"/>
  <c r="B406" i="1" s="1"/>
  <c r="A405" i="1"/>
  <c r="B405" i="1" s="1"/>
  <c r="A404" i="1"/>
  <c r="B404" i="1" s="1"/>
  <c r="A403" i="1"/>
  <c r="B403" i="1" s="1"/>
  <c r="A402" i="1"/>
  <c r="B402" i="1" s="1"/>
  <c r="A401" i="1"/>
  <c r="B401" i="1" s="1"/>
  <c r="A400" i="1"/>
  <c r="B400" i="1" s="1"/>
  <c r="A399" i="1"/>
  <c r="B399" i="1" s="1"/>
  <c r="A398" i="1"/>
  <c r="B398" i="1" s="1"/>
  <c r="A397" i="1"/>
  <c r="B397" i="1" s="1"/>
  <c r="A396" i="1"/>
  <c r="B396" i="1" s="1"/>
  <c r="A395" i="1"/>
  <c r="B395" i="1" s="1"/>
  <c r="A394" i="1"/>
  <c r="B394" i="1" s="1"/>
  <c r="A393" i="1"/>
  <c r="B393" i="1" s="1"/>
  <c r="A392" i="1"/>
  <c r="B392" i="1" s="1"/>
  <c r="A391" i="1"/>
  <c r="B391" i="1" s="1"/>
  <c r="A390" i="1"/>
  <c r="B390" i="1" s="1"/>
  <c r="A389" i="1"/>
  <c r="B389" i="1" s="1"/>
  <c r="A388" i="1"/>
  <c r="B388" i="1" s="1"/>
  <c r="A387" i="1"/>
  <c r="B387" i="1" s="1"/>
  <c r="A386" i="1"/>
  <c r="B386" i="1" s="1"/>
  <c r="A385" i="1"/>
  <c r="B385" i="1" s="1"/>
  <c r="A384" i="1"/>
  <c r="B384" i="1" s="1"/>
  <c r="A383" i="1"/>
  <c r="B383" i="1" s="1"/>
  <c r="A382" i="1"/>
  <c r="B382" i="1" s="1"/>
  <c r="A381" i="1"/>
  <c r="B381" i="1" s="1"/>
  <c r="A380" i="1"/>
  <c r="B380" i="1" s="1"/>
  <c r="A379" i="1"/>
  <c r="B379" i="1" s="1"/>
  <c r="A378" i="1"/>
  <c r="B378" i="1" s="1"/>
  <c r="A377" i="1"/>
  <c r="B377" i="1" s="1"/>
  <c r="A376" i="1"/>
  <c r="B376" i="1" s="1"/>
  <c r="A375" i="1"/>
  <c r="B375" i="1" s="1"/>
  <c r="A374" i="1"/>
  <c r="B374" i="1" s="1"/>
  <c r="A373" i="1"/>
  <c r="B373" i="1" s="1"/>
  <c r="A372" i="1"/>
  <c r="B372" i="1" s="1"/>
  <c r="A371" i="1"/>
  <c r="B371" i="1" s="1"/>
  <c r="A370" i="1"/>
  <c r="B370" i="1" s="1"/>
  <c r="A369" i="1"/>
  <c r="B369" i="1" s="1"/>
  <c r="A368" i="1"/>
  <c r="B368" i="1" s="1"/>
  <c r="A367" i="1"/>
  <c r="B367" i="1" s="1"/>
  <c r="A366" i="1"/>
  <c r="B366" i="1" s="1"/>
  <c r="A365" i="1"/>
  <c r="B365" i="1" s="1"/>
  <c r="A364" i="1"/>
  <c r="B364" i="1" s="1"/>
  <c r="A363" i="1"/>
  <c r="B363" i="1" s="1"/>
  <c r="A362" i="1"/>
  <c r="B362" i="1" s="1"/>
  <c r="A361" i="1"/>
  <c r="B361" i="1" s="1"/>
  <c r="A360" i="1"/>
  <c r="B360" i="1" s="1"/>
  <c r="A359" i="1"/>
  <c r="B359" i="1" s="1"/>
  <c r="A358" i="1"/>
  <c r="B358" i="1" s="1"/>
  <c r="A357" i="1"/>
  <c r="B357" i="1" s="1"/>
  <c r="B356" i="1"/>
  <c r="A356" i="1"/>
  <c r="A355" i="1"/>
  <c r="B355" i="1" s="1"/>
  <c r="B354" i="1"/>
  <c r="A354" i="1"/>
  <c r="A353" i="1"/>
  <c r="B353" i="1" s="1"/>
  <c r="A352" i="1"/>
  <c r="B352" i="1" s="1"/>
  <c r="A351" i="1"/>
  <c r="B351" i="1" s="1"/>
  <c r="A350" i="1"/>
  <c r="B350" i="1" s="1"/>
  <c r="A349" i="1"/>
  <c r="B349" i="1" s="1"/>
  <c r="A348" i="1"/>
  <c r="B348" i="1" s="1"/>
  <c r="A347" i="1"/>
  <c r="B347" i="1" s="1"/>
  <c r="B346" i="1"/>
  <c r="A346" i="1"/>
  <c r="A345" i="1"/>
  <c r="B345" i="1" s="1"/>
  <c r="A344" i="1"/>
  <c r="B344" i="1" s="1"/>
  <c r="A343" i="1"/>
  <c r="B343" i="1" s="1"/>
  <c r="A342" i="1"/>
  <c r="B342" i="1" s="1"/>
  <c r="A341" i="1"/>
  <c r="B341" i="1" s="1"/>
  <c r="A340" i="1"/>
  <c r="B340" i="1" s="1"/>
  <c r="A339" i="1"/>
  <c r="B339" i="1" s="1"/>
  <c r="A338" i="1"/>
  <c r="B338" i="1" s="1"/>
  <c r="A337" i="1"/>
  <c r="B337" i="1" s="1"/>
  <c r="A336" i="1"/>
  <c r="B336" i="1" s="1"/>
  <c r="A335" i="1"/>
  <c r="B335" i="1" s="1"/>
  <c r="A334" i="1"/>
  <c r="B334" i="1" s="1"/>
  <c r="A333" i="1"/>
  <c r="B333" i="1" s="1"/>
  <c r="A332" i="1"/>
  <c r="B332" i="1" s="1"/>
  <c r="A331" i="1"/>
  <c r="B331" i="1" s="1"/>
  <c r="A330" i="1"/>
  <c r="B330" i="1" s="1"/>
  <c r="A329" i="1"/>
  <c r="B329" i="1" s="1"/>
  <c r="A328" i="1"/>
  <c r="B328" i="1" s="1"/>
  <c r="A327" i="1"/>
  <c r="B327" i="1" s="1"/>
  <c r="A326" i="1"/>
  <c r="B326" i="1" s="1"/>
  <c r="A325" i="1"/>
  <c r="B325" i="1" s="1"/>
  <c r="A324" i="1"/>
  <c r="B324" i="1" s="1"/>
  <c r="A323" i="1"/>
  <c r="B323" i="1" s="1"/>
  <c r="A322" i="1"/>
  <c r="B322" i="1" s="1"/>
  <c r="A321" i="1"/>
  <c r="B321" i="1" s="1"/>
  <c r="A320" i="1"/>
  <c r="B320" i="1" s="1"/>
  <c r="A319" i="1"/>
  <c r="B319" i="1" s="1"/>
  <c r="A318" i="1"/>
  <c r="B318" i="1" s="1"/>
  <c r="A317" i="1"/>
  <c r="B317" i="1" s="1"/>
  <c r="A316" i="1"/>
  <c r="B316" i="1" s="1"/>
  <c r="A315" i="1"/>
  <c r="B315" i="1" s="1"/>
  <c r="A314" i="1"/>
  <c r="B314" i="1" s="1"/>
  <c r="A313" i="1"/>
  <c r="B313" i="1" s="1"/>
  <c r="A312" i="1"/>
  <c r="B312" i="1" s="1"/>
  <c r="A311" i="1"/>
  <c r="B311" i="1" s="1"/>
  <c r="A310" i="1"/>
  <c r="B310" i="1" s="1"/>
  <c r="A309" i="1"/>
  <c r="B309" i="1" s="1"/>
  <c r="A308" i="1"/>
  <c r="B308" i="1" s="1"/>
  <c r="A307" i="1"/>
  <c r="B307" i="1" s="1"/>
  <c r="A306" i="1"/>
  <c r="B306" i="1" s="1"/>
  <c r="A305" i="1"/>
  <c r="B305" i="1" s="1"/>
  <c r="A304" i="1"/>
  <c r="B304" i="1" s="1"/>
  <c r="A303" i="1"/>
  <c r="B303" i="1" s="1"/>
  <c r="A302" i="1"/>
  <c r="B302" i="1" s="1"/>
  <c r="A301" i="1"/>
  <c r="B301" i="1" s="1"/>
  <c r="A300" i="1"/>
  <c r="B300" i="1" s="1"/>
  <c r="B299" i="1"/>
  <c r="A299" i="1"/>
  <c r="A298" i="1"/>
  <c r="B298" i="1" s="1"/>
  <c r="A297" i="1"/>
  <c r="B297" i="1" s="1"/>
  <c r="A296" i="1"/>
  <c r="B296" i="1" s="1"/>
  <c r="A295" i="1"/>
  <c r="B295" i="1" s="1"/>
  <c r="A294" i="1"/>
  <c r="B294" i="1" s="1"/>
  <c r="A293" i="1"/>
  <c r="B293" i="1" s="1"/>
  <c r="A292" i="1"/>
  <c r="B292" i="1" s="1"/>
  <c r="A291" i="1"/>
  <c r="B291" i="1" s="1"/>
  <c r="A290" i="1"/>
  <c r="B290" i="1" s="1"/>
  <c r="A289" i="1"/>
  <c r="B289" i="1" s="1"/>
  <c r="A288" i="1"/>
  <c r="B288" i="1" s="1"/>
  <c r="A287" i="1"/>
  <c r="B287" i="1" s="1"/>
  <c r="A286" i="1"/>
  <c r="B286" i="1" s="1"/>
  <c r="A285" i="1"/>
  <c r="B285" i="1" s="1"/>
  <c r="A284" i="1"/>
  <c r="B284" i="1" s="1"/>
  <c r="A283" i="1"/>
  <c r="B283" i="1" s="1"/>
  <c r="B282" i="1"/>
  <c r="A282" i="1"/>
  <c r="A281" i="1"/>
  <c r="B281" i="1" s="1"/>
  <c r="A280" i="1"/>
  <c r="B280" i="1" s="1"/>
  <c r="A279" i="1"/>
  <c r="B279" i="1" s="1"/>
  <c r="A278" i="1"/>
  <c r="B278" i="1" s="1"/>
  <c r="A277" i="1"/>
  <c r="B277" i="1" s="1"/>
  <c r="A276" i="1"/>
  <c r="B276" i="1" s="1"/>
  <c r="A275" i="1"/>
  <c r="B275" i="1" s="1"/>
  <c r="A274" i="1"/>
  <c r="B274" i="1" s="1"/>
  <c r="A273" i="1"/>
  <c r="B273" i="1" s="1"/>
  <c r="A272" i="1"/>
  <c r="B272" i="1" s="1"/>
  <c r="A271" i="1"/>
  <c r="B271" i="1" s="1"/>
  <c r="A270" i="1"/>
  <c r="B270" i="1" s="1"/>
  <c r="B269" i="1"/>
  <c r="A269" i="1"/>
  <c r="A268" i="1"/>
  <c r="B268" i="1" s="1"/>
  <c r="A267" i="1"/>
  <c r="B267" i="1" s="1"/>
  <c r="A266" i="1"/>
  <c r="B266" i="1" s="1"/>
  <c r="A265" i="1"/>
  <c r="B265" i="1" s="1"/>
  <c r="A264" i="1"/>
  <c r="B264" i="1" s="1"/>
  <c r="A263" i="1"/>
  <c r="B263" i="1" s="1"/>
  <c r="A262" i="1"/>
  <c r="B262" i="1" s="1"/>
  <c r="A261" i="1"/>
  <c r="B261" i="1" s="1"/>
  <c r="A260" i="1"/>
  <c r="B260" i="1" s="1"/>
  <c r="A259" i="1"/>
  <c r="B259" i="1" s="1"/>
  <c r="A258" i="1"/>
  <c r="B258" i="1" s="1"/>
  <c r="A257" i="1"/>
  <c r="B257" i="1" s="1"/>
  <c r="A256" i="1"/>
  <c r="B256" i="1" s="1"/>
  <c r="A255" i="1"/>
  <c r="B255" i="1" s="1"/>
  <c r="A254" i="1"/>
  <c r="B254" i="1" s="1"/>
  <c r="A253" i="1"/>
  <c r="B253" i="1" s="1"/>
  <c r="A252" i="1"/>
  <c r="B252" i="1" s="1"/>
  <c r="A251" i="1"/>
  <c r="B251" i="1" s="1"/>
  <c r="A250" i="1"/>
  <c r="B250" i="1" s="1"/>
  <c r="A249" i="1"/>
  <c r="B249" i="1" s="1"/>
  <c r="A248" i="1"/>
  <c r="B248" i="1" s="1"/>
  <c r="A247" i="1"/>
  <c r="B247" i="1" s="1"/>
  <c r="A246" i="1"/>
  <c r="B246" i="1" s="1"/>
  <c r="A245" i="1"/>
  <c r="B245" i="1" s="1"/>
  <c r="A244" i="1"/>
  <c r="B244" i="1" s="1"/>
  <c r="A243" i="1"/>
  <c r="B243" i="1" s="1"/>
  <c r="A242" i="1"/>
  <c r="B242" i="1" s="1"/>
  <c r="A241" i="1"/>
  <c r="B241" i="1" s="1"/>
  <c r="A240" i="1"/>
  <c r="B240" i="1" s="1"/>
  <c r="A239" i="1"/>
  <c r="B239" i="1" s="1"/>
  <c r="A238" i="1"/>
  <c r="B238" i="1" s="1"/>
  <c r="A237" i="1"/>
  <c r="B237" i="1" s="1"/>
  <c r="A236" i="1"/>
  <c r="B236" i="1" s="1"/>
  <c r="A235" i="1"/>
  <c r="B235" i="1" s="1"/>
  <c r="A234" i="1"/>
  <c r="B234" i="1" s="1"/>
  <c r="A233" i="1"/>
  <c r="B233" i="1" s="1"/>
  <c r="A232" i="1"/>
  <c r="B232" i="1" s="1"/>
  <c r="A231" i="1"/>
  <c r="B231" i="1" s="1"/>
  <c r="A230" i="1"/>
  <c r="B230" i="1" s="1"/>
  <c r="A229" i="1"/>
  <c r="B229" i="1" s="1"/>
  <c r="A228" i="1"/>
  <c r="B228" i="1" s="1"/>
  <c r="A227" i="1"/>
  <c r="B227" i="1" s="1"/>
  <c r="A226" i="1"/>
  <c r="B226" i="1" s="1"/>
  <c r="A225" i="1"/>
  <c r="B225" i="1" s="1"/>
  <c r="A224" i="1"/>
  <c r="B224" i="1" s="1"/>
  <c r="A223" i="1"/>
  <c r="B223" i="1" s="1"/>
  <c r="A222" i="1"/>
  <c r="B222" i="1" s="1"/>
  <c r="A221" i="1"/>
  <c r="B221" i="1" s="1"/>
  <c r="A220" i="1"/>
  <c r="B220" i="1" s="1"/>
  <c r="A219" i="1"/>
  <c r="B219" i="1" s="1"/>
  <c r="A218" i="1"/>
  <c r="B218" i="1" s="1"/>
  <c r="A217" i="1"/>
  <c r="B217" i="1" s="1"/>
  <c r="A216" i="1"/>
  <c r="B216" i="1" s="1"/>
  <c r="A215" i="1"/>
  <c r="B215" i="1" s="1"/>
  <c r="A214" i="1"/>
  <c r="B214" i="1" s="1"/>
  <c r="A213" i="1"/>
  <c r="B213" i="1" s="1"/>
  <c r="A212" i="1"/>
  <c r="B212" i="1" s="1"/>
  <c r="A211" i="1"/>
  <c r="B211" i="1" s="1"/>
  <c r="A210" i="1"/>
  <c r="B210" i="1" s="1"/>
  <c r="A209" i="1"/>
  <c r="B209" i="1" s="1"/>
  <c r="A208" i="1"/>
  <c r="B208" i="1" s="1"/>
  <c r="A207" i="1"/>
  <c r="B207" i="1" s="1"/>
  <c r="A206" i="1"/>
  <c r="B206" i="1" s="1"/>
  <c r="A205" i="1"/>
  <c r="B205" i="1" s="1"/>
  <c r="A204" i="1"/>
  <c r="B204" i="1" s="1"/>
  <c r="A203" i="1"/>
  <c r="B203" i="1" s="1"/>
  <c r="A202" i="1"/>
  <c r="B202" i="1" s="1"/>
  <c r="A201" i="1"/>
  <c r="B201" i="1" s="1"/>
  <c r="A200" i="1"/>
  <c r="B200" i="1" s="1"/>
  <c r="A199" i="1"/>
  <c r="B199" i="1" s="1"/>
  <c r="A198" i="1"/>
  <c r="B198" i="1" s="1"/>
  <c r="A197" i="1"/>
  <c r="B197" i="1" s="1"/>
  <c r="A196" i="1"/>
  <c r="B196" i="1" s="1"/>
  <c r="A195" i="1"/>
  <c r="B195" i="1" s="1"/>
  <c r="A194" i="1"/>
  <c r="B194" i="1" s="1"/>
  <c r="A193" i="1"/>
  <c r="B193" i="1" s="1"/>
  <c r="A192" i="1"/>
  <c r="B192" i="1" s="1"/>
  <c r="A191" i="1"/>
  <c r="B191" i="1" s="1"/>
  <c r="A190" i="1"/>
  <c r="B190" i="1" s="1"/>
  <c r="A189" i="1"/>
  <c r="B189" i="1" s="1"/>
  <c r="A188" i="1"/>
  <c r="B188" i="1" s="1"/>
  <c r="A187" i="1"/>
  <c r="B187" i="1" s="1"/>
  <c r="A186" i="1"/>
  <c r="B186" i="1" s="1"/>
  <c r="A185" i="1"/>
  <c r="B185" i="1" s="1"/>
  <c r="A184" i="1"/>
  <c r="B184" i="1" s="1"/>
  <c r="A183" i="1"/>
  <c r="B183" i="1" s="1"/>
  <c r="A182" i="1"/>
  <c r="B182" i="1" s="1"/>
  <c r="A181" i="1"/>
  <c r="B181" i="1" s="1"/>
  <c r="A180" i="1"/>
  <c r="B180" i="1" s="1"/>
  <c r="A179" i="1"/>
  <c r="B179" i="1" s="1"/>
  <c r="A178" i="1"/>
  <c r="B178" i="1" s="1"/>
  <c r="A177" i="1"/>
  <c r="B177" i="1" s="1"/>
  <c r="A176" i="1"/>
  <c r="B176" i="1" s="1"/>
  <c r="A175" i="1"/>
  <c r="B175" i="1" s="1"/>
  <c r="A174" i="1"/>
  <c r="B174" i="1" s="1"/>
  <c r="A173" i="1"/>
  <c r="B173" i="1" s="1"/>
  <c r="A172" i="1"/>
  <c r="B172" i="1" s="1"/>
  <c r="A171" i="1"/>
  <c r="B171" i="1" s="1"/>
  <c r="A170" i="1"/>
  <c r="B170" i="1" s="1"/>
  <c r="A169" i="1"/>
  <c r="B169" i="1" s="1"/>
  <c r="A168" i="1"/>
  <c r="B168" i="1" s="1"/>
  <c r="A167" i="1"/>
  <c r="B167" i="1" s="1"/>
  <c r="A166" i="1"/>
  <c r="B166" i="1" s="1"/>
  <c r="A165" i="1"/>
  <c r="B165" i="1" s="1"/>
  <c r="A164" i="1"/>
  <c r="B164" i="1" s="1"/>
  <c r="A163" i="1"/>
  <c r="B163" i="1" s="1"/>
  <c r="A162" i="1"/>
  <c r="B162" i="1" s="1"/>
  <c r="A161" i="1"/>
  <c r="B161" i="1" s="1"/>
  <c r="A160" i="1"/>
  <c r="B160" i="1" s="1"/>
  <c r="A159" i="1"/>
  <c r="B159" i="1" s="1"/>
  <c r="A158" i="1"/>
  <c r="B158" i="1" s="1"/>
  <c r="A157" i="1"/>
  <c r="B157" i="1" s="1"/>
  <c r="A156" i="1"/>
  <c r="B156" i="1" s="1"/>
  <c r="A155" i="1"/>
  <c r="B155" i="1" s="1"/>
  <c r="A154" i="1"/>
  <c r="B154" i="1" s="1"/>
  <c r="A153" i="1"/>
  <c r="B153" i="1" s="1"/>
  <c r="A152" i="1"/>
  <c r="B152" i="1" s="1"/>
  <c r="A151" i="1"/>
  <c r="B151" i="1" s="1"/>
  <c r="A150" i="1"/>
  <c r="B150" i="1" s="1"/>
  <c r="A149" i="1"/>
  <c r="B149" i="1" s="1"/>
  <c r="A148" i="1"/>
  <c r="B148" i="1" s="1"/>
  <c r="A147" i="1"/>
  <c r="B147" i="1" s="1"/>
  <c r="A146" i="1"/>
  <c r="B146" i="1" s="1"/>
  <c r="A145" i="1"/>
  <c r="B145" i="1" s="1"/>
  <c r="A144" i="1"/>
  <c r="B144" i="1" s="1"/>
  <c r="A143" i="1"/>
  <c r="B143" i="1" s="1"/>
  <c r="A142" i="1"/>
  <c r="B142" i="1" s="1"/>
  <c r="A141" i="1"/>
  <c r="B141" i="1" s="1"/>
  <c r="A140" i="1"/>
  <c r="B140" i="1" s="1"/>
  <c r="A139" i="1"/>
  <c r="B139" i="1" s="1"/>
  <c r="A138" i="1"/>
  <c r="B138" i="1" s="1"/>
  <c r="A137" i="1"/>
  <c r="B137" i="1" s="1"/>
  <c r="A136" i="1"/>
  <c r="B136" i="1" s="1"/>
  <c r="A135" i="1"/>
  <c r="B135" i="1" s="1"/>
  <c r="A134" i="1"/>
  <c r="B134" i="1" s="1"/>
  <c r="A133" i="1"/>
  <c r="B133" i="1" s="1"/>
  <c r="A132" i="1"/>
  <c r="B132" i="1" s="1"/>
  <c r="A131" i="1"/>
  <c r="B131" i="1" s="1"/>
  <c r="A130" i="1"/>
  <c r="B130" i="1" s="1"/>
  <c r="A129" i="1"/>
  <c r="B129" i="1" s="1"/>
  <c r="A128" i="1"/>
  <c r="B128" i="1" s="1"/>
  <c r="A127" i="1"/>
  <c r="B127" i="1" s="1"/>
  <c r="A126" i="1"/>
  <c r="B126" i="1" s="1"/>
  <c r="A125" i="1"/>
  <c r="B125" i="1" s="1"/>
  <c r="A124" i="1"/>
  <c r="B124" i="1" s="1"/>
  <c r="A123" i="1"/>
  <c r="B123" i="1" s="1"/>
  <c r="A122" i="1"/>
  <c r="B122" i="1" s="1"/>
  <c r="A121" i="1"/>
  <c r="B121" i="1" s="1"/>
  <c r="A120" i="1"/>
  <c r="B120" i="1" s="1"/>
  <c r="A119" i="1"/>
  <c r="B119" i="1" s="1"/>
  <c r="A118" i="1"/>
  <c r="B118" i="1" s="1"/>
  <c r="A117" i="1"/>
  <c r="B117" i="1" s="1"/>
  <c r="A116" i="1"/>
  <c r="B116" i="1" s="1"/>
  <c r="A115" i="1"/>
  <c r="B115" i="1" s="1"/>
  <c r="A114" i="1"/>
  <c r="B114" i="1" s="1"/>
  <c r="A113" i="1"/>
  <c r="B113" i="1" s="1"/>
  <c r="A112" i="1"/>
  <c r="B112" i="1" s="1"/>
  <c r="A111" i="1"/>
  <c r="B111" i="1" s="1"/>
  <c r="A110" i="1"/>
  <c r="B110" i="1" s="1"/>
  <c r="A109" i="1"/>
  <c r="B109" i="1" s="1"/>
  <c r="A108" i="1"/>
  <c r="B108" i="1" s="1"/>
  <c r="A107" i="1"/>
  <c r="B107" i="1" s="1"/>
  <c r="A106" i="1"/>
  <c r="B106" i="1" s="1"/>
  <c r="A105" i="1"/>
  <c r="B105" i="1" s="1"/>
  <c r="A104" i="1"/>
  <c r="B104" i="1" s="1"/>
  <c r="A103" i="1"/>
  <c r="B103" i="1" s="1"/>
  <c r="A102" i="1"/>
  <c r="B102" i="1" s="1"/>
  <c r="A101" i="1"/>
  <c r="B101" i="1" s="1"/>
  <c r="A100" i="1"/>
  <c r="B100" i="1" s="1"/>
  <c r="A99" i="1"/>
  <c r="B99" i="1" s="1"/>
  <c r="A98" i="1"/>
  <c r="B98" i="1" s="1"/>
  <c r="A97" i="1"/>
  <c r="B97" i="1" s="1"/>
  <c r="A96" i="1"/>
  <c r="B96" i="1" s="1"/>
  <c r="A95" i="1"/>
  <c r="B95" i="1" s="1"/>
  <c r="A94" i="1"/>
  <c r="B94" i="1" s="1"/>
  <c r="A93" i="1"/>
  <c r="B93" i="1" s="1"/>
  <c r="A92" i="1"/>
  <c r="B92" i="1" s="1"/>
  <c r="A91" i="1"/>
  <c r="B91" i="1" s="1"/>
  <c r="A90" i="1"/>
  <c r="B90" i="1" s="1"/>
  <c r="A89" i="1"/>
  <c r="B89" i="1" s="1"/>
  <c r="A88" i="1"/>
  <c r="B88" i="1" s="1"/>
  <c r="A87" i="1"/>
  <c r="B87" i="1" s="1"/>
  <c r="A86" i="1"/>
  <c r="B86" i="1" s="1"/>
  <c r="A85" i="1"/>
  <c r="B85" i="1" s="1"/>
  <c r="A84" i="1"/>
  <c r="B84" i="1" s="1"/>
  <c r="A83" i="1"/>
  <c r="B83" i="1" s="1"/>
  <c r="A82" i="1"/>
  <c r="B82" i="1" s="1"/>
  <c r="A81" i="1"/>
  <c r="B81" i="1" s="1"/>
  <c r="A80" i="1"/>
  <c r="B80" i="1" s="1"/>
  <c r="A79" i="1"/>
  <c r="B79" i="1" s="1"/>
  <c r="A78" i="1"/>
  <c r="B78" i="1" s="1"/>
  <c r="A77" i="1"/>
  <c r="B77" i="1" s="1"/>
  <c r="A76" i="1"/>
  <c r="B76" i="1" s="1"/>
  <c r="A75" i="1"/>
  <c r="B75" i="1" s="1"/>
  <c r="A74" i="1"/>
  <c r="B74" i="1" s="1"/>
  <c r="A73" i="1"/>
  <c r="B73" i="1" s="1"/>
  <c r="A72" i="1"/>
  <c r="B72" i="1" s="1"/>
  <c r="A71" i="1"/>
  <c r="B71" i="1" s="1"/>
  <c r="A70" i="1"/>
  <c r="B70" i="1" s="1"/>
  <c r="A69" i="1"/>
  <c r="B69" i="1" s="1"/>
  <c r="A68" i="1"/>
  <c r="B68" i="1" s="1"/>
  <c r="A67" i="1"/>
  <c r="B67" i="1" s="1"/>
  <c r="A66" i="1"/>
  <c r="B66" i="1" s="1"/>
  <c r="A65" i="1"/>
  <c r="B65" i="1" s="1"/>
  <c r="A64" i="1"/>
  <c r="B64" i="1" s="1"/>
  <c r="A63" i="1"/>
  <c r="B63" i="1" s="1"/>
  <c r="A62" i="1"/>
  <c r="B62" i="1" s="1"/>
  <c r="A61" i="1"/>
  <c r="B61" i="1" s="1"/>
  <c r="A60" i="1"/>
  <c r="B60" i="1" s="1"/>
  <c r="A59" i="1"/>
  <c r="B59" i="1" s="1"/>
  <c r="A58" i="1"/>
  <c r="B58" i="1" s="1"/>
  <c r="A57" i="1"/>
  <c r="B57" i="1" s="1"/>
  <c r="A56" i="1"/>
  <c r="B56" i="1" s="1"/>
  <c r="A55" i="1"/>
  <c r="B55" i="1" s="1"/>
  <c r="A54" i="1"/>
  <c r="B54" i="1" s="1"/>
  <c r="A53" i="1"/>
  <c r="B53" i="1" s="1"/>
  <c r="A52" i="1"/>
  <c r="B52" i="1" s="1"/>
  <c r="A51" i="1"/>
  <c r="B51" i="1" s="1"/>
  <c r="A50" i="1"/>
  <c r="B50" i="1" s="1"/>
  <c r="A49" i="1"/>
  <c r="B49" i="1" s="1"/>
  <c r="A48" i="1"/>
  <c r="B48" i="1" s="1"/>
  <c r="A47" i="1"/>
  <c r="B47" i="1" s="1"/>
  <c r="A46" i="1"/>
  <c r="B46" i="1" s="1"/>
  <c r="A45" i="1"/>
  <c r="B45" i="1" s="1"/>
  <c r="A44" i="1"/>
  <c r="B44" i="1" s="1"/>
  <c r="A43" i="1"/>
  <c r="B43" i="1" s="1"/>
  <c r="A42" i="1"/>
  <c r="B42" i="1" s="1"/>
  <c r="A41" i="1"/>
  <c r="B41" i="1" s="1"/>
  <c r="A40" i="1"/>
  <c r="B40" i="1" s="1"/>
  <c r="A39" i="1"/>
  <c r="B39" i="1" s="1"/>
  <c r="A38" i="1"/>
  <c r="B38" i="1" s="1"/>
  <c r="A37" i="1"/>
  <c r="B37" i="1" s="1"/>
  <c r="A36" i="1"/>
  <c r="B36" i="1" s="1"/>
  <c r="A35" i="1"/>
  <c r="B35" i="1" s="1"/>
  <c r="A34" i="1"/>
  <c r="B34" i="1" s="1"/>
  <c r="A33" i="1"/>
  <c r="B33" i="1" s="1"/>
  <c r="A32" i="1"/>
  <c r="B32" i="1" s="1"/>
  <c r="A31" i="1"/>
  <c r="B31" i="1" s="1"/>
  <c r="A30" i="1"/>
  <c r="B30" i="1" s="1"/>
  <c r="A29" i="1"/>
  <c r="B29" i="1" s="1"/>
  <c r="A28" i="1"/>
  <c r="B28" i="1" s="1"/>
  <c r="A27" i="1"/>
  <c r="B27" i="1" s="1"/>
  <c r="A26" i="1"/>
  <c r="B26" i="1" s="1"/>
  <c r="A25" i="1"/>
  <c r="B25" i="1" s="1"/>
  <c r="A24" i="1"/>
  <c r="B24" i="1" s="1"/>
  <c r="A23" i="1"/>
  <c r="B23" i="1" s="1"/>
  <c r="A22" i="1"/>
  <c r="B22" i="1" s="1"/>
  <c r="A21" i="1"/>
  <c r="B21" i="1" s="1"/>
  <c r="A20" i="1"/>
  <c r="B20" i="1" s="1"/>
  <c r="A19" i="1"/>
  <c r="B19" i="1" s="1"/>
  <c r="A18" i="1"/>
  <c r="B18" i="1" s="1"/>
  <c r="A17" i="1"/>
  <c r="B17" i="1" s="1"/>
  <c r="A16" i="1"/>
  <c r="B16" i="1" s="1"/>
  <c r="A15" i="1"/>
  <c r="B15" i="1" s="1"/>
  <c r="A14" i="1"/>
  <c r="B14" i="1" s="1"/>
  <c r="A13" i="1"/>
  <c r="B13" i="1" s="1"/>
  <c r="A12" i="1"/>
  <c r="B12" i="1" s="1"/>
  <c r="A11" i="1"/>
  <c r="B11" i="1" s="1"/>
  <c r="A10" i="1"/>
  <c r="B10" i="1" s="1"/>
  <c r="A9" i="1"/>
  <c r="B9" i="1" s="1"/>
  <c r="A8" i="1"/>
  <c r="B8" i="1" s="1"/>
  <c r="A7" i="1"/>
  <c r="B7" i="1" s="1"/>
  <c r="A6" i="1"/>
  <c r="B6" i="1" s="1"/>
  <c r="A5" i="1"/>
  <c r="B5" i="1" s="1"/>
  <c r="A4" i="1"/>
  <c r="B4" i="1" s="1"/>
  <c r="A3" i="1"/>
  <c r="B3" i="1" s="1"/>
</calcChain>
</file>

<file path=xl/sharedStrings.xml><?xml version="1.0" encoding="utf-8"?>
<sst xmlns="http://schemas.openxmlformats.org/spreadsheetml/2006/main" count="5960" uniqueCount="532">
  <si>
    <t>E0001-Regeneron</t>
  </si>
  <si>
    <t>OEP_Working</t>
  </si>
  <si>
    <t>USD</t>
  </si>
  <si>
    <t>C1400-Development Executive Management</t>
  </si>
  <si>
    <t>L00001-Tarrytown</t>
  </si>
  <si>
    <t>OEP_No Scenario</t>
  </si>
  <si>
    <t>Direct Input</t>
  </si>
  <si>
    <t>BegBalance</t>
  </si>
  <si>
    <t>Project Code - Desc</t>
  </si>
  <si>
    <t>GL Account</t>
  </si>
  <si>
    <t>FY08</t>
  </si>
  <si>
    <t>FY09</t>
  </si>
  <si>
    <t>P800GE00G0000 -General.Other.Gen.Gen.Gen</t>
  </si>
  <si>
    <t>A80020-Investigator Grants</t>
  </si>
  <si>
    <t>A80022-Contract Lab</t>
  </si>
  <si>
    <t>A80070-CRO - Services</t>
  </si>
  <si>
    <t>A80075-CRO - Pass Thrus</t>
  </si>
  <si>
    <t>A80076-Clinical - IVRS</t>
  </si>
  <si>
    <t>P890ST01C2632 -Basket Trial.ST.NSCLC.Clin.2632-2268</t>
  </si>
  <si>
    <t>A80027-Clinical Services</t>
  </si>
  <si>
    <t>A80028-Clinical - Data Imaging</t>
  </si>
  <si>
    <t>A80065-Clinical Comparators</t>
  </si>
  <si>
    <t>A80072-CRO Fsp Costs</t>
  </si>
  <si>
    <t>P-A81999-ALL OTHER CLINICAL EXPENSES</t>
  </si>
  <si>
    <t>P2-A81999-ALL DRUG LOGISTICS</t>
  </si>
  <si>
    <t>P450IM01C4011 -IL-1.IM.CAPS.Clin.4011-0818</t>
  </si>
  <si>
    <t>A81000-HEOR Costs</t>
  </si>
  <si>
    <t>P450IM01C5621 -IL-1.IM.CAPS.Clin.5621-0601</t>
  </si>
  <si>
    <t>A80077-Clinical - FSP Allocations</t>
  </si>
  <si>
    <t>P450MD01C5611 -IL-1.MD.Diab.Clin.5611-1022</t>
  </si>
  <si>
    <t>P450IM01C3711 -IL-1.IM.CAPS.Clin.3711-0505</t>
  </si>
  <si>
    <t>A80060-Combo Prod Dev</t>
  </si>
  <si>
    <t>P3-A81999-ALL CLINICAL ASSAY</t>
  </si>
  <si>
    <t>P450IM02C2411 -IL-1.IM.Gout.Clin.2411-0619</t>
  </si>
  <si>
    <t>P450IM02C3731 -IL-1.IM.Gout.Clin.3731-0810</t>
  </si>
  <si>
    <t>P450IM02C3732 -IL-1.IM.Gout.Clin.3732-0814</t>
  </si>
  <si>
    <t>P450IM02C3733 -IL-1.IM.Gout.Clin.3733-0816</t>
  </si>
  <si>
    <t>P450IM02C3931 -IL-1.IM.Gout.Clin.3931-0815</t>
  </si>
  <si>
    <t>P450IM02C4611 -IL-1.IM.Gout.Clin.4611-1102</t>
  </si>
  <si>
    <t>P450IM02C4612 -IL-1.IM.Gout.Clin.4612-1103</t>
  </si>
  <si>
    <t>P450IM02C4911 -IL-1.IM.Gout.Clin.4911-1101</t>
  </si>
  <si>
    <t>P450IM06C1611 -IL-1.IM.sJIA.Clin.1611-0504</t>
  </si>
  <si>
    <t>P450IM06C5411 -IL-1.IM.sJIA.Clin.5411-0707</t>
  </si>
  <si>
    <t>P450IM09C5411 -IL-1.IM.Kidney.Clin.5411-1206</t>
  </si>
  <si>
    <t>P450IM09C5412 -IL-1.IM.Kidney.Clin.5412-1207</t>
  </si>
  <si>
    <t>P570OD00C3831 -VEGF.OD.Other.Clin.3831-1920</t>
  </si>
  <si>
    <t>P570OD00C3931 -VEGF.OD.Other.Clin.3931-2036</t>
  </si>
  <si>
    <t>P570OD00C4911 -VEGF.OD.Other.Clin.4911-1881</t>
  </si>
  <si>
    <t>P570OD07C3711 -VEGF.OD.DR.Clin.3711-1411</t>
  </si>
  <si>
    <t>P570OD01C4911 -VEGF.OD.AMD.CLIN.4911-1124</t>
  </si>
  <si>
    <t>P570OD00C5411 -VEGF.OD.Gen.Clin.5411-1209</t>
  </si>
  <si>
    <t>P570OD00C5412 -VEGF.OD.Gen.Clin.5412-1210</t>
  </si>
  <si>
    <t>P570OD00C5611 -VEGF.OD.Gen.Clin.5611-1231</t>
  </si>
  <si>
    <t>P570OD00C5612 -VEGF.OD.Gen.Clin.5612-1232</t>
  </si>
  <si>
    <t>P570OD00C5614 -VEGF.OD.Gen.Clin.5614-1310</t>
  </si>
  <si>
    <t>P570OD00C5615 -VEGF.OD.Gen.Clin.5615-1311</t>
  </si>
  <si>
    <t>P570OD00C5618 -VEGF.OD.Gen.Clin.5618-1322</t>
  </si>
  <si>
    <t>P570OD01C1211 -VEGF.OD.AMD.Clin.1211-0502</t>
  </si>
  <si>
    <t>P570OD01C2511 -VEGF.OD.AMD.Clin.2511-0508</t>
  </si>
  <si>
    <t>P570OD01C2911 -VEGF.OD.AMD.Clin.2911-0702</t>
  </si>
  <si>
    <t>P570OD01C3831 -VEGF.OD.AMD.Clin.3831-0605</t>
  </si>
  <si>
    <t>P570OD01C3931 -VEGF.OD.AMD.CLIN.3931-0910</t>
  </si>
  <si>
    <t>P570OD01C5611 -VEGF.OD.AMD.CLIN.5611-1122</t>
  </si>
  <si>
    <t>P570OD01C5612 -VEGF.OD.AMD.CLIN.5612-1123</t>
  </si>
  <si>
    <t>P570OD01C5613 -VEGF.OD.AMD.CLIN.5613-1205</t>
  </si>
  <si>
    <t>P570OD01C5614 -VEGF.OD.AMD.CLIN.5614-1211</t>
  </si>
  <si>
    <t>P570OD01C5615 -VEGF.OD.AMD.CLIN.5615-1217</t>
  </si>
  <si>
    <t>P570OD01C5616 -VEGF.OD.AMD.CLIN.5616-1218</t>
  </si>
  <si>
    <t>P570OD01C5618 -VEGF.OD.AMD.CLIN.5618-1230</t>
  </si>
  <si>
    <t>P570OD01C5619 -VEGF.OD.AMD.CLIN.5619-1237</t>
  </si>
  <si>
    <t>P570OD01C5621 -VEGF.OD.AMD.CLIN.5621-1323</t>
  </si>
  <si>
    <t>P570OD02C2531 -VEGF.OD.DME.Clin.2531-0706</t>
  </si>
  <si>
    <t>P570OD02C3831 -VEGF.OD.DME.Clin.3831-1009</t>
  </si>
  <si>
    <t>P570OD02C5612 -VEGF.OD.DME.Clin.5612-1305</t>
  </si>
  <si>
    <t>P570OD02C5613 -VEGF.OD.DME.Clin.5613-1315</t>
  </si>
  <si>
    <t>P570OD03C3731 -VEGF.OD.CRVO.Clin.3731-0819</t>
  </si>
  <si>
    <t>P570OD06C3731 -VEGF.OD.BRVO.Clin.3731-1027</t>
  </si>
  <si>
    <t>P570ST01C1231 -VEGF.ST.Lung.Clin.1231-0708</t>
  </si>
  <si>
    <t>P571OD01C2911 -VEGF HD.OD.AMD.Clin.2911-1905</t>
  </si>
  <si>
    <t>P571OD02C3731 -VEGF HD.OD.DME.Clin.3731-1934</t>
  </si>
  <si>
    <t>P571OD00C3111 -VEGF HD.OD.Other.Clin.3111-22105</t>
  </si>
  <si>
    <t>P571OD09C3231 -VEGF.HD.OD.RVO.Clin.3231-2335</t>
  </si>
  <si>
    <t>P571OD01C4611 -VEGF HD.OD.AMD.Clin.4611-2331</t>
  </si>
  <si>
    <t>P571OD01C3211 -VEGF HD.OD.AMD.Clin.3211-2444</t>
  </si>
  <si>
    <t>P571OD01C4311 -VEGF HD.OD.AMD.Clin.4311-24141</t>
  </si>
  <si>
    <t>P610ID01C2611 -IL6R.ID.COV.Clin.2611-2040</t>
  </si>
  <si>
    <t>P610IM03C4021 -IL6R.IM.RA.Clin.4021-1634</t>
  </si>
  <si>
    <t>P610IM03C4022 -IL6R.IM.RA.Clin.4022-1720</t>
  </si>
  <si>
    <t>P610IM03C0211 -IL6R.IM.RA.Clin.0211-1008</t>
  </si>
  <si>
    <t>P610IM03C0221 -IL6R.IM.RA.Clin.0221-0813</t>
  </si>
  <si>
    <t>P610IM03C1111 -IL6R.IM.RA.Clin.1111-0801</t>
  </si>
  <si>
    <t>P610IM03C1112 -IL6R.IM.RA.Clin.1112-1309</t>
  </si>
  <si>
    <t>P610IM03C1211 -IL6R.IM.RA.Clin.1211-0802</t>
  </si>
  <si>
    <t>P610IM03C1421 -IL6R.IM.RA.Clin.1421-0803</t>
  </si>
  <si>
    <t>P610IM03C3831 -IL6R.IM.RA.Clin.3831-1862</t>
  </si>
  <si>
    <t>P611IM18C2431 -Dll4.IM.GVHD.Clin.2431-1848</t>
  </si>
  <si>
    <t>P611IM18C6011 -Dll4.IM.GVHD.CES.Clin.6011-1955</t>
  </si>
  <si>
    <t>P611ST00C1011 -Dll4.ST.Gen.Clin.1011-0804</t>
  </si>
  <si>
    <t>P612PN00C1811 -NGF.PN.Other.Clin.1811-1602</t>
  </si>
  <si>
    <t>P612PN01C2911 -NGF.PN.Osteo.Clin.2911-1816</t>
  </si>
  <si>
    <t>P612PN01C2931 -NGF.PN.Osteo.Clin.2931-1815</t>
  </si>
  <si>
    <t>P612PN01C3734 -NGF.PN.Osteo.Clin.3734 -1611</t>
  </si>
  <si>
    <t>P612PN01C3832 -NGF.PN.Osteo.Clin.3832-1688</t>
  </si>
  <si>
    <t>P612PN01C3932 -NGF.PN.Osteo.Clin.3932-1523</t>
  </si>
  <si>
    <t>P612PN01C3933 -NGF.OA.Osteo.Clin.3933-1758</t>
  </si>
  <si>
    <t>P612PN05C2431 -NGF.PN.LBP.Clin.2431-1524</t>
  </si>
  <si>
    <t>P612PN05C3731 -NGF.PN.LBP.Clin.3731-1612</t>
  </si>
  <si>
    <t>P612PN00C1011 -NGF.PN.Gen.Clin.1011-0817</t>
  </si>
  <si>
    <t>P612PN00C1111 -NGF.PN.Other.Clin.1111-1516</t>
  </si>
  <si>
    <t>P612PN01C1411 -NGF.PN.Osteo.Clin.1411-0901</t>
  </si>
  <si>
    <t>P612PN01C2611 -NGF.PN.Osteo.Clin.2611-1004</t>
  </si>
  <si>
    <t>P612PN01C2612 -NGF.PN.Osteo.Clin.2612-1227</t>
  </si>
  <si>
    <t>P612PN01C2631 -NGF.PN.Osteo.Clin.2631-1028</t>
  </si>
  <si>
    <t>P612PN01C2632 -NGF.PN.Osteo.Clin.2632-1029</t>
  </si>
  <si>
    <t>P612PN01C3931 -NGF.PN.Osteo.Clin.3931-1212</t>
  </si>
  <si>
    <t>P612PN02C2411 -NGF.PN.Sciatic.Clin.2411-0908</t>
  </si>
  <si>
    <t>P612PN03C2411 -NGF.PN.Burn.Clin.2411-0909</t>
  </si>
  <si>
    <t>P612PN05C3732 -NGF.PN.LBP.Clin.3732-1759</t>
  </si>
  <si>
    <t>P612PN05C3733 -NGF.PN.LBP.Clin.3733-1660</t>
  </si>
  <si>
    <t>P620IM00C3731 -IL4R.IM.Gen.Clin.3731-1923</t>
  </si>
  <si>
    <t>P620IM00C4011 -IL4R.IM.Gen.Clin.4011-2052</t>
  </si>
  <si>
    <t>P620IM00C6021 -IL4R.IM.Gen.Clin.6021-1973</t>
  </si>
  <si>
    <t>P620IM07C4011 -IL4R.IM.Asthma.Clin.4011-1885</t>
  </si>
  <si>
    <t>P620IM07C4731 -IL4R.IM.Asthma.Clin.4731-1903</t>
  </si>
  <si>
    <t>P620IM07C4732 -IL4R.IM.Asthma.Clin.4732-1991</t>
  </si>
  <si>
    <t>P620IM07C6021 -IL4R.IM.Asthma.Clin.6021-1925</t>
  </si>
  <si>
    <t>P620IM08C2931 -IL4R.IM.AtopicDerm.Clin.2931-1539</t>
  </si>
  <si>
    <t>P620IM08C3735 -IL4R.IM.AtopicDerm.Clin.3735-1526</t>
  </si>
  <si>
    <t>P620IM08C3736 -IL4R.IM.AtopicDerm.Clin.3736-1652</t>
  </si>
  <si>
    <t>P620IM08C3737 -IL4R.IM.AtopicDerm.Clin.3737-1924</t>
  </si>
  <si>
    <t>P620IM08C3738 -IL4R.IM.AtopicDerm.Clin.3738-1813</t>
  </si>
  <si>
    <t>P620IM08C3911 -IL4R.IM.AtopicDerm.Clin.3911-1607</t>
  </si>
  <si>
    <t>P620IM08C3921 -IL4R.IM.AtopicDerm.Clin.3921-1434</t>
  </si>
  <si>
    <t>P620IM08C3931 -IL4R.IM.AtopicDerm.Clin.3931-1225</t>
  </si>
  <si>
    <t>P620IM08C4012 -IL4R.IM.AtopicDerm.Clin.4012-1639</t>
  </si>
  <si>
    <t>P620IM08C4013 -IL4R.IM.AtopicDerm.Clin.4013-1762</t>
  </si>
  <si>
    <t>P620IM08C4014 -IL4R.IM.AtopicDerm.Clin.4014-1760</t>
  </si>
  <si>
    <t>P620IM08C4602 -IL4R.IM.AtopicDerm.Clin.4602-1884</t>
  </si>
  <si>
    <t>P620IM08C4611 -IL4R.IM.AtopicDerm.Clin.4611-2024</t>
  </si>
  <si>
    <t>P620IM12C2411 -IL4R.IM.EE.Clin.2411-1324</t>
  </si>
  <si>
    <t>P620IM12C3731 -IL4R.IM.EE.Clin.3731-1774</t>
  </si>
  <si>
    <t>P620IM12C3732 -IL4R.IM.EE.Clin.3732-1877</t>
  </si>
  <si>
    <t>P620IM13C0231 -IL4R.IM.Allergy.Clin.0231-1793</t>
  </si>
  <si>
    <t>P620IM13C2411 -IL4R.IM.Allergy.Clin.2411-16114</t>
  </si>
  <si>
    <t>A80023-Contract Lab Pass Thru Fees</t>
  </si>
  <si>
    <t>P620IM13C2412 -IL4R.IM.Allergy.Clin.2412-1702</t>
  </si>
  <si>
    <t>P620IM13C2431 -IL4R.IM.Allergy.Cli.2431-16115</t>
  </si>
  <si>
    <t>P620IM15C4001 -IL4R.IM.NasalPolyps.Clin.4001-2072</t>
  </si>
  <si>
    <t>P620IM19C3732 -IL4R.IM.BP.Clin.3732-1902</t>
  </si>
  <si>
    <t>P620IM08C5701 -IL4R.IM.AtopicDerm.Clin.5701-1781</t>
  </si>
  <si>
    <t>P620IM00C1011 -IL4R.IM.Gen.Clin.1011-0907</t>
  </si>
  <si>
    <t>P620IM08C0211 -IL4R.IM.AtopicDerm.Clin.0211-1115</t>
  </si>
  <si>
    <t>P620IM08C0311 -IL4R.IM.AtopicDerm.Clin.0311-0913</t>
  </si>
  <si>
    <t>P620IM08C1221 -IL4R.IM.AtopicDerm.Clin.1221-1412</t>
  </si>
  <si>
    <t>P620IM08C1711 -IL4R.IM.AtopicDerm.Clin.1711-1433</t>
  </si>
  <si>
    <t>P620IM08C1811 -IL4R.IM.AtopicDerm.Clin.1811-1108</t>
  </si>
  <si>
    <t>P620IM08C2411 -IL4R.IM.AtopicDerm.Clin.2411-0914</t>
  </si>
  <si>
    <t>P620IM08C2421 -IL4R.IM.AtopicDerm.Clin.2421-1117</t>
  </si>
  <si>
    <t>P620IM08C2531 -IL4R.IM.AtopicDerm.Clin.2531-1021</t>
  </si>
  <si>
    <t>P620IM08C2611 -IL4R.IM.AtopicDerm.Clin.2611-1307</t>
  </si>
  <si>
    <t>P620IM08C2621 -IL4R.IM.AtopicDerm.Clin.2621-1026</t>
  </si>
  <si>
    <t>P620IM08C2911 -IL4R.IM.AtopicDerm.Clin.2911-1314</t>
  </si>
  <si>
    <t>P620IM08C2921 -IL4R.IM.AtopicDerm.Clin.2921-1121</t>
  </si>
  <si>
    <t>P620IM08C3721 -IL4R.IM.AtopicDerm.Clin.3721-1424</t>
  </si>
  <si>
    <t>P620IM08C3731 -IL4R.IM.AtopicDerm.Clin.3731-1334</t>
  </si>
  <si>
    <t>P620IM08C3733 -IL4R.IM.AtopicDerm.Clin.3733-1416</t>
  </si>
  <si>
    <t>P620IM08C3734 -IL4R.IM.AtopicDerm.Clin.3734-1415</t>
  </si>
  <si>
    <t>P620IM08C3932 -IL4R.IM.AtopicDerm.Clin.3932-1224</t>
  </si>
  <si>
    <t>P620IM12C0211 -IL4R.IM.EE.Clin.0211-1776</t>
  </si>
  <si>
    <t>P620IM00C3732 -IL4R.IM.Gen.Clin.3732-2213</t>
  </si>
  <si>
    <t>P620IM08C4015 -IL4R.IM.AtopicDerm.Clin.4015-2217</t>
  </si>
  <si>
    <t>P620IM12C4011 -IL4R.IM.EE.Clin.4011-2328</t>
  </si>
  <si>
    <t>P620IM07C4733 -IL4R.IM.Asthma.Clin.4733-2373</t>
  </si>
  <si>
    <t>P620IM12C3711 -IL4R.IM.EE.Clin.3711-2423</t>
  </si>
  <si>
    <t>P620IM08C4211 -IL4R.IM.AtopicDerm.Clin.4211-2372</t>
  </si>
  <si>
    <t>P620IM28C4132 -IL4R.IM.COPD.Clin.4132-2491</t>
  </si>
  <si>
    <t>P630CV01C3731 -Pcsk9.CV.HC.Clin.3731-1112</t>
  </si>
  <si>
    <t>P630CV01C3735 -Pcsk9.CV.HC.Clin.3735-1628</t>
  </si>
  <si>
    <t>P630CV01C3832 -Pcsk9.CV.HC.Clin.3831-1110</t>
  </si>
  <si>
    <t>P630CV01C3833 -Pcsk9.CV.HC.Clin.3831-1118</t>
  </si>
  <si>
    <t>P630CV01C4931 -Pcsk9.CV.HC.Clin.4931-1532</t>
  </si>
  <si>
    <t>P630CV01C4932 -Pcsk9.CV.HC.Clin.4932-1609</t>
  </si>
  <si>
    <t>P630CV00C5312 -Pcsk9.CV.Gen.Clin.5312-1414</t>
  </si>
  <si>
    <t>P630CV00C5401 -Pcsk9.CV.Gen.Clin.5401-1306</t>
  </si>
  <si>
    <t>P630CV00C5402 -Pcsk9.CV.Gen.Clin.5402-1318</t>
  </si>
  <si>
    <t>P630CV01C0331 -Pcsk9.CV.HC.Clin.0331-1017</t>
  </si>
  <si>
    <t>P630CV01C1011 -Pcsk9.CV.HC.Clin.1011-0902</t>
  </si>
  <si>
    <t>P630CV01C1111 -Pcsk9.CV.HC.Clin.1111-0904</t>
  </si>
  <si>
    <t>P630CV01C1211 -Pcsk9.CV.HC.Clin.1211-1001</t>
  </si>
  <si>
    <t>P630CV01C2412 -Pcsk9.CV.HC.Clin.2412-1018</t>
  </si>
  <si>
    <t>P630CV01C2611 -Pcsk9.CV.HC.Clin.2611-1003</t>
  </si>
  <si>
    <t>P630CV01C2913 -Pcsk9.CV.HC.Clin.2913-1032</t>
  </si>
  <si>
    <t>P630CV01C3732 -Pcsk9.CV.HC.Clin.3732-1215</t>
  </si>
  <si>
    <t>P630CV01C3733 -Pcsk9.CV.HC.Clin.3733-1308</t>
  </si>
  <si>
    <t>P630CV01C3734 -Pcsk9.CV.HC.Clin.3734-1216</t>
  </si>
  <si>
    <t>P630CV01C3831 -Pcsk9.CV.HC.Clin.3831-1119</t>
  </si>
  <si>
    <t>P630CV01C4011 -Pcsk9.CV.HC.Clin.4011-1407</t>
  </si>
  <si>
    <t>P630CV01C4711 -Pcsk9.CV.HC.Clin.4711-1533</t>
  </si>
  <si>
    <t>P630CV01C4712 -Pcsk9.CV.HC.Clin.4712-1657</t>
  </si>
  <si>
    <t>P630CV01C5322 -Pcsk9.CV.HC.Clin.5322-1419</t>
  </si>
  <si>
    <t>P630CV01C5323 -Pcsk9.CV.HC.Clin.5323-1420</t>
  </si>
  <si>
    <t>P630CV01C5325 -Pcsk9.CV.HC.Clin.5325-1426</t>
  </si>
  <si>
    <t>P630CV01C5326 -Pcsk9.CV.HC.Clin.5326-1510</t>
  </si>
  <si>
    <t>P630CV01C5411 -Pcsk9.CV.HC.Clin.5411-1405</t>
  </si>
  <si>
    <t>P630CV01C2511 -Pcsk9.CV.HC.Clin.2511-2553</t>
  </si>
  <si>
    <t>P631CV01C1011 -Pcsk9-728.CV.HC.Clin.1011-0915</t>
  </si>
  <si>
    <t>P640IM00C1011 -PAR2.IM.Gen.Clin.1011-1007</t>
  </si>
  <si>
    <t>P640IM08C2421 -PAR2.IM.AtopicDerm.Clin.2421-1105</t>
  </si>
  <si>
    <t>P645OD00C1011 -Ang2.OD.Gen.Clin.1011-1403</t>
  </si>
  <si>
    <t>P645OD01C1411 -Ang2.OD.AMD.Clin.1411-1301</t>
  </si>
  <si>
    <t>P645OD01C2431 -Ang2.OD.AMD.Clin.2431-1517</t>
  </si>
  <si>
    <t>P645OD02C2431 -Ang2.OD.DME.Clin.2431-1518</t>
  </si>
  <si>
    <t>P645ST00C1031 -Ang2.ST.Gen.Clin.1031-1010</t>
  </si>
  <si>
    <t>P645ST00C1411 -Ang2.ST.Gen.Clin.1411-1114</t>
  </si>
  <si>
    <t>P647MD00C1011 -GDF8.MD.Gen.Clin.1011-1107</t>
  </si>
  <si>
    <t>P647MD00C1111 -GDF8.MD.Gen.Clin.1111-1503</t>
  </si>
  <si>
    <t>P647MD00C1211 -GDF8.MD.Gen.Clin.1211-1204</t>
  </si>
  <si>
    <t>P647MD00C2311 -GDF8.MD.Gen.Clin.2311-1223</t>
  </si>
  <si>
    <t>P647MD02C2431 -GDF8.MD.SRC.Clin.2431-1239</t>
  </si>
  <si>
    <t>P647MD03C2911 -GDF8.MD.sIBM.Clin.2911-1527</t>
  </si>
  <si>
    <t>P647MD03C3731 -GDF8.MD.sIBM.Clin.3731-1512</t>
  </si>
  <si>
    <t>P647MD05C2411 -GDF8.MD.Obes.Clin.2411-2288</t>
  </si>
  <si>
    <t>P647MD05C2511 -GDF8.MD.Obes.Clin.2511-2472</t>
  </si>
  <si>
    <t>P647MD01C2531 -GDF8.MD.Diab.Clin.2531-24139</t>
  </si>
  <si>
    <t>P648IM00C1031 -R1154.IM.Gen.Clin.1031-1116</t>
  </si>
  <si>
    <t>P648IM10C1421 -R1154.IM.CD.Clin.1421-1222</t>
  </si>
  <si>
    <t>P650ST01C1011 -ErbB3.ST.Lung.Clin.1011-1113</t>
  </si>
  <si>
    <t>P651MD00C1011 -R1193.MD.Gen.Clin.1011-1219</t>
  </si>
  <si>
    <t>P651MD01C1111 -R1193.MD.Diab.Clin.1111-1402</t>
  </si>
  <si>
    <t>P652CV00C1111 -R1500.CV.Other.Clin.1111-1642</t>
  </si>
  <si>
    <t>P652CV00C2431 -R1500.CV.Other.Clin.2431-20118</t>
  </si>
  <si>
    <t>P652CV01C2421 -R1500.CV.HC.Clin.2421-1522</t>
  </si>
  <si>
    <t>P652CV01C2431 -R1500.CV.HC.Clin.2431-1331</t>
  </si>
  <si>
    <t>P652CV01C2531 -R1500.CV.HC.Clin.2531-1643</t>
  </si>
  <si>
    <t>P652CV01C3731 -R1500.CV.HC.Clin.3731-1629</t>
  </si>
  <si>
    <t>P652CV01C3732 -R1500.CV.HC.Clin.3732-17100</t>
  </si>
  <si>
    <t>P652CV01C3931 -R1500.CV.HC.Clin.3931-1719</t>
  </si>
  <si>
    <t>P652CV01C2211 -R1500.CV.HC.Clin.2211-1321</t>
  </si>
  <si>
    <t>P652MD00C1011 -R1500.MD.Gen.Clin.1011-1214</t>
  </si>
  <si>
    <t>P653IM13C2422 -R1908.IM.ALG.Clin.2422-1703</t>
  </si>
  <si>
    <t>P653IM13C3731 -R1908.IM.ALG.Clin.3731-2102</t>
  </si>
  <si>
    <t>P653IM13C6011 -R1908.IM.ALG.Clin.6011-17102</t>
  </si>
  <si>
    <t>P653IM13C6021 -R1908.IM.ALG.Clin.6021-1887</t>
  </si>
  <si>
    <t>P653IM00C1011 -R1908.IM.Gen.Clin.1011-1240</t>
  </si>
  <si>
    <t>P653IM13C2421 -R1908.IM.ALG.Clin.2421-1325</t>
  </si>
  <si>
    <t>P653IM13C3701 -R1908.IM.ALG.Clin.3701-2416</t>
  </si>
  <si>
    <t>P653IM13C6221 -R1908.IM.ALG.Clin.6221-2441</t>
  </si>
  <si>
    <t>P657CV01C1011 -R2009.CV.HV.Clin.1011-1304</t>
  </si>
  <si>
    <t>P658OD01C1011 -R2176.OD.AMD.Clin.1011-1303</t>
  </si>
  <si>
    <t>P658OD01C2611 -R2176.OD.AMD.Clin.2611-1417</t>
  </si>
  <si>
    <t>P659IM00C1011 -R2222.IM.Other.Clin.1011-1326</t>
  </si>
  <si>
    <t>P659IM00C1111 -R2222.IM.Other.Clin.1111-1520</t>
  </si>
  <si>
    <t>P659IM14C1231 -R2222.IM.RSV.Clin.1231-1332</t>
  </si>
  <si>
    <t>P659IM14C1232 -R2222.IM.RSV.Clin.1232-1687</t>
  </si>
  <si>
    <t>P659IM14C3731 -R2222.IM.RSV.Clin.3731 -1765</t>
  </si>
  <si>
    <t>P660MD01C1611 -R2477.MD.Diab.Clin.1611-1827</t>
  </si>
  <si>
    <t>P660MD01C2411 -R2477-1033.MD.Diab.2411-1855</t>
  </si>
  <si>
    <t>P660MD02C2431 -R2477-1033.MD.SRC.2431-1854</t>
  </si>
  <si>
    <t>P660MD03C2431 -R2477-1033.MD.sIBM.2431-1828</t>
  </si>
  <si>
    <t>P660SD00C1121 -R2477.SD.Gen.Clin.1121-1621</t>
  </si>
  <si>
    <t>P660SD01C2431 -R2477.SD.FOP.Clin.2431-1623</t>
  </si>
  <si>
    <t>P660SD01C3921 -R2477.SD.FOP.Clin.3921-1940</t>
  </si>
  <si>
    <t>P660SD01C3931 -R2477.SD.FOP.Clin.3931-1949</t>
  </si>
  <si>
    <t>P660SD00C1011 -R2477.SD.Gen.Clin.1011-1525</t>
  </si>
  <si>
    <t>P660SD01C4011 -R2477.SD.FOP.Clin.4011-2143</t>
  </si>
  <si>
    <t>P660SD01C3731 -R2477.SD.FOP.Clin.3731-2175</t>
  </si>
  <si>
    <t>P660SD01C3932 -R2477.SD.FOP.Clin.3932-2413</t>
  </si>
  <si>
    <t>P660MD05C1211 -R2477.MD.Obes.Clin.1211-2470</t>
  </si>
  <si>
    <t>P662ST05C1011 -R1979.ST.HM.Clin.1011-1333</t>
  </si>
  <si>
    <t>P662ST05C1231 -R1979.ST.HM.Clin.1231-1504</t>
  </si>
  <si>
    <t>P662ST05C2631 -R1979.ST.HM.Clin.2631.1625</t>
  </si>
  <si>
    <t>P662ST05C2632 -R1979.ST.HM.Clin.2632.2078</t>
  </si>
  <si>
    <t>P662ST05C3731 -R1979.ST.HM.Clin.3731-2013</t>
  </si>
  <si>
    <t>P662ST05C3732 -R1979.ST.HM.Clin.3732-2075</t>
  </si>
  <si>
    <t>A81999-P-CLINICAL EXPENSES - PLAN</t>
  </si>
  <si>
    <t>P662ST05C3733 -R1979.ST.HM.Clin.3733-2105</t>
  </si>
  <si>
    <t>P662HE01C3731 -R1979.HE.HM.Clin.3731-2298</t>
  </si>
  <si>
    <t>P662HE01C3732 -R1979.HE.HM.Clin.3732-2299</t>
  </si>
  <si>
    <t>P662HE01C3733 -R1979.HE.HM.Clin.3733-22102</t>
  </si>
  <si>
    <t>P662HE04C3731 -R1979.HE.LL.Clin.3731-2336</t>
  </si>
  <si>
    <t>P664ID00C1211 -R2810.ID.Other.Clin.1211-A5370</t>
  </si>
  <si>
    <t>P664ST00C1011 -R2810.ST.Other.Clin.1011-1423</t>
  </si>
  <si>
    <t>P664ST00C1121 -R2810.ST.Other.Clin.1121-1622</t>
  </si>
  <si>
    <t>P664ST00C1611 -R2810.ST.Other.Clin.1611-1690</t>
  </si>
  <si>
    <t>P664ST01C2411 -R2810.ST.Lung.Clin.2411-1866</t>
  </si>
  <si>
    <t>P664ST01C2431 -R2810.ST.NSCLC.Clin.2431-1763</t>
  </si>
  <si>
    <t>P664ST01C3731 -R2810.ST.Lung.Clin.3731-1624</t>
  </si>
  <si>
    <t>P664ST01C3831 -R2810.ST.Lung.Clin.3831-16111</t>
  </si>
  <si>
    <t>P664ST01C3832 -R2810.ST.Lung.Clin.3832-16113</t>
  </si>
  <si>
    <t>P664ST05C2421 -R2810.ST.HM.Clin.2421-1615</t>
  </si>
  <si>
    <t>P664ST06C1511 -R2810.ST.CSCC.Clin.1511-1787</t>
  </si>
  <si>
    <t>P664ST06C2431 -R2810.ST.CSCC.Clin.2431-1540</t>
  </si>
  <si>
    <t>P664ST06C2432 -R2810.ST.CSCC.Clin.2432-1901</t>
  </si>
  <si>
    <t>P664ST06C3831 -R2810.ST.CSCC.Clin.3831-1788</t>
  </si>
  <si>
    <t>P664ST06C4701 -R2810.ST.CSCC.Clin.4701-1806</t>
  </si>
  <si>
    <t>P664ST06C4702 -R2810.ST.CSCC.Clin.4702-1927</t>
  </si>
  <si>
    <t>P664ST06C6131 -R2810.ST.CSCC.Clin.6131-1606</t>
  </si>
  <si>
    <t>P664ST08C2631 -R2810.ST.BCC.Clin.2631-1620</t>
  </si>
  <si>
    <t>P664ST09C5603 -R2810.ST.SCCHN.Clin.5603-2083</t>
  </si>
  <si>
    <t>P664ST09C6131 -R2810.ST.SCCHN.Clin.6131-1655</t>
  </si>
  <si>
    <t>P664ST10C2632 -R2810.ST.Cervical.Clin.2632-1981</t>
  </si>
  <si>
    <t>P664ST10C3831 -R2810.ST.Cervical.C.3831-1676</t>
  </si>
  <si>
    <t>P664ST00C1431 -R2810.ST.Other.Clin.1431-1425</t>
  </si>
  <si>
    <t>P664ST07C2431 -R2810.ST.GBM.Clin.2431-1538</t>
  </si>
  <si>
    <t>P664ST07C3331 -R2810.ST.GBM.Clin.3331-1537</t>
  </si>
  <si>
    <t>P664ST07C3731 -R2810.ST.GBM.Clin.3731-1545</t>
  </si>
  <si>
    <t>P664ST10C2631 -R2810.ST.Cervical.Clin.2631-16112</t>
  </si>
  <si>
    <t>P664ST01C2631 -R2810.ST.Lung.Clin.2631-2045</t>
  </si>
  <si>
    <t>P664ST06C3732 -R2810.ST.CSCC.Clin.3732-2251</t>
  </si>
  <si>
    <t>P664ST01C4011 -R2810.ST.Lung.Clin.4011-22115</t>
  </si>
  <si>
    <t>P664ST01C4021 -R2810.ST.Lung.Clin.4021-2325</t>
  </si>
  <si>
    <t>P664ST01C3833 -R2810.ST.Lung.Clin.3833-2344</t>
  </si>
  <si>
    <t>P664ST01C0401 -R2810.ST.Lung.Clin.0401-ARCH</t>
  </si>
  <si>
    <t>P664ST10C4921 -R2810.ST.Cervical.Clin.4921-2378</t>
  </si>
  <si>
    <t>P664ST06C4021 -R2810.ST.CSCC.Clin.4021-2377</t>
  </si>
  <si>
    <t>P664ST01C4921 -R2810.ST.Lung.Clin.4921-2465</t>
  </si>
  <si>
    <t>P666ID00C3911 -Ebola mAb.ID.HV.Clin.3911-1796</t>
  </si>
  <si>
    <t>P666ID00C1011 -Ebola mAb.ID.HV.Clin.1011-1528</t>
  </si>
  <si>
    <t>P670IM07C1221 -R3500.IM.Asthma.Clin.1221-1619</t>
  </si>
  <si>
    <t>P670IM07C1621 -R3500.IM.Asthma.Clin.1621-1633</t>
  </si>
  <si>
    <t>P670IM08C2431 -R3500.IM.AD.Clin.2431-1798</t>
  </si>
  <si>
    <t>P670IM08C2531 -R3500.IM.AD.Clin.2531-1805</t>
  </si>
  <si>
    <t>P670IM00C1021 -R3500.IM.Gen.Clin.1021-1551</t>
  </si>
  <si>
    <t>P672ST00C1021 -R3767.ST.Gen.Clin.1021-12NAT02535</t>
  </si>
  <si>
    <t>P672ST00C1031 -R3767.ST.Gen.Clin.1031-1613</t>
  </si>
  <si>
    <t>P672ST00C3733 -R3767.ST.Other.Clin.3733-2011</t>
  </si>
  <si>
    <t>P672ST20C1011 -R3767.ST.iPET.Clin.1011-19-479</t>
  </si>
  <si>
    <t>P672ST00C3731 -R3767.ST.Other.Clin.3731-2055</t>
  </si>
  <si>
    <t>P672ST01C2831 -R3767.ST.Lung.Clin.2831-2235</t>
  </si>
  <si>
    <t>P672ST01C2832 -R3767.ST.Lung.Clin.2832-2236</t>
  </si>
  <si>
    <t>P672ST13C3831 -R3767.ST.Melanoma.Clin.3831-2208</t>
  </si>
  <si>
    <t>P672ST01C2731 -R3767.ST.Lung.Clin.2731-2266</t>
  </si>
  <si>
    <t>P672ST13C3811 -R3767.ST.Mel.Clin.3811-22122</t>
  </si>
  <si>
    <t>P672ST06C2431 -R3767.ST.CSCC.Clin.2431-2330</t>
  </si>
  <si>
    <t>P672ST07C2631 -R3767.ST.GMB.Clin.2631-2320</t>
  </si>
  <si>
    <t>P672ST09C2631 -R3767.ST.HNC.Clin.2631-2431</t>
  </si>
  <si>
    <t>P672ST13C2631 -R3767.ST.Mel.Clin.2631-2466</t>
  </si>
  <si>
    <t>P673ST20C6311 -R3504.ST.iPET.Clin.6311-1701</t>
  </si>
  <si>
    <t>P674CV00C1021 -R3918.CV.Other.Clin.1021-1659</t>
  </si>
  <si>
    <t>P674CV00C1022 -R3918.CV.Other.Clin.1022-1982</t>
  </si>
  <si>
    <t>P674CV00C1023 -R3918.CV.Other.Clin.1023-2014</t>
  </si>
  <si>
    <t>P674CV00C1024 -R3918.CV.Other.Clin.1024.20117</t>
  </si>
  <si>
    <t>P674CV00C2421 -R3918.CV.Oth.Clin.2421-1852</t>
  </si>
  <si>
    <t>P674CV00C2422 -R3918.CV.Other.Clin.2422-20105</t>
  </si>
  <si>
    <t>P674CV00C2431 -R3918.CV.Other.Clin.2431-1878</t>
  </si>
  <si>
    <t>P674CV00C2921 -R3918.CV.Other.Clin.2921-2092</t>
  </si>
  <si>
    <t>P674CV00C3731 -R3918.CV.Other.Clin.3731-1853</t>
  </si>
  <si>
    <t>P674CV00C3732 -R3918.CV.Other.Clin.3732-2018</t>
  </si>
  <si>
    <t>P674CV00C3733 -R3918.CV.Other.Clin.3733-2021</t>
  </si>
  <si>
    <t>P674CV00C3734 -R3918.CV.Other.Clin.3734-2022</t>
  </si>
  <si>
    <t>P674CV00C3921 -R3918.CV.Oth.Clin.3921-1868</t>
  </si>
  <si>
    <t>P674CV00C3931 -R3918.CV.Other.Clin.3931-2050</t>
  </si>
  <si>
    <t>P674OD01C2431 -R3918.OD.AMD.Clin.2431-2297</t>
  </si>
  <si>
    <t>P674OD01C3731 -R3918.OD.AMD.Clin.3731-2326</t>
  </si>
  <si>
    <t>P674OD01C3732 -R3918.OD.AMD.Clin.3732-2327</t>
  </si>
  <si>
    <t>P674HE00C4931 -R3918-PLE-2399</t>
  </si>
  <si>
    <t>P674HE06C3731 -R3918.HE.PNH.Clin.3731-2483</t>
  </si>
  <si>
    <t>P674OD01C1021 -R3918.OD.AMD.Clin.1021-2501</t>
  </si>
  <si>
    <t>P675ST04C1011 -R4018.ST.Ovarian.Clin.1011-1721</t>
  </si>
  <si>
    <t>P675ST04C2631 -R4018.ST.Ovarian.Clin.2631-2445</t>
  </si>
  <si>
    <t>P675ST01C2631 -R4018.ST.NSCLC.Clin.2631-2476</t>
  </si>
  <si>
    <t>P675ST04C3831 -R4018.ST.Ovarian.Clin.3831-2479</t>
  </si>
  <si>
    <t>P680MD00C1021 -R4461.MD.Other.Clin.1021-1794</t>
  </si>
  <si>
    <t>P680MD00C2421 -R4461.MD.Other.Clin.2421.20125</t>
  </si>
  <si>
    <t>P680MD00C2431 -R4461.MD.Other.Clin.2431-1875</t>
  </si>
  <si>
    <t>P680MD00C2631 -R4461.MD.Other.Clin.2631-20100</t>
  </si>
  <si>
    <t>P680MD00C6011 -R4461.MD.CES.Clin.6011-1811</t>
  </si>
  <si>
    <t>P680MD00C6012 -R4461.MD.CES.Clin.6012-2023</t>
  </si>
  <si>
    <t>P680GE00C6021 -R4461.Other.Other.Clin.6021-1808</t>
  </si>
  <si>
    <t>P680MD00C3931 -R4461.MD.Other.Clin.3931-2284</t>
  </si>
  <si>
    <t>P680MD00C3731 -R4461.MD.Other.Clin.3731-2285</t>
  </si>
  <si>
    <t>P680MD05C3221 -R4461.MD.Obes.Clin.3221-2471</t>
  </si>
  <si>
    <t>P680GE00C2411 -R4461.Other.Gen.Clin.2411-2485</t>
  </si>
  <si>
    <t>P680MD00C1121 -R4461.MD.Other.Clin.1121-25116</t>
  </si>
  <si>
    <t>P681ST01C1031 -R4659.ST.NSCLC.Clin.1031-1795</t>
  </si>
  <si>
    <t>P682ST20C1021 -R5054.ST.iPET.C.1021-1843</t>
  </si>
  <si>
    <t>P685PN00C1021 -R5069.PN.HV.Clin.1021-1810</t>
  </si>
  <si>
    <t>P685PN00C6031 -R5069.PN.Other.Clin.6031-1812</t>
  </si>
  <si>
    <t>P685PN01C2431 -R5069.PN.OA.Clin.2431-1849</t>
  </si>
  <si>
    <t>P685PN01C6011 -R5069.OA.CES.Clin.6011-1865</t>
  </si>
  <si>
    <t>P686ST00C1031 -R5458.ST.Other.Clin.1031-1826</t>
  </si>
  <si>
    <t>P686ST11C1431 -R5458.ST.MM.Clin.1431-2012</t>
  </si>
  <si>
    <t>P686ST11C2431 -R5458.ST.MM.Clin.2431-2010</t>
  </si>
  <si>
    <t>P686ST11C3931 -R5458.ST.MM.Clin.3931-20108</t>
  </si>
  <si>
    <t>P686ST05C0031 -R5458.ST.HM.Clin.0031-21101</t>
  </si>
  <si>
    <t>P686ST05C0032 -R5458.ST.HM.Clin.0032-2170</t>
  </si>
  <si>
    <t>P686ST05C2411 -R5458.ST.HM.Clin.2411-2158</t>
  </si>
  <si>
    <t>P686ST11C3731 -R5458.ST.MM.Clin.3731-2245</t>
  </si>
  <si>
    <t>P686HE02C2421 -R5458.HE.MM.Clin.2421-2256</t>
  </si>
  <si>
    <t>P686HE02C2501 -R5458.HE.MM.Clin.2501-2257</t>
  </si>
  <si>
    <t>P686HE05C2601 -R5458.HE.ALA.Clin.2601-2274</t>
  </si>
  <si>
    <t>P686IM13C1211 -R5458-668.IM.ALG.Clin.1211-2219</t>
  </si>
  <si>
    <t>P686HE02C3732 -R5458.HE.MM.Clin.3732-2246</t>
  </si>
  <si>
    <t>P686HE02C3733 -R5458.HE.MM.Clin.3733-2504</t>
  </si>
  <si>
    <t>P686HE02C2911 -R5458.HE.MM.Clin.2911-2514</t>
  </si>
  <si>
    <t>P686HE02C3831 -R5458.HE.MM.Clin.3831-2517</t>
  </si>
  <si>
    <t>P686HE02C3832 -R5458.HE.MM.Clin.3832-24145</t>
  </si>
  <si>
    <t>P687IM13C1021 -R5713.IM.ALG.Clin.1021-1857</t>
  </si>
  <si>
    <t>P687IM13C2521 -R5713.IM.ALG.Clin.2521-2001</t>
  </si>
  <si>
    <t>P687IM13C6021 -R5713.IM.ALG.Clin.6021-1851</t>
  </si>
  <si>
    <t>P687IM13C2621 -R5713.IM.ALG.Clin.2621-21111</t>
  </si>
  <si>
    <t>P687IM13C3721 -R5713.IM.ALG.Clin.3721-2415</t>
  </si>
  <si>
    <t>P687IM13C3722 -R5713.IM.ALG.Clin.3722-2556</t>
  </si>
  <si>
    <t>P687IM13C3921 -R5713.IM.ALG.Clin.3921-2595</t>
  </si>
  <si>
    <t>P690ST01C1031 -R5093.ST.Lung.Clin.1031-1863</t>
  </si>
  <si>
    <t>P692IM21C1411 -R5459.IM.RT.Clin.1411-1944</t>
  </si>
  <si>
    <t>P692IM21C1911 -R5459.IM.RT.Clin.1911-1956</t>
  </si>
  <si>
    <t>P692ST11C1031 -R5459.ST.MM.Clin.1031-1888</t>
  </si>
  <si>
    <t>P692HE00C1431 -R5459.HE.Other.Clin.1431-2459</t>
  </si>
  <si>
    <t>P692IM00C1401 -R5459.Other.Gen.Clin.1401-25139</t>
  </si>
  <si>
    <t>P693ST01C2531 -R5093-M114.ST.Lung.Clin.2531-1864</t>
  </si>
  <si>
    <t>P694ST00C1031 -R5678.ST.Other.Clin.1031-1879</t>
  </si>
  <si>
    <t>P694ST12C2631 -R5678.ST.Prostate.Clin.2631-2309</t>
  </si>
  <si>
    <t>P695ST00C1031 -R5837.ST.Other.Clin.1031-2019</t>
  </si>
  <si>
    <t>P696ST04C1531 -R5668.ST.Ovarian.Clin.1531-1938</t>
  </si>
  <si>
    <t>P697ST00C1531 -R6569.ST.Other.Clin.1531-1933</t>
  </si>
  <si>
    <t>P698CV00C1021 -R5381.CV.Other.Clin.1021-1987</t>
  </si>
  <si>
    <t>P698CV00C1121 -R5381.CV.Other.Clin.1121-2159</t>
  </si>
  <si>
    <t>P698CV00C2431 -R5381.CV.Other.Clin.2431-22118</t>
  </si>
  <si>
    <t>P698CV00C2531 -R5381.CV.Other.Clin.2531-2410</t>
  </si>
  <si>
    <t>P699IM04C2431 -R7257.IM.Anemia.Clin.2431-1947</t>
  </si>
  <si>
    <t>P700ST00C2431 -R7075.ST.Other.Clin.2431-2009</t>
  </si>
  <si>
    <t>P701IM11C1021 -R6490.IM.Psoriasis.Clin.1021-1946</t>
  </si>
  <si>
    <t>P701IM11C1022 -R6490.IM.Psoriasis.Clin.1022-1993</t>
  </si>
  <si>
    <t>P701IM11C2331 -R6490.IM.Psoriasis.Clin.2331-20128</t>
  </si>
  <si>
    <t>P701IM11C2531 -R6490.IM.Psoriasis.Clin.2531-2039</t>
  </si>
  <si>
    <t>P701IM22C2431 -R6490.IM.HS.Clin.2431-2044</t>
  </si>
  <si>
    <t>P703CV00C6011 -ALN-HSD.CV.Other.Clin.6011-1945</t>
  </si>
  <si>
    <t>P703CV00C6212 -ALN-HSD.CV.Other.Clin.6212-1986</t>
  </si>
  <si>
    <t>P703MD00C6021 -ALN-HSD.MD.Other.Clin.6021-2117</t>
  </si>
  <si>
    <t>P703CV00C6211 -ALNY-HSD.CV.Other.Clin.6211-1985</t>
  </si>
  <si>
    <t>P703GE00C2431 -ALN-HSD.Other.Gen.Clin.2431-2130</t>
  </si>
  <si>
    <t>P704ST12C2931 -R4336.ST.Prostate.Clin.2931-20104</t>
  </si>
  <si>
    <t>P705ST05C1121 -R9933.ST.HM.Clin.1121.2107</t>
  </si>
  <si>
    <t>P705GE00C6221 -R9933.Other.Gen.Clin.6221-2229</t>
  </si>
  <si>
    <t>P705GE00C2421 -R9933.Other.Gen.Clin.2421-2230</t>
  </si>
  <si>
    <t>P705HE08C2431 -R9933.HE.Throm.Clin.2431-2308</t>
  </si>
  <si>
    <t>P705HE08C1121 -R9933.HE.Throm.Clin.1121-2424</t>
  </si>
  <si>
    <t>P705HE08C3831 -R9933.HE.Throm.Clin.3831-2394</t>
  </si>
  <si>
    <t>P705HE08C3832 -R9933.HE.Throm.Clin.3832-2495</t>
  </si>
  <si>
    <t>P706ID01C1131 -R10987.ID.COV.Clin.1131-2114</t>
  </si>
  <si>
    <t>P706ID01C1211 -R10987.ID.COV.Clin.1211-2093</t>
  </si>
  <si>
    <t>P706ID01C2411 -R10987.ID.COV.Clin.2411.2118</t>
  </si>
  <si>
    <t>P706ID01C2511 -R10987.ID.COV.Clin.2511-20145</t>
  </si>
  <si>
    <t>P706ID01C2911 -R10987.ID.COV.Clin.2911-2121</t>
  </si>
  <si>
    <t>P706ID01C3711 -R10987.ID.COV.Clin.3711-2068</t>
  </si>
  <si>
    <t>P706ID01C3712 -R10987.ID.COV.Clin.3712-2069</t>
  </si>
  <si>
    <t>P706ID01C3731 -R10987.ID.COV.Clin.3731-2066</t>
  </si>
  <si>
    <t>P706ID01C3732 -R10987.ID.COV.Clin.3732-2067</t>
  </si>
  <si>
    <t>P706ID01C1011 -R10987.ID.COV.Clin.1011.2179</t>
  </si>
  <si>
    <t>P706ID01C3831 -R10987.ID.COV.Clin.3831-2178</t>
  </si>
  <si>
    <t>P707CV00C1121 -R9035.CV.Other.Clin.1121-2125</t>
  </si>
  <si>
    <t>A81020-Clinical Other Medical Costs</t>
  </si>
  <si>
    <t>P710ID01C6211 -R10934.ID.COV.Clin.6211-2048</t>
  </si>
  <si>
    <t>P710ID01C6212 -R10934.ID.COV.Clin.6212-2054</t>
  </si>
  <si>
    <t>P710ID01C6213 -R10934.ID.COV.Clin.6213-2056</t>
  </si>
  <si>
    <t>P710ID01C6214 -R10934.ID.COV.Clin.6214-2064</t>
  </si>
  <si>
    <t>P710ID01C6215 -R10934.ID.COV.Clin.6215-2053</t>
  </si>
  <si>
    <t>P710ID01C6216 -R10934.ID.COV.Clin.6216-2062</t>
  </si>
  <si>
    <t>P710ID01C6218 -R10934.ID.COV.Clin.6218-2063</t>
  </si>
  <si>
    <t>P710ID01C6219 -R10934.ID.COV.Clin.6219-2079</t>
  </si>
  <si>
    <t>P710ID01C6221 -R10934.ID.COV.Clin.6221-2061</t>
  </si>
  <si>
    <t>P710ID01C6241 -R10934.ID.COV.Clin.6241-2116</t>
  </si>
  <si>
    <t>P711GE00C0031 -NTLA-F9.Other.Gen.Clin.0031.2187</t>
  </si>
  <si>
    <t>P711HE07C1531 -NTLA-F9.HE.Hemo.Clin.1531-2318</t>
  </si>
  <si>
    <t>P713HE02C1021 -R7945-ONC-22110</t>
  </si>
  <si>
    <t>P715GE00C1021 -R7508.Other.Gen.Clin.1021-21102</t>
  </si>
  <si>
    <t>P715HE08C2431 -R7508.HE.Throm.Clin.2431-2360</t>
  </si>
  <si>
    <t>P715HE08C3131 -R7508.HE.Throm.Clin.3131-2392</t>
  </si>
  <si>
    <t>P715HE08C3231 -R7508.HE.Throm.Clin.3231-2396</t>
  </si>
  <si>
    <t>P715HE08C3831 -R7508.HE.Throm.Clin.3831-24116</t>
  </si>
  <si>
    <t>P715HE08C3832 -R7508.HE.Throm.Clin.3832-24120</t>
  </si>
  <si>
    <t>P715HE08C2231  -R7508.HE.Throm.Clin.2231-2393</t>
  </si>
  <si>
    <t>P715HE08C3833 -R7508.HE.Throm.Clin.3833-24114</t>
  </si>
  <si>
    <t>P715HE08C3834 -R7508.HE.Throm.Clin.3834-25103</t>
  </si>
  <si>
    <t>P716AD01C1531 -DB-OTO.AD.Other.Clin.1531.001</t>
  </si>
  <si>
    <t>P717CV00C2521 -ALN-APOC3.CV.Other.Clin.2521-2447</t>
  </si>
  <si>
    <t>P718GE00C1121 -R7999.Other.Gen.Clin.1121-2154</t>
  </si>
  <si>
    <t>P718HE09C2431 -R7999.HE.BThal.Clin.2431-2350</t>
  </si>
  <si>
    <t>P719ID01C3831 -R14256.ID.COV.Clin.3831-2149</t>
  </si>
  <si>
    <t>P719ID01C3832 -R10987.ID.COV.Clin.3832-2176</t>
  </si>
  <si>
    <t>P721GE00C1011 -ALN-PNP.Other.Gen.Clin.1011-2227</t>
  </si>
  <si>
    <t>P721MD04C1211 -ALN-PNP.MD.NASH.Clin.1211-2255</t>
  </si>
  <si>
    <t>P721MD04C6231 -ALN-PNP.MD.NASH.Clin.6231-2489</t>
  </si>
  <si>
    <t>P721MD04C3731 -ALN-PNP.MD.NASH.Clin.3731-24100</t>
  </si>
  <si>
    <t>P721MD04C2611 -ALN-PNP.MD.NASH.Clin.2611-2543</t>
  </si>
  <si>
    <t>P722GE00C1021 -R7544.Other.Gen.Clin.1021-22109</t>
  </si>
  <si>
    <t>P722CV00C6231 -R7544.CV.Other.Clin.6231-2216</t>
  </si>
  <si>
    <t>P722CV00C2431 -R7544.CV.Other.Clin.2431-2429</t>
  </si>
  <si>
    <t>P722CV00C2432 -R7544.CV.Other.Clin.2432-2435</t>
  </si>
  <si>
    <t>P723ID01C0311 -R15160.ID.COV.CLIN.0311-2205</t>
  </si>
  <si>
    <t>P723ID01C0312 -R15160.ID.COV.CLIN.0312-2206</t>
  </si>
  <si>
    <t>P723ID01C1021 -R15160.ID.COV.CLIN.1021-2203</t>
  </si>
  <si>
    <t>P723ID01C3731 -R14284.ID.COV.CLIN.3731-2207</t>
  </si>
  <si>
    <t>P723ID01C3732 -R14284.ID.COV.CLIN.3732-2237</t>
  </si>
  <si>
    <t>P724ST04C1011 -TS-MUC16.ST.Ovarian.Clin.1011-27T51-01</t>
  </si>
  <si>
    <t>P725NS04C1231 -ALN-SOD.NS.ALS.Clin.1231-2351</t>
  </si>
  <si>
    <t>P727IM09C1021 -ALN-ANG3.IM.KD.Clin.1021-2348</t>
  </si>
  <si>
    <t>P727IM09C2411 -ALN-ANG3.IM.KD.Clin.2411-2502</t>
  </si>
  <si>
    <t>P728CV00C1121 -R13335.CV.Other.Clin.1121-2289</t>
  </si>
  <si>
    <t>P728CV00C6231 -R13335.CV.Other.Clin.6231-2278</t>
  </si>
  <si>
    <t>P728CV00C2431 -R13335.CV.Other.Clin.2431-2365</t>
  </si>
  <si>
    <t>P730ST15C2231 -R10597.ST.PNC.Clin.2231-22114</t>
  </si>
  <si>
    <t>P731ID01C1021 -R14284.ID.COV.Clin.1021-2253</t>
  </si>
  <si>
    <t>P731ID01C6011 -R14284.ID.COV.Clin.6011-2261</t>
  </si>
  <si>
    <t>P733HE08C1021 -R9533.HE.Throm.Clin.1021-2411</t>
  </si>
  <si>
    <t>P734HE08C1021 -ALN-F1202.HE.Throm.Clin.1021-2412</t>
  </si>
  <si>
    <t>P736ST00C2602 -CMP001.ST.Gen.Clin.2602-0009</t>
  </si>
  <si>
    <t>P736ST13C2731 -CMP001.ST.Melanoma.Clin.2731-2275</t>
  </si>
  <si>
    <t>P740ID01C1021 -R17092.ID.COV.Clin.1021-2312</t>
  </si>
  <si>
    <t>P740ID01C3731 -R17092.ID.COV.Clin.3731-2313</t>
  </si>
  <si>
    <t>P740ID01C3732 -R17092.ID.COV.Clin.3732-2361</t>
  </si>
  <si>
    <t>P742HE06C2231 -ALN-CFB.HE.PNH.Clin.2231-2468</t>
  </si>
  <si>
    <t>P743MD04C1331 -ALN-CIDEB.MD.NASH.Clin.1331-2486</t>
  </si>
  <si>
    <t>P746NS02C1021 -ALN-SNCA.NS.PD.Clin.1021-2482</t>
  </si>
  <si>
    <t>P750ST12C1031 -R15505.ST.Prostate.Clin.1031-24144</t>
  </si>
  <si>
    <t>P751HE02C1031 -REGN17372.HE.MM.Clin.1031-2493</t>
  </si>
  <si>
    <t>P752OD00C1031 -R7041.OD.Other.Clin.1031-24123</t>
  </si>
  <si>
    <t>P753HE04C1021 -R9220.HE.LL.Clin.1021-2559</t>
  </si>
  <si>
    <t>P756MD05C1011 -R20934.MD.Obes.Clin.1011-2561</t>
  </si>
  <si>
    <t>P757HE01C1231 -R17235.HE.HM.Clin.1231-24125</t>
  </si>
  <si>
    <t>P773IM00C1031 -R24493.IM.Gen.Clin.1031-25112</t>
  </si>
  <si>
    <t>P780MD05C3731 -OLA.MD.Obes.Clin.3731-2570</t>
  </si>
  <si>
    <t>P780MD05C1211 -OLA.MD.Obes.Clin.1211-2569</t>
  </si>
  <si>
    <t>P780MD05C3732 -OLA.MD.Obes.Clin.3732-2585</t>
  </si>
  <si>
    <t>P780MD05C3733 -OLA.MD.Obes.Clin.3733-2584</t>
  </si>
  <si>
    <t>P780IM22C2431 -OLA.IM.HS.Clin.2431-25109</t>
  </si>
  <si>
    <t>P780MD05C2411 -OLA.MD.Obes.Clin.2411-25106</t>
  </si>
  <si>
    <t>P783ST12C1011 -PSCACART.ST.Prostate.Clin.1011-2540</t>
  </si>
  <si>
    <t>P761IM08C1021 -R20423.IM.AtopicDerm.Clin.1021-2555</t>
  </si>
  <si>
    <t>P766OD08C2421 -R22530.OD.Glauc.2421-2558</t>
  </si>
  <si>
    <t>P769IM00C1021 -R22044.IM.Gen.Clin.1021-2533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</si>
</sst>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DAFF"/>
        <bgColor indexed="64"/>
      </patternFill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Protection="1">
      <protection locked="0"/>
    </xf>
    <xf numFmtId="0" fontId="0" fillId="2" borderId="1" xfId="0" quotePrefix="1" applyFill="1" applyBorder="1" applyProtection="1">
      <protection locked="0"/>
    </xf>
    <xf numFmtId="1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AACF6D-2D1B-47A1-AE6E-618E7AE890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99%20Strat%20Plan\Models%20that%20Tie%20to%20SP\LateStage%20Compound\DFMO_99%20S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farrenk\Excel%20Dateien\Business%20Plan\2000_01_05_06\1.Versions\buspl0203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gn.sharepoint.com/sites/ProgramFinanceTeam/Shared%20Documents/General/Ad%20hoc/AI%20Task%20Force/Forecast%20&amp;%20Program%20Budgets/Forecast%20Template/testing%20file_V2.xlsm" TargetMode="External"/><Relationship Id="rId1" Type="http://schemas.openxmlformats.org/officeDocument/2006/relationships/externalLinkPath" Target="https://regn.sharepoint.com/sites/ProgramFinanceTeam/Shared%20Documents/General/Ad%20hoc/AI%20Task%20Force/Forecast%20&amp;%20Program%20Budgets/Forecast%20Template/testing%20file_V2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gn.sharepoint.com/sites/ProgramFinanceTeam/Shared%20Documents/General/Program%20Budget%20Process/Excel%20&amp;%20Slide%20Templates/Clinical%20Costs%20Phasing,%20Modeling%20_%20Program%20Budg%20Summary%20Template%20-%20Feb%202026%20_%20latest.xlsm" TargetMode="External"/><Relationship Id="rId1" Type="http://schemas.openxmlformats.org/officeDocument/2006/relationships/externalLinkPath" Target="https://regn.sharepoint.com/sites/ProgramFinanceTeam/Shared%20Documents/General/Program%20Budget%20Process/Excel%20&amp;%20Slide%20Templates/Clinical%20Costs%20Phasing,%20Modeling%20_%20Program%20Budg%20Summary%20Template%20-%20Feb%202026%20_%20latest.xlsm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Finance_Apollo/Program%20Finance/Personal%20Folders/Patrick%20Antonelle/Ad-Hoc/Claude%20Projects/Master%20Data%20File%20_%2026%20May%202026%20v2%20(Control%20Center)%20.xlsm" TargetMode="External"/><Relationship Id="rId2" Type="http://schemas.openxmlformats.org/officeDocument/2006/relationships/externalLinkPath" Target="file:///V:\Finance_Apollo\Program%20Finance\Personal%20Folders\Patrick%20Antonelle\Ad-Hoc\Claude%20Projects\Master%20Data%20File%20_%2026%20May%202026%20v2%20(Control%20Center)%20.xlsm" TargetMode="External"/><Relationship Id="rId1" Type="http://schemas.openxmlformats.org/officeDocument/2006/relationships/externalLinkPath" Target="/Finance_Apollo/Program%20Finance/Personal%20Folders/Patrick%20Antonelle/Ad-Hoc/Claude%20Projects/Master%20Data%20File%20_%2026%20May%202026%20v2%20(Control%20Center)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proj-hirs"/>
      <sheetName val="Results from Nov 98"/>
      <sheetName val="Final Summ"/>
      <sheetName val="NPV"/>
      <sheetName val="Sales"/>
      <sheetName val="Keydrive"/>
      <sheetName val="Risk Var"/>
      <sheetName val="Chron"/>
      <sheetName val="P&amp;L-total"/>
      <sheetName val="sales summ"/>
      <sheetName val="sales proj-PFB"/>
      <sheetName val="sales proj-vellus"/>
      <sheetName val="Volume - Strat Plan"/>
      <sheetName val="Volume"/>
      <sheetName val="cogs"/>
      <sheetName val="P&amp;L-hirs"/>
      <sheetName val="Population"/>
      <sheetName val="Results from Mar 99"/>
      <sheetName val="sales proj_hirs"/>
      <sheetName val="sales proj_ｨÿrs"/>
      <sheetName val="HFM YTD_Oct 2012"/>
      <sheetName val="LIST"/>
      <sheetName val="BP 2001 rates"/>
      <sheetName val="DFMO_99 SP"/>
      <sheetName val="Tables"/>
      <sheetName val="sales_proj-hirs"/>
      <sheetName val="Results_from_Nov_98"/>
      <sheetName val="Final_Summ"/>
      <sheetName val="Risk_Var"/>
      <sheetName val="sales_summ"/>
      <sheetName val="sales_proj-PFB"/>
      <sheetName val="sales_proj-vellus"/>
      <sheetName val="Volume_-_Strat_Plan"/>
      <sheetName val="Results_from_Mar_99"/>
      <sheetName val="sales_proj_hirs"/>
      <sheetName val="sales_proj_ｨÿrs"/>
      <sheetName val="SCENARIOs"/>
      <sheetName val="Sheet1"/>
      <sheetName val="How to"/>
      <sheetName val="Parameters"/>
      <sheetName val="Lists"/>
      <sheetName val="Mapping"/>
      <sheetName val="1"/>
      <sheetName val="Listen"/>
      <sheetName val="Param"/>
      <sheetName val="SOURCE FILE"/>
      <sheetName val="map"/>
      <sheetName val="Categories"/>
      <sheetName val="index"/>
      <sheetName val="Feuil2"/>
      <sheetName val="Sheet5"/>
      <sheetName val="Data validation"/>
      <sheetName val="Sheet2"/>
      <sheetName val="Details"/>
      <sheetName val="Graphs Africa"/>
      <sheetName val="Plan2"/>
      <sheetName val="Lookups"/>
      <sheetName val="Reasons"/>
      <sheetName val="Aux"/>
      <sheetName val="Entity"/>
      <sheetName val="Feuil1"/>
      <sheetName val="Validation"/>
      <sheetName val="Nature&amp;Act"/>
      <sheetName val="CC name"/>
      <sheetName val="Type"/>
      <sheetName val="Countries"/>
      <sheetName val="zone map"/>
      <sheetName val="product map"/>
      <sheetName val="lista"/>
      <sheetName val="codes"/>
      <sheetName val="Month"/>
      <sheetName val="Currency"/>
      <sheetName val="CC"/>
      <sheetName val="Project to be committed"/>
      <sheetName val="PC"/>
      <sheetName val="Master Data"/>
      <sheetName val="Concur Mapping"/>
      <sheetName val="ref"/>
      <sheetName val="Cover"/>
      <sheetName val="Comments"/>
      <sheetName val="Master"/>
      <sheetName val="DIMENSION"/>
      <sheetName val="LIST GEM"/>
      <sheetName val="#REF"/>
      <sheetName val="drop down list, do not change!"/>
      <sheetName val="PV YTD"/>
      <sheetName val="Table"/>
      <sheetName val="Referential"/>
      <sheetName val="DB_Nature of Costs"/>
      <sheetName val="Ref. List"/>
      <sheetName val="DEALER LIST"/>
      <sheetName val="Filter"/>
      <sheetName val="Input variables"/>
      <sheetName val="Fx Rate"/>
      <sheetName val="Drivers"/>
      <sheetName val="HP list"/>
      <sheetName val="Topics"/>
      <sheetName val="Topic"/>
      <sheetName val="選單"/>
      <sheetName val="Topic分類表"/>
      <sheetName val="DEPARAS"/>
      <sheetName val="Var Analysis"/>
      <sheetName val="Finl summ"/>
      <sheetName val="RTUS_patients"/>
      <sheetName val="RTUS_sales"/>
      <sheetName val="Valorización"/>
      <sheetName val="S&amp;A Making"/>
      <sheetName val="IDL Making"/>
      <sheetName val="Antigüedad"/>
      <sheetName val="Select"/>
      <sheetName val="PERT Guide"/>
      <sheetName val="SCENARIO"/>
      <sheetName val="sales_proj-hirs1"/>
      <sheetName val="Results_from_Nov_981"/>
      <sheetName val="Final_Summ1"/>
      <sheetName val="Risk_Var1"/>
      <sheetName val="sales_summ1"/>
      <sheetName val="sales_proj-PFB1"/>
      <sheetName val="sales_proj-vellus1"/>
      <sheetName val="Volume_-_Strat_Plan1"/>
      <sheetName val="Results_from_Mar_991"/>
      <sheetName val="sales_proj_hirs1"/>
      <sheetName val="sales_proj_ｨÿrs1"/>
      <sheetName val="HFM_YTD_Oct_2012"/>
      <sheetName val="BP_2001_rates"/>
      <sheetName val="DFMO_99_SP"/>
      <sheetName val="How_to"/>
      <sheetName val="SOURCE_FILE"/>
      <sheetName val="Graphs_Africa"/>
      <sheetName val="Data_validation"/>
      <sheetName val="CC_name"/>
      <sheetName val="zone_map"/>
      <sheetName val="product_map"/>
      <sheetName val="Sheet3"/>
      <sheetName val="liste"/>
      <sheetName val="ElencoValori"/>
      <sheetName val="MCsDB"/>
      <sheetName val="F1 Assumptions &amp; lists"/>
      <sheetName val="Tabelle2"/>
      <sheetName val="D2 Product Class"/>
      <sheetName val="Input Data"/>
      <sheetName val="Cemiplimab Q2 2019 Outlook"/>
      <sheetName val="Cemiplimab Q3 2019 Outlook"/>
      <sheetName val="Cost Sharing"/>
      <sheetName val="Alirocumab"/>
      <sheetName val="Clinical Studies"/>
      <sheetName val="Master - REGN"/>
      <sheetName val="Header"/>
      <sheetName val="DB-Sales@KEUR"/>
      <sheetName val="2019 Provincial Vials"/>
      <sheetName val="For supply chain_0103_v2"/>
      <sheetName val="Gaucher_0120"/>
      <sheetName val="Cerezyme患者省分布_2019 Final_0120"/>
      <sheetName val="Pompe_浙江3月启动治疗_0120"/>
      <sheetName val="Myozyme患者省分布_2019 Final_0120"/>
      <sheetName val="Pompe 2030 Fcst_Best Case_0119"/>
      <sheetName val="Output-Pompe (Best)_0119"/>
      <sheetName val="Fabrazyme model_1227"/>
      <sheetName val="Aldurazyme model_0103"/>
      <sheetName val="DEPARAS - taxa"/>
      <sheetName val="2003"/>
      <sheetName val="Listas"/>
      <sheetName val="Data"/>
      <sheetName val="A&amp;P Line"/>
      <sheetName val="Droplist"/>
      <sheetName val="by channel by driver group-Q4"/>
      <sheetName val="Drop Box"/>
      <sheetName val="Database Scope"/>
      <sheetName val="Masterdata"/>
      <sheetName val="Dropbox"/>
      <sheetName val="Input"/>
      <sheetName val="Reference (2)"/>
      <sheetName val="Reference"/>
      <sheetName val="Adjust Reason"/>
      <sheetName val="Dropdown"/>
      <sheetName val="Pick Lists"/>
      <sheetName val="Product Hierarchy"/>
      <sheetName val="Cost Centers"/>
      <sheetName val="new attribute list"/>
      <sheetName val="Append. List"/>
      <sheetName val="Backend"/>
      <sheetName val="ACC"/>
      <sheetName val="Comp data"/>
      <sheetName val="Size_Growth_Adj"/>
      <sheetName val="Drop down ref"/>
      <sheetName val="Glossary"/>
      <sheetName val="YTD P&amp;L"/>
      <sheetName val="VN"/>
      <sheetName val="KH"/>
      <sheetName val="Welcome"/>
      <sheetName val="MENU"/>
      <sheetName val="MCO --&gt;"/>
      <sheetName val="P&amp;L MCO YTD Total"/>
      <sheetName val="P&amp;L MCO YTD ex-Sanofi"/>
      <sheetName val="P&amp;L MCO YTD ex-BI"/>
      <sheetName val="ZA only --&gt;"/>
      <sheetName val="P&amp;L ZA YTD ex-Sanofi"/>
      <sheetName val="P&amp;L ZA YTD ex-BI"/>
      <sheetName val="P&amp;L ZA YTD Total"/>
      <sheetName val="BW only --&gt;"/>
      <sheetName val="P&amp;L BW YTD ex-Sanofi"/>
      <sheetName val="P&amp;L BW YTD ex-BI"/>
      <sheetName val="P&amp;L BW YTD Total "/>
      <sheetName val="NA only --&gt;"/>
      <sheetName val="P&amp;L NA YTD Total  (2)"/>
      <sheetName val="P&amp;L NA YTD ex-Sanofi"/>
      <sheetName val="P&amp;L NA YTD ex-BI"/>
      <sheetName val="Proposta"/>
      <sheetName val="InPuts"/>
      <sheetName val="de-para prod"/>
      <sheetName val="Painel CNPJ"/>
      <sheetName val="Painel Provedor"/>
      <sheetName val="Painel Bandeiras"/>
      <sheetName val="OBJETIVOS"/>
      <sheetName val="PAINEL FINAL"/>
      <sheetName val="CAPACIDADE PRODUTIVA"/>
      <sheetName val="EXLUSÕES ED"/>
      <sheetName val="Data."/>
      <sheetName val="Du lieu"/>
      <sheetName val="Cenario Incorporado"/>
      <sheetName val="Cenario JUD"/>
      <sheetName val="0. Definitions"/>
      <sheetName val="CD% Seasonal"/>
      <sheetName val="FX"/>
      <sheetName val="SISO YTD YTG"/>
      <sheetName val="SISO MTD YTD"/>
      <sheetName val="SISO B21 B22"/>
      <sheetName val="SISO Quarterly View"/>
      <sheetName val="CDCA YTD YTG"/>
      <sheetName val="GSO by Brand"/>
      <sheetName val="NSO by Brand"/>
      <sheetName val="NSI by Brand"/>
      <sheetName val="CD by Brand"/>
      <sheetName val="CA by Brand"/>
      <sheetName val="GM by Brand"/>
      <sheetName val="% GM by Brand"/>
      <sheetName val="Price List"/>
      <sheetName val="Quantity by Month"/>
      <sheetName val="GSO by Month"/>
      <sheetName val="NSO by Month"/>
      <sheetName val="NSI by Month"/>
      <sheetName val="CD by Month"/>
      <sheetName val="GtN by Month"/>
      <sheetName val="Provision by Month"/>
      <sheetName val="GtN by Month excl Reversal"/>
      <sheetName val="CD by month excl Reversal"/>
      <sheetName val="GM by Month"/>
      <sheetName val="Discount"/>
      <sheetName val="Rebate_Pha.C"/>
      <sheetName val="Rebate_WS"/>
      <sheetName val="Rebate_PP"/>
      <sheetName val="BD"/>
      <sheetName val="% Discount"/>
      <sheetName val="% Rebate_Pha.C"/>
      <sheetName val="% Rebate_WS"/>
      <sheetName val="% Rebate_PP"/>
      <sheetName val="% BD"/>
      <sheetName val="Other COGS"/>
      <sheetName val="Other COGS (Misc)"/>
      <sheetName val="Other COGS (KH Leaflet)"/>
      <sheetName val="COGS_CRIS"/>
      <sheetName val="COGS_UM"/>
      <sheetName val="COGS per unit"/>
      <sheetName val="COGS per unit - CRIS"/>
      <sheetName val="COGS per unit - UM"/>
      <sheetName val="Other COGS (KH Leaflet) Best"/>
      <sheetName val="ADJ"/>
      <sheetName val="Products Match"/>
      <sheetName val="Sales Trend SE 1017"/>
      <sheetName val="Daily Sales SE 1017 "/>
      <sheetName val="Sales Trend NO 1026"/>
      <sheetName val="Sales Trend FI 1058"/>
      <sheetName val="Sales Trend DK 1028"/>
      <sheetName val="Sales Trend IS Medor"/>
      <sheetName val="Daily Sales IS Medor"/>
      <sheetName val="Market data"/>
      <sheetName val="Instructions"/>
      <sheetName val="Co. 670 HK"/>
      <sheetName val="ALLIANCE DME COSTS"/>
      <sheetName val="STRAVISﾏｽﾀ一覧"/>
      <sheetName val="UPSA DIR VGF"/>
      <sheetName val="Pricing Reference"/>
      <sheetName val="2016 List"/>
      <sheetName val="PromoTrack_Setup"/>
      <sheetName val="2017 List"/>
      <sheetName val=""/>
      <sheetName val="1014 - 9 20 17"/>
      <sheetName val="Total T.O."/>
      <sheetName val="settings"/>
      <sheetName val="By Account"/>
      <sheetName val="Resource Allocation Index"/>
      <sheetName val="Bridge Expl list"/>
      <sheetName val="Credit Calc"/>
      <sheetName val="Model Assumptions - Corp"/>
      <sheetName val="Sheet4"/>
      <sheetName val="90 day rolling"/>
      <sheetName val="90 day rolling summary"/>
      <sheetName val="Cash Flow Forecast"/>
      <sheetName val="Cash Flow Forecast Summary"/>
      <sheetName val="2019 Liquidity Dashboard"/>
      <sheetName val="2020-22 Liquidity Dashboard"/>
      <sheetName val="Corp P&amp;L Net"/>
      <sheetName val="Product Purchases"/>
      <sheetName val="Import Summary"/>
      <sheetName val="Company Codes"/>
      <sheetName val="Debt Schedule"/>
      <sheetName val="Var_Analysis"/>
      <sheetName val="Finl_summ"/>
      <sheetName val="new_attribute_list"/>
      <sheetName val="Append__List"/>
      <sheetName val="Sales_Trend_SE_1017"/>
      <sheetName val="Daily_Sales_SE_1017_"/>
      <sheetName val="Sales_Trend_NO_1026"/>
      <sheetName val="Sales_Trend_FI_1058"/>
      <sheetName val="Sales_Trend_DK_1028"/>
      <sheetName val="Sales_Trend_IS_Medor"/>
      <sheetName val="Daily_Sales_IS_Medor"/>
      <sheetName val="Bridge_Expl_list"/>
      <sheetName val="Credit_Calc"/>
      <sheetName val="Market_data"/>
      <sheetName val="CoA"/>
      <sheetName val="Tricon"/>
      <sheetName val="Brinker"/>
      <sheetName val="Shoneys"/>
      <sheetName val="BOB"/>
      <sheetName val="Buffets"/>
      <sheetName val="Ruby"/>
      <sheetName val="Marriot"/>
      <sheetName val="Jack"/>
      <sheetName val="COMP16"/>
      <sheetName val="COMP17"/>
      <sheetName val="COMP18"/>
      <sheetName val="COMP19"/>
      <sheetName val="Darden"/>
      <sheetName val="COMP20"/>
      <sheetName val="COMP21"/>
      <sheetName val="COMP22"/>
      <sheetName val="COMP23"/>
      <sheetName val="Wendys"/>
      <sheetName val="CKE"/>
      <sheetName val="Starbucks"/>
      <sheetName val="Outback"/>
      <sheetName val="Advantica"/>
      <sheetName val="Viad"/>
      <sheetName val="CBRL"/>
      <sheetName val="Exec1-CEO"/>
      <sheetName val="1yrExec1-CEO"/>
      <sheetName val="sales_proj-hirs2"/>
      <sheetName val="Results_from_Nov_982"/>
      <sheetName val="Final_Summ2"/>
      <sheetName val="Risk_Var2"/>
      <sheetName val="sales_summ2"/>
      <sheetName val="sales_proj-PFB2"/>
      <sheetName val="sales_proj-vellus2"/>
      <sheetName val="Volume_-_Strat_Plan2"/>
      <sheetName val="Results_from_Mar_992"/>
      <sheetName val="sales_proj_hirs2"/>
      <sheetName val="Co__670_HK"/>
      <sheetName val="ALLIANCE_DME_COSTS"/>
      <sheetName val="UPSA_DIR_VGF"/>
      <sheetName val="DFMO_99_SP1"/>
      <sheetName val="Comp_data"/>
      <sheetName val="sales_proj_ｨÿrs2"/>
      <sheetName val="BP_2001_rates1"/>
      <sheetName val="HFM_YTD_Oct_20121"/>
      <sheetName val="How_to1"/>
      <sheetName val="SOURCE_FILE1"/>
      <sheetName val="Data_validation1"/>
      <sheetName val="Graphs_Africa1"/>
      <sheetName val="Pricing_Reference"/>
      <sheetName val="2016_List"/>
      <sheetName val="S&amp;A_Making"/>
      <sheetName val="IDL_Making"/>
      <sheetName val="A&amp;P_Line"/>
      <sheetName val="by_channel_by_driver_group-Q4"/>
      <sheetName val="Database_Scope"/>
      <sheetName val="Drop_Box"/>
      <sheetName val="Reference_(2)"/>
      <sheetName val="Input_Data"/>
      <sheetName val="D2_Product_Class"/>
      <sheetName val="Product_Hierarchy"/>
      <sheetName val="Pick_Lists"/>
      <sheetName val="Cost_Centers"/>
      <sheetName val="2017_List"/>
      <sheetName val="CC_name1"/>
      <sheetName val="zone_map1"/>
      <sheetName val="product_map1"/>
      <sheetName val="Project_to_be_committed"/>
      <sheetName val="Master_Data"/>
      <sheetName val="LIST_GEM"/>
      <sheetName val="Concur_Mapping"/>
      <sheetName val="DB_Nature_of_Costs"/>
      <sheetName val="Ref__List"/>
      <sheetName val="DEALER_LIST"/>
      <sheetName val="Input_variables"/>
      <sheetName val="Fx_Rate"/>
      <sheetName val="PV_YTD"/>
      <sheetName val="HP_list"/>
      <sheetName val="drop_down_list,_do_not_change!"/>
      <sheetName val="PERT_Guide"/>
      <sheetName val="Cemiplimab_Q2_2019_Outlook"/>
      <sheetName val="Cemiplimab_Q3_2019_Outlook"/>
      <sheetName val="Cost_Sharing"/>
      <sheetName val="Clinical_Studies"/>
      <sheetName val="Master_-_REGN"/>
      <sheetName val="F1_Assumptions_&amp;_lists"/>
      <sheetName val="1014_-_9_20_17"/>
      <sheetName val="Total_T_O_"/>
      <sheetName val="By_Account"/>
      <sheetName val="Market Growth"/>
      <sheetName val="Sheet7"/>
      <sheetName val="Meiji"/>
      <sheetName val="customer, SKU specifics"/>
      <sheetName val="Input - Leaflet "/>
      <sheetName val="leaflet monitor 2019"/>
      <sheetName val="ex-fa pricing 2019"/>
      <sheetName val="EVALUATION 1.0"/>
      <sheetName val="Value"/>
      <sheetName val="prevodnik"/>
      <sheetName val="Sheet6"/>
      <sheetName val="기준자"/>
      <sheetName val="조견표"/>
      <sheetName val="드롭박스"/>
      <sheetName val="Finl_summ1"/>
      <sheetName val="필드값"/>
      <sheetName val="적용환율"/>
      <sheetName val="TOWER 12TON"/>
      <sheetName val="JIB CRANE,HOIST"/>
      <sheetName val="TOWER 10TON"/>
      <sheetName val="증정품 목록"/>
      <sheetName val="DropBox(내역)"/>
      <sheetName val="목록"/>
      <sheetName val="C. Master"/>
      <sheetName val="START"/>
      <sheetName val="EV"/>
      <sheetName val="Celltrion FC Labeling 02212020"/>
      <sheetName val="Cell Lab_Allo_5.20.2020"/>
      <sheetName val="Schedule_Tracke6.26r"/>
      <sheetName val="Schedule_Tracker6.25"/>
      <sheetName val="Celltrion"/>
      <sheetName val="Schedule_Tracker 06.15"/>
      <sheetName val="Cell lab Sch 06.05"/>
      <sheetName val="Labeled lots Schedule 2020"/>
      <sheetName val="Celltrion FC Assembly "/>
      <sheetName val="CELL Labeling Alloc 04072020"/>
      <sheetName val="May_Lab_Fcst"/>
      <sheetName val="Assembly lots Schedule 2020"/>
      <sheetName val="TW_SubA"/>
      <sheetName val="Celltrion_FC_Assembly_OH"/>
      <sheetName val="Meeting-Action Items"/>
      <sheetName val="CELL Assembly Allocation "/>
      <sheetName val="Labels PO"/>
      <sheetName val="CelltrionLabAllocation 04062020"/>
      <sheetName val="DB MASTR"/>
      <sheetName val="Accounts RB"/>
      <sheetName val="DB Format"/>
      <sheetName val="drop down list"/>
      <sheetName val="Var_Analysis1"/>
      <sheetName val="S&amp;A_Making1"/>
      <sheetName val="IDL_Making1"/>
      <sheetName val="A&amp;P_Line1"/>
      <sheetName val="by_channel_by_driver_group-Q41"/>
      <sheetName val="Database_Scope1"/>
      <sheetName val="Drop_Box1"/>
      <sheetName val="Reference_(2)1"/>
      <sheetName val="DB_MASTR"/>
      <sheetName val="Accounts_RB"/>
      <sheetName val="PNT-QUOT-#3"/>
      <sheetName val="COAT&amp;WRAP-QIOT-#3"/>
      <sheetName val="Base"/>
      <sheetName val="Dropdownlists"/>
      <sheetName val="OtherKPI"/>
      <sheetName val="lkup"/>
      <sheetName val="INFO"/>
      <sheetName val="DB"/>
      <sheetName val="Combo Box"/>
      <sheetName val="TM Registration and Orders"/>
      <sheetName val="PIVOT TM Sales ao Aug8"/>
      <sheetName val="(RAW) CLEAN GMV ao Aug5"/>
      <sheetName val="(RAW) CLEAN GMV - AUG no dup"/>
      <sheetName val="SKU sold per TM per Month"/>
      <sheetName val="PIVOT Puch HCPs per TM - AUG"/>
      <sheetName val="PIVOT Puch HCPs per TM -JUL"/>
      <sheetName val="(RAW) CLEAN GMV-JUL nodup"/>
      <sheetName val="Magento Sales"/>
      <sheetName val="(RAW) CLEAN GMV YTD-nodup"/>
      <sheetName val="PIVOT Puch HCPs per TM -YTD"/>
      <sheetName val="TM and DM Mapping"/>
      <sheetName val="(RAW) GMV Sold per SKU per TM"/>
      <sheetName val="(RAW) Order by Address)"/>
      <sheetName val="PIVOT Reg HCPs per TM ao Aug8"/>
      <sheetName val="(RAW) Reg HCPs per TM ao Aug8"/>
      <sheetName val="PIVOT Puch HCPs per TM -APR"/>
      <sheetName val="(RAW) CLEAN GMV APR-no dup"/>
      <sheetName val="PIVOT Puch HCPs per TM -MAY"/>
      <sheetName val="(RAW) CLEAN GMV MAY-no dup"/>
      <sheetName val="PIVOT Puch HCPs per TM -JUN"/>
      <sheetName val="(RAW) CLEAN GMV JUN-nodup"/>
      <sheetName val="(RAW) Customer Address ao Jul28"/>
      <sheetName val="(RAW) MJ Order Tracker"/>
      <sheetName val="(RAW) Magento Sales ao Jun14"/>
      <sheetName val="(RAW) Magento Sales"/>
      <sheetName val="RAW TM Sales ao Apr15"/>
      <sheetName val="2019"/>
      <sheetName val="2020 project name1"/>
      <sheetName val="ACS WD+4"/>
      <sheetName val="ACS WD_4"/>
      <sheetName val="Budget"/>
      <sheetName val="Proj_Plant"/>
      <sheetName val="Proj_Mkt"/>
      <sheetName val="K"/>
      <sheetName val="SPLITLCP"/>
      <sheetName val="DISH"/>
      <sheetName val="FCC"/>
      <sheetName val="HSC"/>
      <sheetName val="NBD"/>
      <sheetName val="LCPSECT"/>
      <sheetName val="L"/>
      <sheetName val="J"/>
      <sheetName val="GENMULTI"/>
      <sheetName val="N"/>
      <sheetName val="Germany"/>
      <sheetName val="France"/>
      <sheetName val="UK"/>
      <sheetName val="SPAIN"/>
      <sheetName val="Var_Analysis2"/>
      <sheetName val="Finl_summ2"/>
      <sheetName val="S&amp;A_Making2"/>
      <sheetName val="IDL_Making2"/>
      <sheetName val="A&amp;P_Line2"/>
      <sheetName val="by_channel_by_driver_group-Q42"/>
      <sheetName val="Drop_Box2"/>
      <sheetName val="Database_Scope2"/>
      <sheetName val="Reference_(2)2"/>
      <sheetName val="Accounts_RB1"/>
      <sheetName val="DB_MASTR1"/>
      <sheetName val="DB_Format"/>
      <sheetName val="drop_down_list"/>
      <sheetName val="Combo_Box"/>
      <sheetName val="ACUMULADO"/>
      <sheetName val="Variables, Assumptions"/>
      <sheetName val="A"/>
      <sheetName val="DV_Dynamic"/>
      <sheetName val="Quantity"/>
      <sheetName val="会社リスト"/>
      <sheetName val="0.設定"/>
      <sheetName val="マスタ"/>
      <sheetName val="Input Table - Asset"/>
      <sheetName val="Resource_Allocation_Index"/>
      <sheetName val="Historical IS"/>
      <sheetName val="sales_proj-hirs3"/>
      <sheetName val="Results_from_Nov_983"/>
      <sheetName val="Final_Summ3"/>
      <sheetName val="Risk_Var3"/>
      <sheetName val="sales_summ3"/>
      <sheetName val="sales_proj-PFB3"/>
      <sheetName val="sales_proj-vellus3"/>
      <sheetName val="Volume_-_Strat_Plan3"/>
      <sheetName val="Results_from_Mar_993"/>
      <sheetName val="sales_proj_hirs3"/>
      <sheetName val="Var_Analysis3"/>
      <sheetName val="Finl_summ3"/>
      <sheetName val="new_attribute_list1"/>
      <sheetName val="Append__List1"/>
      <sheetName val="Sales_Trend_SE_10171"/>
      <sheetName val="Daily_Sales_SE_1017_1"/>
      <sheetName val="Sales_Trend_NO_10261"/>
      <sheetName val="Sales_Trend_FI_10581"/>
      <sheetName val="Sales_Trend_DK_10281"/>
      <sheetName val="Sales_Trend_IS_Medor1"/>
      <sheetName val="Daily_Sales_IS_Medor1"/>
      <sheetName val="Market_data1"/>
      <sheetName val="Co__670_HK1"/>
      <sheetName val="ALLIANCE_DME_COSTS1"/>
      <sheetName val="UPSA_DIR_VGF1"/>
      <sheetName val="DFMO_99_SP2"/>
      <sheetName val="Comp_data1"/>
      <sheetName val="sales_proj_ｨÿrs3"/>
      <sheetName val="BP_2001_rates2"/>
      <sheetName val="HFM_YTD_Oct_20122"/>
      <sheetName val="How_to2"/>
      <sheetName val="SOURCE_FILE2"/>
      <sheetName val="Data_validation2"/>
      <sheetName val="Graphs_Africa2"/>
      <sheetName val="Pricing_Reference1"/>
      <sheetName val="2016_List1"/>
      <sheetName val="S&amp;A_Making3"/>
      <sheetName val="IDL_Making3"/>
      <sheetName val="A&amp;P_Line3"/>
      <sheetName val="by_channel_by_driver_group-Q43"/>
      <sheetName val="Database_Scope3"/>
      <sheetName val="Drop_Box3"/>
      <sheetName val="Reference_(2)3"/>
      <sheetName val="Product_Hierarchy1"/>
      <sheetName val="Pick_Lists1"/>
      <sheetName val="Cost_Centers1"/>
      <sheetName val="2017_List1"/>
      <sheetName val="Input_Data1"/>
      <sheetName val="D2_Product_Class1"/>
      <sheetName val="CC_name2"/>
      <sheetName val="zone_map2"/>
      <sheetName val="product_map2"/>
      <sheetName val="Project_to_be_committed1"/>
      <sheetName val="Master_Data1"/>
      <sheetName val="LIST_GEM1"/>
      <sheetName val="Concur_Mapping1"/>
      <sheetName val="DB_Nature_of_Costs1"/>
      <sheetName val="Ref__List1"/>
      <sheetName val="DEALER_LIST1"/>
      <sheetName val="Input_variables1"/>
      <sheetName val="Fx_Rate1"/>
      <sheetName val="PV_YTD1"/>
      <sheetName val="HP_list1"/>
      <sheetName val="drop_down_list,_do_not_change!1"/>
      <sheetName val="PERT_Guide1"/>
      <sheetName val="Cemiplimab_Q2_2019_Outlook1"/>
      <sheetName val="Cemiplimab_Q3_2019_Outlook1"/>
      <sheetName val="Cost_Sharing1"/>
      <sheetName val="Clinical_Studies1"/>
      <sheetName val="Master_-_REGN1"/>
      <sheetName val="F1_Assumptions_&amp;_lists1"/>
      <sheetName val="1014_-_9_20_171"/>
      <sheetName val="Total_T_O_1"/>
      <sheetName val="By_Account1"/>
      <sheetName val="Resource_Allocation_Index1"/>
      <sheetName val="Bridge_Expl_list1"/>
      <sheetName val="Credit_Calc1"/>
      <sheetName val="Model_Assumptions_-_Corp"/>
      <sheetName val="90_day_rolling"/>
      <sheetName val="90_day_rolling_summary"/>
      <sheetName val="Cash_Flow_Forecast"/>
      <sheetName val="Cash_Flow_Forecast_Summary"/>
      <sheetName val="2019_Liquidity_Dashboard"/>
      <sheetName val="2020-22_Liquidity_Dashboard"/>
      <sheetName val="Corp_P&amp;L_Net"/>
      <sheetName val="Product_Purchases"/>
      <sheetName val="Import_Summary"/>
      <sheetName val="Company_Codes"/>
      <sheetName val="Debt_Schedule"/>
      <sheetName val="Market_Growth"/>
      <sheetName val="DB_MASTR2"/>
      <sheetName val="Accounts_RB2"/>
      <sheetName val="DB_Format1"/>
      <sheetName val="drop_down_list1"/>
      <sheetName val="Combo_Box1"/>
      <sheetName val="TM_Registration_and_Orders"/>
      <sheetName val="PIVOT_TM_Sales_ao_Aug8"/>
      <sheetName val="(RAW)_CLEAN_GMV_ao_Aug5"/>
      <sheetName val="(RAW)_CLEAN_GMV_-_AUG_no_dup"/>
      <sheetName val="SKU_sold_per_TM_per_Month"/>
      <sheetName val="PIVOT_Puch_HCPs_per_TM_-_AUG"/>
      <sheetName val="PIVOT_Puch_HCPs_per_TM_-JUL"/>
      <sheetName val="(RAW)_CLEAN_GMV-JUL_nodup"/>
      <sheetName val="Magento_Sales"/>
      <sheetName val="(RAW)_CLEAN_GMV_YTD-nodup"/>
      <sheetName val="PIVOT_Puch_HCPs_per_TM_-YTD"/>
      <sheetName val="TM_and_DM_Mapping"/>
      <sheetName val="(RAW)_GMV_Sold_per_SKU_per_TM"/>
      <sheetName val="(RAW)_Order_by_Address)"/>
      <sheetName val="PIVOT_Reg_HCPs_per_TM_ao_Aug8"/>
      <sheetName val="(RAW)_Reg_HCPs_per_TM_ao_Aug8"/>
      <sheetName val="PIVOT_Puch_HCPs_per_TM_-APR"/>
      <sheetName val="(RAW)_CLEAN_GMV_APR-no_dup"/>
      <sheetName val="PIVOT_Puch_HCPs_per_TM_-MAY"/>
      <sheetName val="(RAW)_CLEAN_GMV_MAY-no_dup"/>
      <sheetName val="PIVOT_Puch_HCPs_per_TM_-JUN"/>
      <sheetName val="(RAW)_CLEAN_GMV_JUN-nodup"/>
      <sheetName val="(RAW)_Customer_Address_ao_Jul28"/>
      <sheetName val="(RAW)_MJ_Order_Tracker"/>
      <sheetName val="(RAW)_Magento_Sales_ao_Jun14"/>
      <sheetName val="(RAW)_Magento_Sales"/>
      <sheetName val="RAW_TM_Sales_ao_Apr15"/>
      <sheetName val="2020_project_name1"/>
      <sheetName val="ACS_WD+4"/>
      <sheetName val="ACS_WD_4"/>
      <sheetName val="Variables,_Assumptions"/>
      <sheetName val="0_設定"/>
      <sheetName val="Input_Table_-_Asset"/>
      <sheetName val="HC_2009_Alpha"/>
      <sheetName val="Cost Approach"/>
      <sheetName val="OAC Growth"/>
      <sheetName val="P&amp;L NA YTD Total (2)"/>
      <sheetName val="Query"/>
      <sheetName val="listes"/>
      <sheetName val="db HFM Menu list"/>
      <sheetName val="Sum Pays M"/>
      <sheetName val="PDTS"/>
      <sheetName val="Pays"/>
      <sheetName val="Pgm"/>
      <sheetName val="KE30 Sample SG"/>
      <sheetName val="MProduits"/>
      <sheetName val="Produits"/>
      <sheetName val="16"/>
      <sheetName val="50"/>
      <sheetName val="Drop Down Menus"/>
      <sheetName val="Sales 2003"/>
      <sheetName val="sales_proj-hirs4"/>
      <sheetName val="Results_from_Nov_984"/>
      <sheetName val="Final_Summ4"/>
      <sheetName val="Risk_Var4"/>
      <sheetName val="sales_summ4"/>
      <sheetName val="sales_proj-PFB4"/>
      <sheetName val="sales_proj-vellus4"/>
      <sheetName val="Volume_-_Strat_Plan4"/>
      <sheetName val="Results_from_Mar_994"/>
      <sheetName val="sales_proj_hirs4"/>
      <sheetName val="Var_Analysis4"/>
      <sheetName val="Finl_summ4"/>
      <sheetName val="new_attribute_list2"/>
      <sheetName val="Append__List2"/>
      <sheetName val="Sales_Trend_SE_10172"/>
      <sheetName val="Daily_Sales_SE_1017_2"/>
      <sheetName val="Sales_Trend_NO_10262"/>
      <sheetName val="Sales_Trend_FI_10582"/>
      <sheetName val="Sales_Trend_DK_10282"/>
      <sheetName val="Sales_Trend_IS_Medor2"/>
      <sheetName val="Daily_Sales_IS_Medor2"/>
      <sheetName val="Market_data2"/>
      <sheetName val="Co__670_HK2"/>
      <sheetName val="ALLIANCE_DME_COSTS2"/>
      <sheetName val="UPSA_DIR_VGF2"/>
      <sheetName val="DFMO_99_SP3"/>
      <sheetName val="Comp_data2"/>
      <sheetName val="sales_proj_ｨÿrs4"/>
      <sheetName val="BP_2001_rates3"/>
      <sheetName val="HFM_YTD_Oct_20123"/>
      <sheetName val="How_to3"/>
      <sheetName val="SOURCE_FILE3"/>
      <sheetName val="Data_validation3"/>
      <sheetName val="Graphs_Africa3"/>
      <sheetName val="Pricing_Reference2"/>
      <sheetName val="2016_List2"/>
      <sheetName val="S&amp;A_Making4"/>
      <sheetName val="IDL_Making4"/>
      <sheetName val="A&amp;P_Line4"/>
      <sheetName val="by_channel_by_driver_group-Q44"/>
      <sheetName val="Database_Scope4"/>
      <sheetName val="Drop_Box4"/>
      <sheetName val="Reference_(2)4"/>
      <sheetName val="Product_Hierarchy2"/>
      <sheetName val="Pick_Lists2"/>
      <sheetName val="Cost_Centers2"/>
      <sheetName val="2017_List2"/>
      <sheetName val="Input_Data2"/>
      <sheetName val="D2_Product_Class2"/>
      <sheetName val="CC_name3"/>
      <sheetName val="zone_map3"/>
      <sheetName val="product_map3"/>
      <sheetName val="Project_to_be_committed2"/>
      <sheetName val="Master_Data2"/>
      <sheetName val="LIST_GEM2"/>
      <sheetName val="Concur_Mapping2"/>
      <sheetName val="DB_Nature_of_Costs2"/>
      <sheetName val="Ref__List2"/>
      <sheetName val="DEALER_LIST2"/>
      <sheetName val="Input_variables2"/>
      <sheetName val="Fx_Rate2"/>
      <sheetName val="PV_YTD2"/>
      <sheetName val="HP_list2"/>
      <sheetName val="drop_down_list,_do_not_change!2"/>
      <sheetName val="PERT_Guide2"/>
      <sheetName val="Cemiplimab_Q2_2019_Outlook2"/>
      <sheetName val="Cemiplimab_Q3_2019_Outlook2"/>
      <sheetName val="Cost_Sharing2"/>
      <sheetName val="Clinical_Studies2"/>
      <sheetName val="Master_-_REGN2"/>
      <sheetName val="F1_Assumptions_&amp;_lists2"/>
      <sheetName val="1014_-_9_20_172"/>
      <sheetName val="Total_T_O_2"/>
      <sheetName val="By_Account2"/>
      <sheetName val="Resource_Allocation_Index2"/>
      <sheetName val="Bridge_Expl_list2"/>
      <sheetName val="Credit_Calc2"/>
      <sheetName val="Model_Assumptions_-_Corp1"/>
      <sheetName val="90_day_rolling1"/>
      <sheetName val="90_day_rolling_summary1"/>
      <sheetName val="Cash_Flow_Forecast1"/>
      <sheetName val="Cash_Flow_Forecast_Summary1"/>
      <sheetName val="2019_Liquidity_Dashboard1"/>
      <sheetName val="2020-22_Liquidity_Dashboard1"/>
      <sheetName val="Corp_P&amp;L_Net1"/>
      <sheetName val="Product_Purchases1"/>
      <sheetName val="Import_Summary1"/>
      <sheetName val="Company_Codes1"/>
      <sheetName val="Debt_Schedule1"/>
      <sheetName val="Market_Growth1"/>
      <sheetName val="DB_MASTR3"/>
      <sheetName val="Accounts_RB3"/>
      <sheetName val="DB_Format2"/>
      <sheetName val="drop_down_list2"/>
      <sheetName val="Combo_Box2"/>
      <sheetName val="TM_Registration_and_Orders1"/>
      <sheetName val="PIVOT_TM_Sales_ao_Aug81"/>
      <sheetName val="(RAW)_CLEAN_GMV_ao_Aug51"/>
      <sheetName val="(RAW)_CLEAN_GMV_-_AUG_no_dup1"/>
      <sheetName val="SKU_sold_per_TM_per_Month1"/>
      <sheetName val="PIVOT_Puch_HCPs_per_TM_-_AUG1"/>
      <sheetName val="PIVOT_Puch_HCPs_per_TM_-JUL1"/>
      <sheetName val="(RAW)_CLEAN_GMV-JUL_nodup1"/>
      <sheetName val="Magento_Sales1"/>
      <sheetName val="(RAW)_CLEAN_GMV_YTD-nodup1"/>
      <sheetName val="PIVOT_Puch_HCPs_per_TM_-YTD1"/>
      <sheetName val="TM_and_DM_Mapping1"/>
      <sheetName val="(RAW)_GMV_Sold_per_SKU_per_TM1"/>
      <sheetName val="(RAW)_Order_by_Address)1"/>
      <sheetName val="PIVOT_Reg_HCPs_per_TM_ao_Aug81"/>
      <sheetName val="(RAW)_Reg_HCPs_per_TM_ao_Aug81"/>
      <sheetName val="PIVOT_Puch_HCPs_per_TM_-APR1"/>
      <sheetName val="(RAW)_CLEAN_GMV_APR-no_dup1"/>
      <sheetName val="PIVOT_Puch_HCPs_per_TM_-MAY1"/>
      <sheetName val="(RAW)_CLEAN_GMV_MAY-no_dup1"/>
      <sheetName val="PIVOT_Puch_HCPs_per_TM_-JUN1"/>
      <sheetName val="(RAW)_CLEAN_GMV_JUN-nodup1"/>
      <sheetName val="(RAW)_Customer_Address_ao_Jul21"/>
      <sheetName val="(RAW)_MJ_Order_Tracker1"/>
      <sheetName val="(RAW)_Magento_Sales_ao_Jun141"/>
      <sheetName val="(RAW)_Magento_Sales1"/>
      <sheetName val="RAW_TM_Sales_ao_Apr151"/>
      <sheetName val="2020_project_name11"/>
      <sheetName val="ACS_WD+41"/>
      <sheetName val="ACS_WD_41"/>
      <sheetName val="Variables,_Assumptions1"/>
      <sheetName val="0_設定1"/>
      <sheetName val="Input_Table_-_Asset1"/>
      <sheetName val="2019_Provincial_Vials"/>
      <sheetName val="For_supply_chain_0103_v2"/>
      <sheetName val="Cerezyme患者省分布_2019_Final_0120"/>
      <sheetName val="Myozyme患者省分布_2019_Final_0120"/>
      <sheetName val="Pompe_2030_Fcst_Best_Case_0119"/>
      <sheetName val="Output-Pompe_(Best)_0119"/>
      <sheetName val="Fabrazyme_model_1227"/>
      <sheetName val="Aldurazyme_model_0103"/>
      <sheetName val="DEPARAS_-_taxa"/>
      <sheetName val="Adjust_Reason"/>
      <sheetName val="Historical_IS"/>
      <sheetName val="Cost_Approach"/>
      <sheetName val="Drop_down_ref"/>
      <sheetName val="YTD_P&amp;L"/>
      <sheetName val="MCO_--&gt;"/>
      <sheetName val="P&amp;L_MCO_YTD_Total"/>
      <sheetName val="P&amp;L_MCO_YTD_ex-Sanofi"/>
      <sheetName val="P&amp;L_MCO_YTD_ex-BI"/>
      <sheetName val="ZA_only_--&gt;"/>
      <sheetName val="P&amp;L_ZA_YTD_ex-Sanofi"/>
      <sheetName val="P&amp;L_ZA_YTD_ex-BI"/>
      <sheetName val="P&amp;L_ZA_YTD_Total"/>
      <sheetName val="BW_only_--&gt;"/>
      <sheetName val="P&amp;L_BW_YTD_ex-Sanofi"/>
      <sheetName val="P&amp;L_BW_YTD_ex-BI"/>
      <sheetName val="P&amp;L_BW_YTD_Total_"/>
      <sheetName val="NA_only_--&gt;"/>
      <sheetName val="P&amp;L_NA_YTD_Total__(2)"/>
      <sheetName val="P&amp;L_NA_YTD_ex-Sanofi"/>
      <sheetName val="P&amp;L_NA_YTD_ex-BI"/>
      <sheetName val="de-para_prod"/>
      <sheetName val="Painel_CNPJ"/>
      <sheetName val="Painel_Provedor"/>
      <sheetName val="Painel_Bandeiras"/>
      <sheetName val="PAINEL_FINAL"/>
      <sheetName val="CAPACIDADE_PRODUTIVA"/>
      <sheetName val="EXLUSÕES_ED"/>
      <sheetName val="Data_"/>
      <sheetName val="Du_lieu"/>
      <sheetName val="Cenario_Incorporado"/>
      <sheetName val="Cenario_JUD"/>
      <sheetName val="0__Definitions"/>
      <sheetName val="CD%_Seasonal"/>
      <sheetName val="SISO_YTD_YTG"/>
      <sheetName val="SISO_MTD_YTD"/>
      <sheetName val="SISO_B21_B22"/>
      <sheetName val="SISO_Quarterly_View"/>
      <sheetName val="CDCA_YTD_YTG"/>
      <sheetName val="GSO_by_Brand"/>
      <sheetName val="NSO_by_Brand"/>
      <sheetName val="NSI_by_Brand"/>
      <sheetName val="CD_by_Brand"/>
      <sheetName val="CA_by_Brand"/>
      <sheetName val="GM_by_Brand"/>
      <sheetName val="%_GM_by_Brand"/>
      <sheetName val="Price_List"/>
      <sheetName val="Quantity_by_Month"/>
      <sheetName val="GSO_by_Month"/>
      <sheetName val="NSO_by_Month"/>
      <sheetName val="NSI_by_Month"/>
      <sheetName val="CD_by_Month"/>
      <sheetName val="GtN_by_Month"/>
      <sheetName val="Provision_by_Month"/>
      <sheetName val="GtN_by_Month_excl_Reversal"/>
      <sheetName val="CD_by_month_excl_Reversal"/>
      <sheetName val="GM_by_Month"/>
      <sheetName val="Rebate_Pha_C"/>
      <sheetName val="%_Discount"/>
      <sheetName val="%_Rebate_Pha_C"/>
      <sheetName val="%_Rebate_WS"/>
      <sheetName val="%_Rebate_PP"/>
      <sheetName val="%_BD"/>
      <sheetName val="Other_COGS"/>
      <sheetName val="Other_COGS_(Misc)"/>
      <sheetName val="Other_COGS_(KH_Leaflet)"/>
      <sheetName val="COGS_per_unit"/>
      <sheetName val="COGS_per_unit_-_CRIS"/>
      <sheetName val="COGS_per_unit_-_UM"/>
      <sheetName val="Other_COGS_(KH_Leaflet)_Best"/>
      <sheetName val="Products_Match"/>
      <sheetName val="OAC_Growth"/>
      <sheetName val="Drop_Down_Menus"/>
      <sheetName val="Sales_2003"/>
      <sheetName val="ALB"/>
      <sheetName val="2A. Core Sales drivers chart "/>
      <sheetName val="OIAA_売上"/>
      <sheetName val="Month Table"/>
      <sheetName val="①OIAA_売上"/>
      <sheetName val="①_OIAA_売上"/>
      <sheetName val="refemploi"/>
      <sheetName val="Graph Rés"/>
      <sheetName val="Fonction"/>
      <sheetName val="MKT Dept Input"/>
      <sheetName val="Combo"/>
      <sheetName val="Paramètres"/>
      <sheetName val="Tables Diverses"/>
      <sheetName val="customer,_SKU_specifics"/>
      <sheetName val="Input_-_Leaflet_"/>
      <sheetName val="leaflet_monitor_2019"/>
      <sheetName val="ex-fa_pricing_2019"/>
      <sheetName val="EVALUATION_1_0"/>
      <sheetName val="TOWER_12TON"/>
      <sheetName val="JIB_CRANE,HOIST"/>
      <sheetName val="TOWER_10TON"/>
      <sheetName val="증정품_목록"/>
      <sheetName val="C__Master"/>
      <sheetName val="Celltrion_FC_Labeling_02212020"/>
      <sheetName val="Cell_Lab_Allo_5_20_2020"/>
      <sheetName val="Schedule_Tracke6_26r"/>
      <sheetName val="Schedule_Tracker6_25"/>
      <sheetName val="Schedule_Tracker_06_15"/>
      <sheetName val="Cell_lab_Sch_06_05"/>
      <sheetName val="Labeled_lots_Schedule_2020"/>
      <sheetName val="Celltrion_FC_Assembly_"/>
      <sheetName val="CELL_Labeling_Alloc_04072020"/>
      <sheetName val="Assembly_lots_Schedule_2020"/>
      <sheetName val="Meeting-Action_Items"/>
      <sheetName val="CELL_Assembly_Allocation_"/>
      <sheetName val="Labels_PO"/>
      <sheetName val="CelltrionLabAllocation_04062020"/>
      <sheetName val="P&amp;L_NA_YTD_Total_(2)"/>
      <sheetName val="db_HFM_Menu_list"/>
      <sheetName val="Sum_Pays_M"/>
      <sheetName val="KE30_Sample_SG"/>
      <sheetName val="Working"/>
      <sheetName val="EURASIA_EX_RU_NS Init"/>
      <sheetName val="Innovation BED"/>
      <sheetName val="NBM &amp; Malta_Net_Sales Init"/>
      <sheetName val="P&amp;L_NBM &amp; Malta Init"/>
      <sheetName val="Dashboard"/>
      <sheetName val="Dental LE Con3 1HF"/>
      <sheetName val="PL by entity"/>
      <sheetName val="Dental_LE_Con3_1HF1"/>
      <sheetName val="PL_by_entity1"/>
      <sheetName val="Dental_LE_Con3_1HF"/>
      <sheetName val="PL_by_entity"/>
      <sheetName val="MAHANG"/>
      <sheetName val="Stock Analysis"/>
      <sheetName val="JNI 3RD &amp; 4TH QTR"/>
      <sheetName val="wire"/>
      <sheetName val="Summary "/>
      <sheetName val="2A__Core_Sales_drivers_chart_"/>
      <sheetName val="F9_Hidden_Lists"/>
      <sheetName val="Historical_IS1"/>
      <sheetName val="graph"/>
      <sheetName val="TOTALE"/>
      <sheetName val="BERTH PERFORMANCE"/>
      <sheetName val="UAT Satellite app W3-W5 Leads"/>
      <sheetName val="2018"/>
      <sheetName val="Help"/>
      <sheetName val="2019_Provincial_Vials1"/>
      <sheetName val="For_supply_chain_0103_v21"/>
      <sheetName val="Cerezyme患者省分布_2019_Final_01201"/>
      <sheetName val="Myozyme患者省分布_2019_Final_01201"/>
      <sheetName val="Pompe_2030_Fcst_Best_Case_01191"/>
      <sheetName val="Output-Pompe_(Best)_01191"/>
      <sheetName val="Fabrazyme_model_12271"/>
      <sheetName val="Aldurazyme_model_01031"/>
      <sheetName val="DEPARAS_-_taxa1"/>
      <sheetName val="Adjust_Reason1"/>
      <sheetName val="Drop_down_ref1"/>
      <sheetName val="YTD_P&amp;L1"/>
      <sheetName val="MCO_--&gt;1"/>
      <sheetName val="P&amp;L_MCO_YTD_Total1"/>
      <sheetName val="P&amp;L_MCO_YTD_ex-Sanofi1"/>
      <sheetName val="P&amp;L_MCO_YTD_ex-BI1"/>
      <sheetName val="ZA_only_--&gt;1"/>
      <sheetName val="P&amp;L_ZA_YTD_ex-Sanofi1"/>
      <sheetName val="P&amp;L_ZA_YTD_ex-BI1"/>
      <sheetName val="P&amp;L_ZA_YTD_Total1"/>
      <sheetName val="BW_only_--&gt;1"/>
      <sheetName val="P&amp;L_BW_YTD_ex-Sanofi1"/>
      <sheetName val="P&amp;L_BW_YTD_ex-BI1"/>
      <sheetName val="P&amp;L_BW_YTD_Total_1"/>
      <sheetName val="NA_only_--&gt;1"/>
      <sheetName val="P&amp;L_NA_YTD_Total__(2)1"/>
      <sheetName val="P&amp;L_NA_YTD_ex-Sanofi1"/>
      <sheetName val="P&amp;L_NA_YTD_ex-BI1"/>
      <sheetName val="de-para_prod1"/>
      <sheetName val="Painel_CNPJ1"/>
      <sheetName val="Painel_Provedor1"/>
      <sheetName val="Painel_Bandeiras1"/>
      <sheetName val="PAINEL_FINAL1"/>
      <sheetName val="CAPACIDADE_PRODUTIVA1"/>
      <sheetName val="EXLUSÕES_ED1"/>
      <sheetName val="0__Definitions1"/>
      <sheetName val="Data_1"/>
      <sheetName val="Du_lieu1"/>
      <sheetName val="Cenario_Incorporado1"/>
      <sheetName val="Cenario_JUD1"/>
      <sheetName val="CD%_Seasonal1"/>
      <sheetName val="SISO_YTD_YTG1"/>
      <sheetName val="SISO_MTD_YTD1"/>
      <sheetName val="SISO_B21_B221"/>
      <sheetName val="SISO_Quarterly_View1"/>
      <sheetName val="CDCA_YTD_YTG1"/>
      <sheetName val="GSO_by_Brand1"/>
      <sheetName val="NSO_by_Brand1"/>
      <sheetName val="NSI_by_Brand1"/>
      <sheetName val="CD_by_Brand1"/>
      <sheetName val="CA_by_Brand1"/>
      <sheetName val="GM_by_Brand1"/>
      <sheetName val="%_GM_by_Brand1"/>
      <sheetName val="Price_List1"/>
      <sheetName val="Quantity_by_Month1"/>
      <sheetName val="GSO_by_Month1"/>
      <sheetName val="NSO_by_Month1"/>
      <sheetName val="NSI_by_Month1"/>
      <sheetName val="CD_by_Month1"/>
      <sheetName val="GtN_by_Month1"/>
      <sheetName val="Provision_by_Month1"/>
      <sheetName val="GtN_by_Month_excl_Reversal1"/>
      <sheetName val="CD_by_month_excl_Reversal1"/>
      <sheetName val="GM_by_Month1"/>
      <sheetName val="Rebate_Pha_C1"/>
      <sheetName val="%_Discount1"/>
      <sheetName val="%_Rebate_Pha_C1"/>
      <sheetName val="%_Rebate_WS1"/>
      <sheetName val="%_Rebate_PP1"/>
      <sheetName val="%_BD1"/>
      <sheetName val="Other_COGS1"/>
      <sheetName val="Other_COGS_(Misc)1"/>
      <sheetName val="Other_COGS_(KH_Leaflet)1"/>
      <sheetName val="COGS_per_unit1"/>
      <sheetName val="COGS_per_unit_-_CRIS1"/>
      <sheetName val="COGS_per_unit_-_UM1"/>
      <sheetName val="Other_COGS_(KH_Leaflet)_Best1"/>
      <sheetName val="Products_Match1"/>
      <sheetName val="customer,_SKU_specifics1"/>
      <sheetName val="Input_-_Leaflet_1"/>
      <sheetName val="leaflet_monitor_20191"/>
      <sheetName val="ex-fa_pricing_20191"/>
      <sheetName val="EVALUATION_1_01"/>
      <sheetName val="TOWER_12TON1"/>
      <sheetName val="JIB_CRANE,HOIST1"/>
      <sheetName val="TOWER_10TON1"/>
      <sheetName val="증정품_목록1"/>
      <sheetName val="C__Master1"/>
      <sheetName val="Celltrion_FC_Labeling_022120201"/>
      <sheetName val="Cell_Lab_Allo_5_20_20201"/>
      <sheetName val="Schedule_Tracke6_26r1"/>
      <sheetName val="Schedule_Tracker6_251"/>
      <sheetName val="Schedule_Tracker_06_151"/>
      <sheetName val="Cell_lab_Sch_06_051"/>
      <sheetName val="Labeled_lots_Schedule_20201"/>
      <sheetName val="Celltrion_FC_Assembly_1"/>
      <sheetName val="CELL_Labeling_Alloc_040720201"/>
      <sheetName val="Assembly_lots_Schedule_20201"/>
      <sheetName val="Meeting-Action_Items1"/>
      <sheetName val="CELL_Assembly_Allocation_1"/>
      <sheetName val="Labels_PO1"/>
      <sheetName val="CelltrionLabAllocation_04062021"/>
      <sheetName val="P&amp;L_NA_YTD_Total_(2)1"/>
      <sheetName val="db_HFM_Menu_list1"/>
      <sheetName val="Sum_Pays_M1"/>
      <sheetName val="KE30_Sample_SG1"/>
      <sheetName val="TB-12"/>
      <sheetName val="sales_proj-hirs5"/>
      <sheetName val="Results_from_Nov_985"/>
      <sheetName val="Final_Summ5"/>
      <sheetName val="Risk_Var5"/>
      <sheetName val="sales_summ5"/>
      <sheetName val="sales_proj-PFB5"/>
      <sheetName val="sales_proj-vellus5"/>
      <sheetName val="Volume_-_Strat_Plan5"/>
      <sheetName val="Results_from_Mar_995"/>
      <sheetName val="sales_proj_hirs5"/>
      <sheetName val="sales_proj_ｨÿrs5"/>
      <sheetName val="HFM_YTD_Oct_20124"/>
      <sheetName val="BP_2001_rates4"/>
      <sheetName val="DFMO_99_SP4"/>
      <sheetName val="How_to4"/>
      <sheetName val="SOURCE_FILE4"/>
      <sheetName val="Data_validation4"/>
      <sheetName val="Graphs_Africa4"/>
      <sheetName val="CC_name4"/>
      <sheetName val="zone_map4"/>
      <sheetName val="product_map4"/>
      <sheetName val="Dental_LE_Con3_1HF2"/>
      <sheetName val="PL_by_entity2"/>
      <sheetName val="Graph_Rés"/>
      <sheetName val="MKT_Dept_Input"/>
      <sheetName val="Tables_Diverses"/>
      <sheetName val="Retail MCO"/>
      <sheetName val="F2 Retail Average Prices"/>
      <sheetName val="RefG"/>
      <sheetName val="QUARTERLY PULP"/>
      <sheetName val="217302"/>
      <sheetName val="Jun-01"/>
      <sheetName val="P"/>
      <sheetName val="Slide31B"/>
      <sheetName val="HCAPR"/>
      <sheetName val="baza"/>
      <sheetName val="Item"/>
      <sheetName val="Old Volume"/>
      <sheetName val="Stock_Analysis"/>
      <sheetName val="JNI_3RD_&amp;_4TH_QTR"/>
      <sheetName val="SPENDING"/>
      <sheetName val="Sales EBITDA Drill-Down"/>
      <sheetName val="B42c"/>
      <sheetName val="Working Excel"/>
      <sheetName val="Sheet288"/>
      <sheetName val="F3-C"/>
      <sheetName val="PABRIK (2)"/>
      <sheetName val="PO"/>
      <sheetName val="COST DATA (2)"/>
      <sheetName val="rate"/>
      <sheetName val="1996"/>
      <sheetName val="Goodwill Allocation Base"/>
      <sheetName val="DAILYPACE"/>
      <sheetName val="PPN BESAR"/>
      <sheetName val="GM_CZEC"/>
      <sheetName val="Drop_Down_Menus1"/>
      <sheetName val="Sales_20031"/>
      <sheetName val="Asset Register"/>
      <sheetName val="WIRE comps"/>
      <sheetName val="Datos"/>
      <sheetName val="Prod Assumptions"/>
      <sheetName val="Ref."/>
      <sheetName val="Instruction"/>
      <sheetName val="Destinataires"/>
      <sheetName val="TP FInal"/>
      <sheetName val="Item Master"/>
      <sheetName val="Summary final"/>
      <sheetName val="Zone definition"/>
      <sheetName val="STK_1"/>
      <sheetName val="Tracker_fin"/>
      <sheetName val="TP_FInal"/>
      <sheetName val="Item_Master"/>
      <sheetName val="Summary_final"/>
      <sheetName val="Zone_definition"/>
      <sheetName val="Marges"/>
      <sheetName val="hiddenSheet"/>
      <sheetName val="RUL2"/>
      <sheetName val="pdf delphi products"/>
      <sheetName val="4"/>
      <sheetName val="June Summary (Charts)"/>
      <sheetName val="PRM"/>
      <sheetName val="Carrying Cost"/>
      <sheetName val="PSD-BICUTAN"/>
      <sheetName val="R00003"/>
      <sheetName val="EXP.CHARCE TO "/>
      <sheetName val="Reckitt"/>
      <sheetName val="Mira_Ambra_30_nov"/>
      <sheetName val="Template"/>
      <sheetName val="MEX95IB"/>
      <sheetName val="F-05"/>
      <sheetName val="Old_Volume"/>
      <sheetName val="FLUJ"/>
      <sheetName val="GYp"/>
      <sheetName val="mext"/>
      <sheetName val="imye"/>
      <sheetName val="ANEXO 03.3"/>
      <sheetName val="Bridge_GEM"/>
    </sheetNames>
    <sheetDataSet>
      <sheetData sheetId="0" refreshError="1"/>
      <sheetData sheetId="1" refreshError="1">
        <row r="5">
          <cell r="B5">
            <v>12.5287380218506</v>
          </cell>
          <cell r="F5">
            <v>133.36985778808599</v>
          </cell>
        </row>
        <row r="6">
          <cell r="B6">
            <v>20.464504241943398</v>
          </cell>
          <cell r="F6">
            <v>258.32723999023398</v>
          </cell>
        </row>
        <row r="7">
          <cell r="B7">
            <v>25.7846794128418</v>
          </cell>
          <cell r="F7">
            <v>335.47531127929699</v>
          </cell>
        </row>
        <row r="8">
          <cell r="B8">
            <v>26.461032867431602</v>
          </cell>
          <cell r="F8">
            <v>346.94921875</v>
          </cell>
        </row>
        <row r="9">
          <cell r="B9">
            <v>27.2059516906738</v>
          </cell>
          <cell r="F9">
            <v>360.195556640625</v>
          </cell>
        </row>
        <row r="31">
          <cell r="C31">
            <v>2E-3</v>
          </cell>
        </row>
        <row r="32">
          <cell r="C32">
            <v>7.0000000000000001E-3</v>
          </cell>
        </row>
        <row r="33">
          <cell r="C33">
            <v>0.03</v>
          </cell>
        </row>
        <row r="34">
          <cell r="C34">
            <v>6.3E-2</v>
          </cell>
        </row>
        <row r="35">
          <cell r="C35">
            <v>9.8000000000000004E-2</v>
          </cell>
        </row>
        <row r="36">
          <cell r="C36">
            <v>0.11600000000000001</v>
          </cell>
        </row>
        <row r="37">
          <cell r="C37">
            <v>0.128</v>
          </cell>
        </row>
        <row r="38">
          <cell r="C38">
            <v>0.14899999999999999</v>
          </cell>
        </row>
        <row r="39">
          <cell r="C39">
            <v>0.114</v>
          </cell>
        </row>
        <row r="40">
          <cell r="C40">
            <v>8.9499999999999996E-2</v>
          </cell>
        </row>
        <row r="41">
          <cell r="C41">
            <v>6.5000000000000002E-2</v>
          </cell>
        </row>
        <row r="42">
          <cell r="C42">
            <v>5.0500000000000003E-2</v>
          </cell>
        </row>
        <row r="43">
          <cell r="C43">
            <v>3.1E-2</v>
          </cell>
        </row>
        <row r="44">
          <cell r="C44">
            <v>2.5999999999999999E-2</v>
          </cell>
        </row>
        <row r="45">
          <cell r="C45">
            <v>1.4999999999999999E-2</v>
          </cell>
        </row>
        <row r="46">
          <cell r="C46">
            <v>8.9999999999999993E-3</v>
          </cell>
        </row>
        <row r="47">
          <cell r="C47">
            <v>2.5000000000000001E-3</v>
          </cell>
        </row>
        <row r="48">
          <cell r="C48">
            <v>3.5000000000000001E-3</v>
          </cell>
        </row>
        <row r="49">
          <cell r="C49">
            <v>5.0000000000000001E-4</v>
          </cell>
        </row>
        <row r="50">
          <cell r="C50">
            <v>5.0000000000000001E-4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5">
          <cell r="B5">
            <v>12.5287380218506</v>
          </cell>
        </row>
      </sheetData>
      <sheetData sheetId="113">
        <row r="5">
          <cell r="B5">
            <v>12.5287380218506</v>
          </cell>
        </row>
      </sheetData>
      <sheetData sheetId="114">
        <row r="5">
          <cell r="B5">
            <v>12.5287380218506</v>
          </cell>
        </row>
      </sheetData>
      <sheetData sheetId="115">
        <row r="5">
          <cell r="B5">
            <v>12.5287380218506</v>
          </cell>
        </row>
      </sheetData>
      <sheetData sheetId="116">
        <row r="5">
          <cell r="B5">
            <v>12.5287380218506</v>
          </cell>
        </row>
      </sheetData>
      <sheetData sheetId="117">
        <row r="5">
          <cell r="B5">
            <v>12.5287380218506</v>
          </cell>
        </row>
      </sheetData>
      <sheetData sheetId="118">
        <row r="5">
          <cell r="B5">
            <v>12.5287380218506</v>
          </cell>
        </row>
      </sheetData>
      <sheetData sheetId="119">
        <row r="5">
          <cell r="B5">
            <v>12.5287380218506</v>
          </cell>
        </row>
      </sheetData>
      <sheetData sheetId="120">
        <row r="5">
          <cell r="B5" t="str">
            <v>NKA+RKA</v>
          </cell>
        </row>
      </sheetData>
      <sheetData sheetId="121">
        <row r="5">
          <cell r="B5" t="str">
            <v>NKA+RKA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5">
          <cell r="B5">
            <v>178</v>
          </cell>
        </row>
      </sheetData>
      <sheetData sheetId="150">
        <row r="5">
          <cell r="B5">
            <v>178</v>
          </cell>
        </row>
      </sheetData>
      <sheetData sheetId="151">
        <row r="5">
          <cell r="B5">
            <v>178</v>
          </cell>
        </row>
      </sheetData>
      <sheetData sheetId="152">
        <row r="5">
          <cell r="B5" t="str">
            <v>NKA+RKA</v>
          </cell>
        </row>
      </sheetData>
      <sheetData sheetId="153">
        <row r="5">
          <cell r="B5" t="str">
            <v>NKA+RKA</v>
          </cell>
        </row>
      </sheetData>
      <sheetData sheetId="154">
        <row r="5">
          <cell r="B5" t="str">
            <v>NKA+RKA</v>
          </cell>
        </row>
      </sheetData>
      <sheetData sheetId="155">
        <row r="5">
          <cell r="B5" t="str">
            <v>NKA+RKA</v>
          </cell>
        </row>
      </sheetData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B5" t="str">
            <v>NKA+RKA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5">
          <cell r="B5" t="str">
            <v>Gross Sales</v>
          </cell>
        </row>
      </sheetData>
      <sheetData sheetId="187"/>
      <sheetData sheetId="188"/>
      <sheetData sheetId="189" refreshError="1"/>
      <sheetData sheetId="190">
        <row r="5">
          <cell r="E5" t="str">
            <v xml:space="preserve">  </v>
          </cell>
        </row>
      </sheetData>
      <sheetData sheetId="191">
        <row r="5">
          <cell r="E5" t="str">
            <v xml:space="preserve">  </v>
          </cell>
        </row>
      </sheetData>
      <sheetData sheetId="192">
        <row r="5">
          <cell r="E5" t="str">
            <v xml:space="preserve">  </v>
          </cell>
        </row>
      </sheetData>
      <sheetData sheetId="193">
        <row r="5">
          <cell r="E5" t="str">
            <v xml:space="preserve">  </v>
          </cell>
        </row>
      </sheetData>
      <sheetData sheetId="194">
        <row r="5">
          <cell r="E5" t="str">
            <v xml:space="preserve">  </v>
          </cell>
        </row>
      </sheetData>
      <sheetData sheetId="195"/>
      <sheetData sheetId="196"/>
      <sheetData sheetId="197"/>
      <sheetData sheetId="198"/>
      <sheetData sheetId="199"/>
      <sheetData sheetId="200">
        <row r="5">
          <cell r="E5" t="str">
            <v xml:space="preserve">  </v>
          </cell>
        </row>
      </sheetData>
      <sheetData sheetId="201">
        <row r="5">
          <cell r="E5" t="str">
            <v xml:space="preserve">  </v>
          </cell>
        </row>
      </sheetData>
      <sheetData sheetId="202">
        <row r="5">
          <cell r="E5" t="str">
            <v xml:space="preserve">  </v>
          </cell>
        </row>
      </sheetData>
      <sheetData sheetId="203">
        <row r="5">
          <cell r="E5" t="str">
            <v xml:space="preserve">  </v>
          </cell>
        </row>
      </sheetData>
      <sheetData sheetId="204">
        <row r="5">
          <cell r="E5" t="str">
            <v xml:space="preserve">  </v>
          </cell>
        </row>
      </sheetData>
      <sheetData sheetId="205"/>
      <sheetData sheetId="206">
        <row r="5">
          <cell r="B5" t="str">
            <v>Área</v>
          </cell>
        </row>
      </sheetData>
      <sheetData sheetId="207">
        <row r="5">
          <cell r="B5" t="str">
            <v>Área</v>
          </cell>
        </row>
      </sheetData>
      <sheetData sheetId="208">
        <row r="5">
          <cell r="B5" t="str">
            <v>Área</v>
          </cell>
        </row>
      </sheetData>
      <sheetData sheetId="209">
        <row r="5">
          <cell r="B5" t="str">
            <v>Área</v>
          </cell>
        </row>
      </sheetData>
      <sheetData sheetId="210">
        <row r="5">
          <cell r="B5" t="str">
            <v>Área</v>
          </cell>
        </row>
      </sheetData>
      <sheetData sheetId="211">
        <row r="5">
          <cell r="B5" t="str">
            <v>Área</v>
          </cell>
        </row>
      </sheetData>
      <sheetData sheetId="212">
        <row r="5">
          <cell r="B5" t="str">
            <v>Weight of Month (FieldDays)</v>
          </cell>
        </row>
      </sheetData>
      <sheetData sheetId="213">
        <row r="5">
          <cell r="B5" t="str">
            <v>Weight of Month (FieldDays)</v>
          </cell>
        </row>
      </sheetData>
      <sheetData sheetId="214">
        <row r="5">
          <cell r="B5" t="str">
            <v>Weight of Month (FieldDays)</v>
          </cell>
        </row>
      </sheetData>
      <sheetData sheetId="215">
        <row r="5">
          <cell r="B5" t="str">
            <v>Weight of Month (FieldDays)</v>
          </cell>
        </row>
      </sheetData>
      <sheetData sheetId="216">
        <row r="5">
          <cell r="B5" t="str">
            <v>Área</v>
          </cell>
        </row>
      </sheetData>
      <sheetData sheetId="217" refreshError="1"/>
      <sheetData sheetId="218" refreshError="1"/>
      <sheetData sheetId="219">
        <row r="5">
          <cell r="B5" t="str">
            <v>MKT</v>
          </cell>
        </row>
      </sheetData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>
        <row r="5">
          <cell r="B5">
            <v>1432</v>
          </cell>
        </row>
      </sheetData>
      <sheetData sheetId="295">
        <row r="5">
          <cell r="C5" t="str">
            <v>Beg Cash Balance</v>
          </cell>
        </row>
      </sheetData>
      <sheetData sheetId="296"/>
      <sheetData sheetId="297">
        <row r="5">
          <cell r="C5" t="str">
            <v>Beg Cash Balance</v>
          </cell>
        </row>
      </sheetData>
      <sheetData sheetId="298"/>
      <sheetData sheetId="299">
        <row r="5">
          <cell r="C5" t="str">
            <v>Beg Cash Balance</v>
          </cell>
        </row>
      </sheetData>
      <sheetData sheetId="300"/>
      <sheetData sheetId="301"/>
      <sheetData sheetId="302"/>
      <sheetData sheetId="303"/>
      <sheetData sheetId="304"/>
      <sheetData sheetId="305"/>
      <sheetData sheetId="306">
        <row r="5">
          <cell r="B5" t="str">
            <v>NKA+RKA</v>
          </cell>
        </row>
      </sheetData>
      <sheetData sheetId="307">
        <row r="5">
          <cell r="B5" t="str">
            <v>NKA+RKA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>
        <row r="5">
          <cell r="B5">
            <v>12.5287380218506</v>
          </cell>
        </row>
      </sheetData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>
        <row r="5">
          <cell r="B5" t="str">
            <v>NKA+RKA</v>
          </cell>
        </row>
      </sheetData>
      <sheetData sheetId="364"/>
      <sheetData sheetId="365">
        <row r="5">
          <cell r="B5" t="str">
            <v>NKA+RKA</v>
          </cell>
        </row>
      </sheetData>
      <sheetData sheetId="366"/>
      <sheetData sheetId="367"/>
      <sheetData sheetId="368"/>
      <sheetData sheetId="369"/>
      <sheetData sheetId="370"/>
      <sheetData sheetId="371">
        <row r="5">
          <cell r="B5" t="str">
            <v>NKA+RKA</v>
          </cell>
        </row>
      </sheetData>
      <sheetData sheetId="372">
        <row r="5">
          <cell r="B5" t="str">
            <v>NKA+RKA</v>
          </cell>
        </row>
      </sheetData>
      <sheetData sheetId="373">
        <row r="5">
          <cell r="B5" t="str">
            <v>NKA+RKA</v>
          </cell>
        </row>
      </sheetData>
      <sheetData sheetId="374">
        <row r="5">
          <cell r="B5" t="str">
            <v>NKA+RKA</v>
          </cell>
        </row>
      </sheetData>
      <sheetData sheetId="375">
        <row r="5">
          <cell r="B5" t="str">
            <v>NKA+RKA</v>
          </cell>
        </row>
      </sheetData>
      <sheetData sheetId="376">
        <row r="5">
          <cell r="B5" t="str">
            <v>NKA+RKA</v>
          </cell>
        </row>
      </sheetData>
      <sheetData sheetId="377">
        <row r="5">
          <cell r="B5" t="str">
            <v>NKA+RKA</v>
          </cell>
        </row>
      </sheetData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/>
      <sheetData sheetId="412"/>
      <sheetData sheetId="413"/>
      <sheetData sheetId="414"/>
      <sheetData sheetId="415">
        <row r="7">
          <cell r="B7" t="str">
            <v>KPI</v>
          </cell>
        </row>
      </sheetData>
      <sheetData sheetId="416"/>
      <sheetData sheetId="417"/>
      <sheetData sheetId="418"/>
      <sheetData sheetId="419">
        <row r="5">
          <cell r="B5">
            <v>1432</v>
          </cell>
        </row>
      </sheetData>
      <sheetData sheetId="420"/>
      <sheetData sheetId="421"/>
      <sheetData sheetId="422"/>
      <sheetData sheetId="423">
        <row r="5">
          <cell r="B5" t="str">
            <v>NKA+RKA</v>
          </cell>
        </row>
      </sheetData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>
        <row r="5">
          <cell r="B5" t="str">
            <v>Delivery Plan SCM 2020-02 v1.0 (2020-02-07)</v>
          </cell>
        </row>
      </sheetData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>
        <row r="5">
          <cell r="B5">
            <v>12.5287380218506</v>
          </cell>
        </row>
      </sheetData>
      <sheetData sheetId="458">
        <row r="5">
          <cell r="B5" t="str">
            <v>NKA+RKA</v>
          </cell>
        </row>
      </sheetData>
      <sheetData sheetId="459">
        <row r="5">
          <cell r="B5">
            <v>12.5287380218506</v>
          </cell>
        </row>
      </sheetData>
      <sheetData sheetId="460">
        <row r="5">
          <cell r="B5" t="str">
            <v>NKA+RKA</v>
          </cell>
        </row>
      </sheetData>
      <sheetData sheetId="461">
        <row r="5">
          <cell r="B5" t="str">
            <v>NKA+RKA</v>
          </cell>
        </row>
      </sheetData>
      <sheetData sheetId="462">
        <row r="5">
          <cell r="B5" t="str">
            <v>NKA+RKA</v>
          </cell>
        </row>
      </sheetData>
      <sheetData sheetId="463">
        <row r="5">
          <cell r="B5" t="str">
            <v>NKA+RKA</v>
          </cell>
        </row>
      </sheetData>
      <sheetData sheetId="464">
        <row r="5">
          <cell r="B5" t="str">
            <v>NKA+RKA</v>
          </cell>
        </row>
      </sheetData>
      <sheetData sheetId="465">
        <row r="5">
          <cell r="B5">
            <v>12.5287380218506</v>
          </cell>
        </row>
      </sheetData>
      <sheetData sheetId="466">
        <row r="5">
          <cell r="B5" t="str">
            <v>NKA+RKA</v>
          </cell>
        </row>
      </sheetData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>
        <row r="5">
          <cell r="B5">
            <v>1432</v>
          </cell>
        </row>
      </sheetData>
      <sheetData sheetId="477">
        <row r="5">
          <cell r="B5">
            <v>1432</v>
          </cell>
        </row>
      </sheetData>
      <sheetData sheetId="478">
        <row r="5">
          <cell r="B5">
            <v>1432</v>
          </cell>
        </row>
      </sheetData>
      <sheetData sheetId="479">
        <row r="5">
          <cell r="B5">
            <v>1432</v>
          </cell>
        </row>
      </sheetData>
      <sheetData sheetId="480">
        <row r="5">
          <cell r="B5">
            <v>1432</v>
          </cell>
        </row>
      </sheetData>
      <sheetData sheetId="481">
        <row r="5">
          <cell r="B5">
            <v>1432</v>
          </cell>
        </row>
      </sheetData>
      <sheetData sheetId="482">
        <row r="5">
          <cell r="B5">
            <v>1432</v>
          </cell>
        </row>
      </sheetData>
      <sheetData sheetId="483">
        <row r="5">
          <cell r="B5">
            <v>1432</v>
          </cell>
        </row>
      </sheetData>
      <sheetData sheetId="484">
        <row r="5">
          <cell r="B5">
            <v>1432</v>
          </cell>
        </row>
      </sheetData>
      <sheetData sheetId="485">
        <row r="5">
          <cell r="B5">
            <v>1432</v>
          </cell>
        </row>
      </sheetData>
      <sheetData sheetId="486">
        <row r="5">
          <cell r="B5">
            <v>1432</v>
          </cell>
        </row>
      </sheetData>
      <sheetData sheetId="487">
        <row r="5">
          <cell r="B5">
            <v>1432</v>
          </cell>
        </row>
      </sheetData>
      <sheetData sheetId="488">
        <row r="5">
          <cell r="B5">
            <v>1432</v>
          </cell>
        </row>
      </sheetData>
      <sheetData sheetId="489">
        <row r="5">
          <cell r="B5">
            <v>1432</v>
          </cell>
        </row>
      </sheetData>
      <sheetData sheetId="490">
        <row r="5">
          <cell r="B5">
            <v>1432</v>
          </cell>
        </row>
      </sheetData>
      <sheetData sheetId="491">
        <row r="5">
          <cell r="B5">
            <v>1432</v>
          </cell>
        </row>
      </sheetData>
      <sheetData sheetId="492">
        <row r="5">
          <cell r="B5">
            <v>1432</v>
          </cell>
        </row>
      </sheetData>
      <sheetData sheetId="493">
        <row r="5">
          <cell r="B5">
            <v>1432</v>
          </cell>
        </row>
      </sheetData>
      <sheetData sheetId="494">
        <row r="5">
          <cell r="B5">
            <v>1432</v>
          </cell>
        </row>
      </sheetData>
      <sheetData sheetId="495">
        <row r="5">
          <cell r="B5">
            <v>1432</v>
          </cell>
        </row>
      </sheetData>
      <sheetData sheetId="496">
        <row r="5">
          <cell r="B5">
            <v>1432</v>
          </cell>
        </row>
      </sheetData>
      <sheetData sheetId="497">
        <row r="5">
          <cell r="B5">
            <v>1432</v>
          </cell>
        </row>
      </sheetData>
      <sheetData sheetId="498">
        <row r="5">
          <cell r="B5">
            <v>1432</v>
          </cell>
        </row>
      </sheetData>
      <sheetData sheetId="499">
        <row r="5">
          <cell r="B5">
            <v>1432</v>
          </cell>
        </row>
      </sheetData>
      <sheetData sheetId="500">
        <row r="5">
          <cell r="B5">
            <v>1432</v>
          </cell>
        </row>
      </sheetData>
      <sheetData sheetId="501">
        <row r="5">
          <cell r="B5">
            <v>1432</v>
          </cell>
        </row>
      </sheetData>
      <sheetData sheetId="502">
        <row r="5">
          <cell r="B5">
            <v>1432</v>
          </cell>
        </row>
      </sheetData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>
        <row r="5">
          <cell r="B5" t="str">
            <v>NKA+RKA</v>
          </cell>
        </row>
      </sheetData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/>
      <sheetData sheetId="551">
        <row r="5">
          <cell r="B5">
            <v>12.5287380218506</v>
          </cell>
        </row>
      </sheetData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>
        <row r="5">
          <cell r="B5" t="str">
            <v>NKA+RKA</v>
          </cell>
        </row>
      </sheetData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>
        <row r="5">
          <cell r="B5" t="str">
            <v>NKA+RKA</v>
          </cell>
        </row>
      </sheetData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5">
          <cell r="C5" t="str">
            <v>Beg Cash Balance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5">
          <cell r="B5">
            <v>1432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>
        <row r="5">
          <cell r="B5">
            <v>1432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>
        <row r="5">
          <cell r="B5">
            <v>12.5287380218506</v>
          </cell>
        </row>
      </sheetData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5">
          <cell r="B5" t="str">
            <v>NKA+RKA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>
        <row r="5">
          <cell r="C5" t="str">
            <v>Beg Cash Balance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>
        <row r="5">
          <cell r="B5">
            <v>178</v>
          </cell>
        </row>
      </sheetData>
      <sheetData sheetId="825">
        <row r="5">
          <cell r="B5">
            <v>178</v>
          </cell>
        </row>
      </sheetData>
      <sheetData sheetId="826">
        <row r="5">
          <cell r="B5" t="str">
            <v>NKA+RKA</v>
          </cell>
        </row>
      </sheetData>
      <sheetData sheetId="827">
        <row r="5">
          <cell r="B5" t="str">
            <v>NKA+RKA</v>
          </cell>
        </row>
      </sheetData>
      <sheetData sheetId="828">
        <row r="5">
          <cell r="B5" t="str">
            <v>NKA+RKA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5">
          <cell r="B5" t="str">
            <v>Gross Sales</v>
          </cell>
        </row>
      </sheetData>
      <sheetData sheetId="838">
        <row r="5">
          <cell r="E5" t="str">
            <v xml:space="preserve">  </v>
          </cell>
        </row>
      </sheetData>
      <sheetData sheetId="839">
        <row r="5">
          <cell r="E5" t="str">
            <v xml:space="preserve">  </v>
          </cell>
        </row>
      </sheetData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5">
          <cell r="B5" t="str">
            <v>Área</v>
          </cell>
        </row>
      </sheetData>
      <sheetData sheetId="854">
        <row r="5">
          <cell r="B5" t="str">
            <v>Área</v>
          </cell>
        </row>
      </sheetData>
      <sheetData sheetId="855">
        <row r="5">
          <cell r="C5">
            <v>0</v>
          </cell>
        </row>
      </sheetData>
      <sheetData sheetId="856"/>
      <sheetData sheetId="857">
        <row r="5">
          <cell r="B5" t="str">
            <v>Weight of Month (FieldDays)</v>
          </cell>
        </row>
      </sheetData>
      <sheetData sheetId="858">
        <row r="5">
          <cell r="B5" t="str">
            <v>Weight of Month (FieldDays)</v>
          </cell>
        </row>
      </sheetData>
      <sheetData sheetId="859">
        <row r="5">
          <cell r="B5" t="str">
            <v>Weight of Month (FieldDays)</v>
          </cell>
        </row>
      </sheetData>
      <sheetData sheetId="860"/>
      <sheetData sheetId="861"/>
      <sheetData sheetId="862"/>
      <sheetData sheetId="863">
        <row r="5">
          <cell r="B5" t="str">
            <v>MKT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>
        <row r="7">
          <cell r="B7" t="str">
            <v>KPI</v>
          </cell>
        </row>
      </sheetData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 refreshError="1"/>
      <sheetData sheetId="967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>
        <row r="5">
          <cell r="B5">
            <v>178</v>
          </cell>
        </row>
      </sheetData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98-99 "/>
      <sheetName val="99-00"/>
      <sheetName val="00-01 "/>
      <sheetName val="01-02"/>
      <sheetName val="02-03"/>
      <sheetName val="03-04"/>
      <sheetName val="04-05"/>
      <sheetName val="05-06"/>
      <sheetName val="06-07 "/>
      <sheetName val="Maredo"/>
      <sheetName val="Austria"/>
      <sheetName val="Spitz"/>
      <sheetName val="MF"/>
      <sheetName val="Costa"/>
      <sheetName val="Tucans"/>
      <sheetName val="Steak Corner"/>
      <sheetName val="Small Maredo"/>
      <sheetName val="Maredo1"/>
      <sheetName val="Austria1"/>
      <sheetName val="Spitz1"/>
      <sheetName val="MF1"/>
      <sheetName val="Costa1"/>
      <sheetName val="Tucans1"/>
      <sheetName val="Steak Corner1"/>
      <sheetName val="Small Maredo1"/>
      <sheetName val="Total Expansion"/>
      <sheetName val="30104"/>
      <sheetName val="30106"/>
      <sheetName val="30109"/>
      <sheetName val="30132"/>
      <sheetName val="30301"/>
      <sheetName val="Spitz Comps"/>
      <sheetName val="Closure 0102"/>
      <sheetName val="Closure next"/>
      <sheetName val="MüllerFranzen"/>
      <sheetName val="Spitz Mühl"/>
      <sheetName val="Closures Total"/>
      <sheetName val="Core"/>
      <sheetName val="NE M 9900"/>
      <sheetName val="Costa alt"/>
      <sheetName val="Spitz Gend"/>
      <sheetName val="Costa neu"/>
      <sheetName val="Total core o I"/>
      <sheetName val="Schließung m i"/>
      <sheetName val="Value Waterfall wRent a. op.exp"/>
      <sheetName val="Value Waterfall wNoplat"/>
      <sheetName val="Value Waterfall w Nopat+rent"/>
      <sheetName val="Report w Rent as operating exp."/>
      <sheetName val="Report w Noplat"/>
      <sheetName val="Report w Nopat+rent"/>
      <sheetName val="Sensit. analys w. rent a.op.exp"/>
      <sheetName val="Szenario-Pivot-Rent a.op.exp."/>
      <sheetName val="Szenario-Pivot-Noplat.."/>
      <sheetName val="Szenario-Pivot-Nopat+rent..."/>
      <sheetName val="Core m I"/>
      <sheetName val="Core m IOriginal"/>
      <sheetName val="Core vor Volumenanstieg v.1.5 %"/>
      <sheetName val="Core m I (2)"/>
      <sheetName val="Szenario"/>
      <sheetName val="NE M 9900 m I"/>
      <sheetName val="Costa alt1"/>
      <sheetName val="Spitz Gend1"/>
      <sheetName val="NE C 0001 m I"/>
      <sheetName val="Total core m I"/>
      <sheetName val="Total"/>
      <sheetName val="Tabelle5"/>
      <sheetName val="Tabelle4"/>
      <sheetName val="David Thomas"/>
      <sheetName val="Tabelle1"/>
      <sheetName val="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 &amp; Inputs"/>
      <sheetName val="Grants"/>
      <sheetName val="CRO"/>
      <sheetName val="Pass Thru"/>
      <sheetName val="Study Budg"/>
      <sheetName val="Study Budg Updates"/>
      <sheetName val="Actuals"/>
      <sheetName val="(8) Active POs"/>
      <sheetName val="(9) Forecast"/>
      <sheetName val="Future Plan Studies &gt;"/>
      <sheetName val="Clinical Summary"/>
      <sheetName val="COMPASS Dates"/>
      <sheetName val="(10) Convert for Hyperion"/>
      <sheetName val="Support"/>
      <sheetName val="Study Budget Mapping "/>
      <sheetName val="Invoice Data"/>
      <sheetName val="Accounting File Names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REGN Proxy List, Data Ref."/>
      <sheetName val="1. COMPASS Dates - INPUT"/>
      <sheetName val="2. Monte Carlo - INPUT"/>
      <sheetName val="2a. Monte Carlo CPP per Year"/>
      <sheetName val="3. Program Refresh - Actuals"/>
      <sheetName val="Clinical Summary"/>
      <sheetName val="Phaser"/>
      <sheetName val="Phaser (3)"/>
      <sheetName val="Phaser (2)"/>
      <sheetName val="Total Program Budget Summary"/>
      <sheetName val="Sheet2"/>
      <sheetName val="NPV Extract for Corp Strat"/>
      <sheetName val="CMC IOPS Inputs"/>
      <sheetName val="R&amp;D Summary"/>
      <sheetName val="InterpolationHelp"/>
      <sheetName val="R&amp;D FTEs"/>
      <sheetName val="R&amp;D External"/>
      <sheetName val="Ad-Hoc Hyperion"/>
      <sheetName val="PF Program List"/>
      <sheetName val="Project Code Listing"/>
      <sheetName val="Hyperion Load"/>
      <sheetName val="Future FTE Rates"/>
      <sheetName val="Prior FTE Rates"/>
      <sheetName val="Assumptions"/>
    </sheetNames>
    <sheetDataSet>
      <sheetData sheetId="0"/>
      <sheetData sheetId="1"/>
      <sheetData sheetId="2"/>
      <sheetData sheetId="3"/>
      <sheetData sheetId="4">
        <row r="9">
          <cell r="B9">
            <v>43235.392290010626</v>
          </cell>
        </row>
        <row r="10">
          <cell r="B10">
            <v>43894.219361835014</v>
          </cell>
        </row>
        <row r="11">
          <cell r="B11">
            <v>43690.635633817335</v>
          </cell>
        </row>
        <row r="12">
          <cell r="B12">
            <v>45556.484191712516</v>
          </cell>
        </row>
        <row r="13">
          <cell r="B13">
            <v>41622.651303697574</v>
          </cell>
        </row>
        <row r="14">
          <cell r="B14">
            <v>44438.509001800594</v>
          </cell>
        </row>
        <row r="15">
          <cell r="B15">
            <v>44718.76034967765</v>
          </cell>
        </row>
        <row r="16">
          <cell r="B16">
            <v>41941.535975447499</v>
          </cell>
        </row>
        <row r="17">
          <cell r="B17">
            <v>45086.522557845848</v>
          </cell>
        </row>
        <row r="18">
          <cell r="B18">
            <v>44165.983994574766</v>
          </cell>
        </row>
        <row r="19">
          <cell r="B19">
            <v>43222.300613690204</v>
          </cell>
        </row>
        <row r="20">
          <cell r="B20">
            <v>45214.918811998097</v>
          </cell>
        </row>
        <row r="21">
          <cell r="B21">
            <v>45309.226594227825</v>
          </cell>
        </row>
        <row r="22">
          <cell r="B22">
            <v>43567.903433602827</v>
          </cell>
        </row>
        <row r="23">
          <cell r="B23">
            <v>44348.523415710777</v>
          </cell>
        </row>
        <row r="24">
          <cell r="B24">
            <v>44328.520042752447</v>
          </cell>
        </row>
        <row r="25">
          <cell r="B25">
            <v>44820.67237357267</v>
          </cell>
        </row>
        <row r="26">
          <cell r="B26">
            <v>44338.727150779363</v>
          </cell>
        </row>
        <row r="27">
          <cell r="B27">
            <v>46924.432841229609</v>
          </cell>
        </row>
        <row r="28">
          <cell r="B28">
            <v>44761.387265983729</v>
          </cell>
        </row>
        <row r="29">
          <cell r="B29">
            <v>43668.665934552911</v>
          </cell>
        </row>
        <row r="30">
          <cell r="B30">
            <v>43518.170677795999</v>
          </cell>
        </row>
        <row r="31">
          <cell r="B31">
            <v>43214.360160123753</v>
          </cell>
        </row>
        <row r="32">
          <cell r="B32">
            <v>43890.995789048786</v>
          </cell>
        </row>
        <row r="33">
          <cell r="B33">
            <v>46122.241689491384</v>
          </cell>
        </row>
        <row r="34">
          <cell r="B34">
            <v>43031.706345808583</v>
          </cell>
        </row>
        <row r="35">
          <cell r="B35">
            <v>44853.69925941051</v>
          </cell>
        </row>
        <row r="36">
          <cell r="B36">
            <v>43578.958310900038</v>
          </cell>
        </row>
        <row r="37">
          <cell r="B37">
            <v>42571.501928490987</v>
          </cell>
        </row>
        <row r="38">
          <cell r="B38">
            <v>43900.013254126352</v>
          </cell>
        </row>
        <row r="39">
          <cell r="B39">
            <v>43332.713615055065</v>
          </cell>
        </row>
        <row r="40">
          <cell r="B40">
            <v>43230.579885805542</v>
          </cell>
        </row>
        <row r="41">
          <cell r="B41">
            <v>45194.093893150486</v>
          </cell>
        </row>
        <row r="42">
          <cell r="B42">
            <v>44569.025643385241</v>
          </cell>
        </row>
        <row r="43">
          <cell r="B43">
            <v>46546.498209183832</v>
          </cell>
        </row>
        <row r="44">
          <cell r="B44">
            <v>43036.669221852921</v>
          </cell>
        </row>
        <row r="45">
          <cell r="B45">
            <v>43540.59784594072</v>
          </cell>
        </row>
        <row r="46">
          <cell r="B46">
            <v>45795.988293420916</v>
          </cell>
        </row>
        <row r="47">
          <cell r="B47">
            <v>43787.172706654681</v>
          </cell>
        </row>
        <row r="48">
          <cell r="B48">
            <v>42285.971399082067</v>
          </cell>
        </row>
        <row r="49">
          <cell r="B49">
            <v>44853.814673125693</v>
          </cell>
        </row>
        <row r="50">
          <cell r="B50">
            <v>43833.375645315384</v>
          </cell>
        </row>
        <row r="51">
          <cell r="B51">
            <v>43951.725394043533</v>
          </cell>
        </row>
        <row r="52">
          <cell r="B52">
            <v>42874.259787648771</v>
          </cell>
        </row>
        <row r="53">
          <cell r="B53">
            <v>41499.373962462487</v>
          </cell>
        </row>
        <row r="54">
          <cell r="B54">
            <v>44368.53883650522</v>
          </cell>
        </row>
        <row r="55">
          <cell r="B55">
            <v>44432.04308811581</v>
          </cell>
        </row>
        <row r="56">
          <cell r="B56">
            <v>45084.486655739121</v>
          </cell>
        </row>
        <row r="57">
          <cell r="B57">
            <v>44550.063246967446</v>
          </cell>
        </row>
        <row r="58">
          <cell r="B58">
            <v>46086.887193969618</v>
          </cell>
        </row>
        <row r="59">
          <cell r="B59">
            <v>44574.849013579929</v>
          </cell>
        </row>
        <row r="60">
          <cell r="B60">
            <v>42148.300473737108</v>
          </cell>
        </row>
        <row r="61">
          <cell r="B61">
            <v>43395.733146525243</v>
          </cell>
        </row>
        <row r="62">
          <cell r="B62">
            <v>44503.60777654899</v>
          </cell>
        </row>
        <row r="63">
          <cell r="B63">
            <v>45375.126382682487</v>
          </cell>
        </row>
        <row r="64">
          <cell r="B64">
            <v>44403.374469236034</v>
          </cell>
        </row>
        <row r="65">
          <cell r="B65">
            <v>44500.523879206157</v>
          </cell>
        </row>
        <row r="66">
          <cell r="B66">
            <v>45060.190715461271</v>
          </cell>
        </row>
        <row r="67">
          <cell r="B67">
            <v>43148.985670661787</v>
          </cell>
        </row>
        <row r="68">
          <cell r="B68">
            <v>44158.189124566372</v>
          </cell>
        </row>
        <row r="69">
          <cell r="B69">
            <v>42505.68503884098</v>
          </cell>
        </row>
        <row r="70">
          <cell r="B70">
            <v>41073.537183530112</v>
          </cell>
        </row>
        <row r="71">
          <cell r="B71">
            <v>44528.625599581479</v>
          </cell>
        </row>
        <row r="72">
          <cell r="B72">
            <v>42636.466794931628</v>
          </cell>
        </row>
        <row r="73">
          <cell r="B73">
            <v>42918.424994100635</v>
          </cell>
        </row>
        <row r="74">
          <cell r="B74">
            <v>45905.025974978416</v>
          </cell>
        </row>
        <row r="75">
          <cell r="B75">
            <v>40502.118213452362</v>
          </cell>
        </row>
        <row r="76">
          <cell r="B76">
            <v>44547.341131864669</v>
          </cell>
        </row>
        <row r="77">
          <cell r="B77">
            <v>42498.669007270881</v>
          </cell>
        </row>
        <row r="78">
          <cell r="B78">
            <v>43955.90052743558</v>
          </cell>
        </row>
        <row r="79">
          <cell r="B79">
            <v>44576.981831792764</v>
          </cell>
        </row>
        <row r="80">
          <cell r="B80">
            <v>42821.696084606476</v>
          </cell>
        </row>
        <row r="81">
          <cell r="B81">
            <v>43573.518045508281</v>
          </cell>
        </row>
        <row r="82">
          <cell r="B82">
            <v>44523.690217422212</v>
          </cell>
        </row>
        <row r="83">
          <cell r="B83">
            <v>42250.886308370515</v>
          </cell>
        </row>
        <row r="84">
          <cell r="B84">
            <v>43329.189628340566</v>
          </cell>
        </row>
        <row r="85">
          <cell r="B85">
            <v>44125.299977446644</v>
          </cell>
        </row>
        <row r="86">
          <cell r="B86">
            <v>45901.463143328103</v>
          </cell>
        </row>
        <row r="87">
          <cell r="B87">
            <v>42331.448759428778</v>
          </cell>
        </row>
        <row r="88">
          <cell r="B88">
            <v>43676.986545569009</v>
          </cell>
        </row>
        <row r="89">
          <cell r="B89">
            <v>42769.997182482221</v>
          </cell>
        </row>
        <row r="90">
          <cell r="B90">
            <v>42906.104257425104</v>
          </cell>
        </row>
        <row r="91">
          <cell r="B91">
            <v>45267.841356124351</v>
          </cell>
        </row>
        <row r="92">
          <cell r="B92">
            <v>44486.315162063096</v>
          </cell>
        </row>
        <row r="93">
          <cell r="B93">
            <v>45211.149952690641</v>
          </cell>
        </row>
        <row r="94">
          <cell r="B94">
            <v>45841.302985161456</v>
          </cell>
        </row>
        <row r="95">
          <cell r="B95">
            <v>42667.486032847439</v>
          </cell>
        </row>
        <row r="96">
          <cell r="B96">
            <v>43564.727440904739</v>
          </cell>
        </row>
        <row r="97">
          <cell r="B97">
            <v>45687.272526050736</v>
          </cell>
        </row>
        <row r="98">
          <cell r="B98">
            <v>44308.837392559195</v>
          </cell>
        </row>
        <row r="99">
          <cell r="B99">
            <v>44813.179685197014</v>
          </cell>
        </row>
        <row r="100">
          <cell r="B100">
            <v>45003.406701370841</v>
          </cell>
        </row>
        <row r="101">
          <cell r="B101">
            <v>43942.008895844745</v>
          </cell>
        </row>
        <row r="102">
          <cell r="B102">
            <v>41744.399972414438</v>
          </cell>
        </row>
        <row r="103">
          <cell r="B103">
            <v>42703.499539152472</v>
          </cell>
        </row>
        <row r="104">
          <cell r="B104">
            <v>43869.889450026734</v>
          </cell>
        </row>
        <row r="105">
          <cell r="B105">
            <v>44041.23978736643</v>
          </cell>
        </row>
        <row r="106">
          <cell r="B106">
            <v>45129.257765776754</v>
          </cell>
        </row>
        <row r="107">
          <cell r="B107">
            <v>44505.991410794559</v>
          </cell>
        </row>
        <row r="108">
          <cell r="B108">
            <v>47204.671629441436</v>
          </cell>
        </row>
        <row r="109">
          <cell r="B109">
            <v>43667.103697176273</v>
          </cell>
        </row>
        <row r="110">
          <cell r="B110">
            <v>44760.996638515528</v>
          </cell>
        </row>
        <row r="111">
          <cell r="B111">
            <v>46650.591625204936</v>
          </cell>
        </row>
        <row r="112">
          <cell r="B112">
            <v>44225.580986717789</v>
          </cell>
        </row>
        <row r="113">
          <cell r="B113">
            <v>46087.973834235192</v>
          </cell>
        </row>
        <row r="114">
          <cell r="B114">
            <v>43861.873379323413</v>
          </cell>
        </row>
        <row r="115">
          <cell r="B115">
            <v>46561.771082509687</v>
          </cell>
        </row>
        <row r="116">
          <cell r="B116">
            <v>44526.29183108906</v>
          </cell>
        </row>
        <row r="117">
          <cell r="B117">
            <v>42013.287950108082</v>
          </cell>
        </row>
        <row r="118">
          <cell r="B118">
            <v>45428.860490810155</v>
          </cell>
        </row>
        <row r="119">
          <cell r="B119">
            <v>41915.133728114422</v>
          </cell>
        </row>
        <row r="120">
          <cell r="B120">
            <v>45182.234563655562</v>
          </cell>
        </row>
        <row r="121">
          <cell r="B121">
            <v>43374.430426726452</v>
          </cell>
        </row>
        <row r="122">
          <cell r="B122">
            <v>46155.452456574501</v>
          </cell>
        </row>
        <row r="123">
          <cell r="B123">
            <v>46846.443572274809</v>
          </cell>
        </row>
        <row r="124">
          <cell r="B124">
            <v>44995.335593972151</v>
          </cell>
        </row>
        <row r="125">
          <cell r="B125">
            <v>43033.212317468759</v>
          </cell>
        </row>
        <row r="126">
          <cell r="B126">
            <v>46506.413157855015</v>
          </cell>
        </row>
        <row r="127">
          <cell r="B127">
            <v>43846.514704382796</v>
          </cell>
        </row>
        <row r="128">
          <cell r="B128">
            <v>46016.852296315876</v>
          </cell>
        </row>
        <row r="129">
          <cell r="B129">
            <v>44199.451297738444</v>
          </cell>
        </row>
        <row r="130">
          <cell r="B130">
            <v>45072.136308532987</v>
          </cell>
        </row>
        <row r="131">
          <cell r="B131">
            <v>46683.792902304282</v>
          </cell>
        </row>
        <row r="132">
          <cell r="B132">
            <v>45248.582100213833</v>
          </cell>
        </row>
        <row r="133">
          <cell r="B133">
            <v>44105.139222953236</v>
          </cell>
        </row>
        <row r="134">
          <cell r="B134">
            <v>44727.053914464486</v>
          </cell>
        </row>
        <row r="135">
          <cell r="B135">
            <v>43774.501261514255</v>
          </cell>
        </row>
        <row r="136">
          <cell r="B136">
            <v>42716.231568302472</v>
          </cell>
        </row>
        <row r="137">
          <cell r="B137">
            <v>43798.594023730875</v>
          </cell>
        </row>
        <row r="138">
          <cell r="B138">
            <v>43709.47444839347</v>
          </cell>
        </row>
        <row r="139">
          <cell r="B139">
            <v>46904.71268208215</v>
          </cell>
        </row>
        <row r="140">
          <cell r="B140">
            <v>45524.794742671482</v>
          </cell>
        </row>
        <row r="141">
          <cell r="B141">
            <v>44396.61770534276</v>
          </cell>
        </row>
        <row r="142">
          <cell r="B142">
            <v>43277.531566768877</v>
          </cell>
        </row>
        <row r="143">
          <cell r="B143">
            <v>45111.071716245657</v>
          </cell>
        </row>
        <row r="144">
          <cell r="B144">
            <v>40956.226183641251</v>
          </cell>
        </row>
        <row r="145">
          <cell r="B145">
            <v>41956.436856321488</v>
          </cell>
        </row>
        <row r="146">
          <cell r="B146">
            <v>44315.148247916695</v>
          </cell>
        </row>
        <row r="147">
          <cell r="B147">
            <v>45802.21110243474</v>
          </cell>
        </row>
        <row r="148">
          <cell r="B148">
            <v>42934.68385590153</v>
          </cell>
        </row>
        <row r="149">
          <cell r="B149">
            <v>43570.902358418352</v>
          </cell>
        </row>
        <row r="150">
          <cell r="B150">
            <v>42929.870876566412</v>
          </cell>
        </row>
        <row r="151">
          <cell r="B151">
            <v>43989.333397775001</v>
          </cell>
        </row>
        <row r="152">
          <cell r="B152">
            <v>43649.870079628847</v>
          </cell>
        </row>
        <row r="153">
          <cell r="B153">
            <v>44593.285697164203</v>
          </cell>
        </row>
        <row r="154">
          <cell r="B154">
            <v>41875.356244365787</v>
          </cell>
        </row>
        <row r="155">
          <cell r="B155">
            <v>43562.022918215276</v>
          </cell>
        </row>
        <row r="156">
          <cell r="B156">
            <v>42453.91242256992</v>
          </cell>
        </row>
        <row r="157">
          <cell r="B157">
            <v>42986.436623417496</v>
          </cell>
        </row>
        <row r="158">
          <cell r="B158">
            <v>44453.147158410131</v>
          </cell>
        </row>
        <row r="159">
          <cell r="B159">
            <v>44430.567135082754</v>
          </cell>
        </row>
        <row r="160">
          <cell r="B160">
            <v>42463.774677209207</v>
          </cell>
        </row>
        <row r="161">
          <cell r="B161">
            <v>45644.909339667553</v>
          </cell>
        </row>
        <row r="162">
          <cell r="B162">
            <v>45990.908058359862</v>
          </cell>
        </row>
        <row r="163">
          <cell r="B163">
            <v>41341.355390501456</v>
          </cell>
        </row>
        <row r="164">
          <cell r="B164">
            <v>45562.529035156913</v>
          </cell>
        </row>
        <row r="165">
          <cell r="B165">
            <v>43794.081396809874</v>
          </cell>
        </row>
        <row r="166">
          <cell r="B166">
            <v>45221.26239811843</v>
          </cell>
        </row>
        <row r="167">
          <cell r="B167">
            <v>43727.623066021464</v>
          </cell>
        </row>
        <row r="168">
          <cell r="B168">
            <v>44761.830633024583</v>
          </cell>
        </row>
        <row r="169">
          <cell r="B169">
            <v>45273.92393990761</v>
          </cell>
        </row>
        <row r="170">
          <cell r="B170">
            <v>43198.529451602393</v>
          </cell>
        </row>
        <row r="171">
          <cell r="B171">
            <v>45100.621879913648</v>
          </cell>
        </row>
        <row r="172">
          <cell r="B172">
            <v>43610.323326206148</v>
          </cell>
        </row>
        <row r="173">
          <cell r="B173">
            <v>42427.272892217763</v>
          </cell>
        </row>
        <row r="174">
          <cell r="B174">
            <v>43594.336492500217</v>
          </cell>
        </row>
        <row r="175">
          <cell r="B175">
            <v>42008.072727225117</v>
          </cell>
        </row>
        <row r="176">
          <cell r="B176">
            <v>43841.798620498979</v>
          </cell>
        </row>
        <row r="177">
          <cell r="B177">
            <v>40658.090662432987</v>
          </cell>
        </row>
        <row r="178">
          <cell r="B178">
            <v>40924.757194982252</v>
          </cell>
        </row>
        <row r="179">
          <cell r="B179">
            <v>43727.209510225286</v>
          </cell>
        </row>
        <row r="180">
          <cell r="B180">
            <v>45626.166546156848</v>
          </cell>
        </row>
        <row r="181">
          <cell r="B181">
            <v>42519.224995124008</v>
          </cell>
        </row>
        <row r="182">
          <cell r="B182">
            <v>44325.69316905889</v>
          </cell>
        </row>
        <row r="183">
          <cell r="B183">
            <v>44083.060921991426</v>
          </cell>
        </row>
        <row r="184">
          <cell r="B184">
            <v>42692.242931521978</v>
          </cell>
        </row>
        <row r="185">
          <cell r="B185">
            <v>45743.23867002668</v>
          </cell>
        </row>
        <row r="186">
          <cell r="B186">
            <v>45860.057670863709</v>
          </cell>
        </row>
        <row r="187">
          <cell r="B187">
            <v>43387.754781272655</v>
          </cell>
        </row>
        <row r="188">
          <cell r="B188">
            <v>42589.499100597655</v>
          </cell>
        </row>
        <row r="189">
          <cell r="B189">
            <v>45530.39550010005</v>
          </cell>
        </row>
        <row r="190">
          <cell r="B190">
            <v>44329.887484139705</v>
          </cell>
        </row>
        <row r="191">
          <cell r="B191">
            <v>42082.664023827165</v>
          </cell>
        </row>
        <row r="192">
          <cell r="B192">
            <v>44344.3673354251</v>
          </cell>
        </row>
        <row r="193">
          <cell r="B193">
            <v>45178.193758701622</v>
          </cell>
        </row>
        <row r="194">
          <cell r="B194">
            <v>43298.017650065041</v>
          </cell>
        </row>
        <row r="195">
          <cell r="B195">
            <v>45356.748460595067</v>
          </cell>
        </row>
        <row r="196">
          <cell r="B196">
            <v>46259.550072212682</v>
          </cell>
        </row>
        <row r="197">
          <cell r="B197">
            <v>44318.55368279347</v>
          </cell>
        </row>
        <row r="198">
          <cell r="B198">
            <v>44300.863312459114</v>
          </cell>
        </row>
        <row r="199">
          <cell r="B199">
            <v>45159.28848525419</v>
          </cell>
        </row>
        <row r="200">
          <cell r="B200">
            <v>43635.096888659122</v>
          </cell>
        </row>
        <row r="201">
          <cell r="B201">
            <v>41769.466033685312</v>
          </cell>
        </row>
        <row r="202">
          <cell r="B202">
            <v>45235.248579179191</v>
          </cell>
        </row>
        <row r="203">
          <cell r="B203">
            <v>44788.281092858648</v>
          </cell>
        </row>
        <row r="204">
          <cell r="B204">
            <v>43633.59081827716</v>
          </cell>
        </row>
        <row r="205">
          <cell r="B205">
            <v>43596.45442853828</v>
          </cell>
        </row>
        <row r="206">
          <cell r="B206">
            <v>43817.901725901305</v>
          </cell>
        </row>
        <row r="207">
          <cell r="B207">
            <v>42934.040791439489</v>
          </cell>
        </row>
        <row r="208">
          <cell r="B208">
            <v>41891.28338777092</v>
          </cell>
        </row>
        <row r="209">
          <cell r="B209">
            <v>45304.239360336753</v>
          </cell>
        </row>
        <row r="210">
          <cell r="B210">
            <v>45399.907014203891</v>
          </cell>
        </row>
        <row r="211">
          <cell r="B211">
            <v>42526.285560565251</v>
          </cell>
        </row>
        <row r="212">
          <cell r="B212">
            <v>46064.181236490345</v>
          </cell>
        </row>
        <row r="213">
          <cell r="B213">
            <v>43550.9500253121</v>
          </cell>
        </row>
        <row r="214">
          <cell r="B214">
            <v>43125.2201117398</v>
          </cell>
        </row>
        <row r="215">
          <cell r="B215">
            <v>43527.416131441016</v>
          </cell>
        </row>
        <row r="216">
          <cell r="B216">
            <v>42980.080117603837</v>
          </cell>
        </row>
        <row r="217">
          <cell r="B217">
            <v>44723.742959885145</v>
          </cell>
        </row>
        <row r="218">
          <cell r="B218">
            <v>44767.362287080781</v>
          </cell>
        </row>
        <row r="219">
          <cell r="B219">
            <v>47012.835604328822</v>
          </cell>
        </row>
        <row r="220">
          <cell r="B220">
            <v>44068.162034579604</v>
          </cell>
        </row>
        <row r="221">
          <cell r="B221">
            <v>43637.578964177657</v>
          </cell>
        </row>
        <row r="222">
          <cell r="B222">
            <v>42805.022810184302</v>
          </cell>
        </row>
        <row r="223">
          <cell r="B223">
            <v>43232.844167080992</v>
          </cell>
        </row>
        <row r="224">
          <cell r="B224">
            <v>44911.649191645098</v>
          </cell>
        </row>
        <row r="225">
          <cell r="B225">
            <v>43190.763409475207</v>
          </cell>
        </row>
        <row r="226">
          <cell r="B226">
            <v>44363.296320755886</v>
          </cell>
        </row>
        <row r="227">
          <cell r="B227">
            <v>43139.875352968978</v>
          </cell>
        </row>
        <row r="228">
          <cell r="B228">
            <v>47741.412466288071</v>
          </cell>
        </row>
        <row r="229">
          <cell r="B229">
            <v>43533.887100942731</v>
          </cell>
        </row>
        <row r="230">
          <cell r="B230">
            <v>43904.660347692057</v>
          </cell>
        </row>
        <row r="231">
          <cell r="B231">
            <v>43576.909749500592</v>
          </cell>
        </row>
        <row r="232">
          <cell r="B232">
            <v>42437.26348771112</v>
          </cell>
        </row>
        <row r="233">
          <cell r="B233">
            <v>44443.523556533117</v>
          </cell>
        </row>
        <row r="234">
          <cell r="B234">
            <v>43624.765730687919</v>
          </cell>
        </row>
        <row r="235">
          <cell r="B235">
            <v>43505.364441719837</v>
          </cell>
        </row>
        <row r="236">
          <cell r="B236">
            <v>44899.700464539361</v>
          </cell>
        </row>
        <row r="237">
          <cell r="B237">
            <v>42573.672052846232</v>
          </cell>
        </row>
        <row r="238">
          <cell r="B238">
            <v>44756.221099218237</v>
          </cell>
        </row>
        <row r="239">
          <cell r="B239">
            <v>45877.080029890734</v>
          </cell>
        </row>
        <row r="240">
          <cell r="B240">
            <v>45161.767780297669</v>
          </cell>
        </row>
        <row r="241">
          <cell r="B241">
            <v>46071.619100859571</v>
          </cell>
        </row>
        <row r="242">
          <cell r="B242">
            <v>44143.260804776146</v>
          </cell>
        </row>
        <row r="243">
          <cell r="B243">
            <v>46923.398745024017</v>
          </cell>
        </row>
        <row r="244">
          <cell r="B244">
            <v>43865.290875333667</v>
          </cell>
        </row>
        <row r="245">
          <cell r="B245">
            <v>45074.625358097372</v>
          </cell>
        </row>
        <row r="246">
          <cell r="B246">
            <v>44677.573331138308</v>
          </cell>
        </row>
        <row r="247">
          <cell r="B247">
            <v>43225.224577928253</v>
          </cell>
        </row>
        <row r="248">
          <cell r="B248">
            <v>43249.240802556349</v>
          </cell>
        </row>
        <row r="249">
          <cell r="B249">
            <v>44850.918487836192</v>
          </cell>
        </row>
        <row r="250">
          <cell r="B250">
            <v>45752.074441228331</v>
          </cell>
        </row>
        <row r="251">
          <cell r="B251">
            <v>43471.158528586275</v>
          </cell>
        </row>
        <row r="252">
          <cell r="B252">
            <v>43292.876125945812</v>
          </cell>
        </row>
        <row r="253">
          <cell r="B253">
            <v>41845.947759659619</v>
          </cell>
        </row>
        <row r="254">
          <cell r="B254">
            <v>46042.898202000899</v>
          </cell>
        </row>
        <row r="255">
          <cell r="B255">
            <v>41705.069806135187</v>
          </cell>
        </row>
        <row r="256">
          <cell r="B256">
            <v>44044.905173473271</v>
          </cell>
        </row>
        <row r="257">
          <cell r="B257">
            <v>41902.115237289268</v>
          </cell>
        </row>
        <row r="258">
          <cell r="B258">
            <v>42872.385290997794</v>
          </cell>
        </row>
        <row r="259">
          <cell r="B259">
            <v>43890.324257137647</v>
          </cell>
        </row>
        <row r="260">
          <cell r="B260">
            <v>44822.158418238811</v>
          </cell>
        </row>
        <row r="261">
          <cell r="B261">
            <v>44828.849763934428</v>
          </cell>
        </row>
        <row r="262">
          <cell r="B262">
            <v>44017.736162198184</v>
          </cell>
        </row>
        <row r="263">
          <cell r="B263">
            <v>41926.232887261227</v>
          </cell>
        </row>
        <row r="264">
          <cell r="B264">
            <v>46954.52130857663</v>
          </cell>
        </row>
        <row r="265">
          <cell r="B265">
            <v>45736.747270676307</v>
          </cell>
        </row>
        <row r="266">
          <cell r="B266">
            <v>45430.081751445665</v>
          </cell>
        </row>
        <row r="267">
          <cell r="B267">
            <v>43686.357703427253</v>
          </cell>
        </row>
        <row r="268">
          <cell r="B268">
            <v>42572.431980682544</v>
          </cell>
        </row>
        <row r="269">
          <cell r="B269">
            <v>44903.837802202681</v>
          </cell>
        </row>
        <row r="270">
          <cell r="B270">
            <v>43803.845268161247</v>
          </cell>
        </row>
        <row r="271">
          <cell r="B271">
            <v>45646.13420042018</v>
          </cell>
        </row>
        <row r="272">
          <cell r="B272">
            <v>44071.2731591142</v>
          </cell>
        </row>
        <row r="273">
          <cell r="B273">
            <v>43147.285247993874</v>
          </cell>
        </row>
        <row r="274">
          <cell r="B274">
            <v>45234.216818071676</v>
          </cell>
        </row>
        <row r="275">
          <cell r="B275">
            <v>43755.314747980381</v>
          </cell>
        </row>
        <row r="276">
          <cell r="B276">
            <v>43066.509021729573</v>
          </cell>
        </row>
        <row r="277">
          <cell r="B277">
            <v>43448.780892296461</v>
          </cell>
        </row>
        <row r="278">
          <cell r="B278">
            <v>43923.043105930592</v>
          </cell>
        </row>
        <row r="279">
          <cell r="B279">
            <v>42802.579691347055</v>
          </cell>
        </row>
        <row r="280">
          <cell r="B280">
            <v>43187.023915382095</v>
          </cell>
        </row>
        <row r="281">
          <cell r="B281">
            <v>46141.480242553836</v>
          </cell>
        </row>
        <row r="282">
          <cell r="B282">
            <v>44370.490239970277</v>
          </cell>
        </row>
        <row r="283">
          <cell r="B283">
            <v>43800.831551136675</v>
          </cell>
        </row>
        <row r="284">
          <cell r="B284">
            <v>44435.563219876582</v>
          </cell>
        </row>
        <row r="285">
          <cell r="B285">
            <v>44792.603215705625</v>
          </cell>
        </row>
        <row r="286">
          <cell r="B286">
            <v>43063.59511431682</v>
          </cell>
        </row>
        <row r="287">
          <cell r="B287">
            <v>46459.829245670873</v>
          </cell>
        </row>
        <row r="288">
          <cell r="B288">
            <v>42741.430640816994</v>
          </cell>
        </row>
        <row r="289">
          <cell r="B289">
            <v>45040.842396710912</v>
          </cell>
        </row>
        <row r="290">
          <cell r="B290">
            <v>44994.71176611985</v>
          </cell>
        </row>
        <row r="291">
          <cell r="B291">
            <v>41693.088273166381</v>
          </cell>
        </row>
        <row r="292">
          <cell r="B292">
            <v>43654.348851484523</v>
          </cell>
        </row>
        <row r="293">
          <cell r="B293">
            <v>43469.089927447836</v>
          </cell>
        </row>
        <row r="294">
          <cell r="B294">
            <v>42363.99980887874</v>
          </cell>
        </row>
        <row r="295">
          <cell r="B295">
            <v>47155.44018835132</v>
          </cell>
        </row>
        <row r="296">
          <cell r="B296">
            <v>45388.698172750323</v>
          </cell>
        </row>
        <row r="297">
          <cell r="B297">
            <v>44063.811815371599</v>
          </cell>
        </row>
        <row r="298">
          <cell r="B298">
            <v>42975.759117703179</v>
          </cell>
        </row>
        <row r="299">
          <cell r="B299">
            <v>41936.690864787532</v>
          </cell>
        </row>
        <row r="300">
          <cell r="B300">
            <v>45190.849040889698</v>
          </cell>
        </row>
        <row r="301">
          <cell r="B301">
            <v>45198.89569156176</v>
          </cell>
        </row>
        <row r="302">
          <cell r="B302">
            <v>42900.028694485525</v>
          </cell>
        </row>
        <row r="303">
          <cell r="B303">
            <v>44962.908664867049</v>
          </cell>
        </row>
        <row r="304">
          <cell r="B304">
            <v>44233.381136026474</v>
          </cell>
        </row>
        <row r="305">
          <cell r="B305">
            <v>44611.409574199221</v>
          </cell>
        </row>
        <row r="306">
          <cell r="B306">
            <v>44283.86515067787</v>
          </cell>
        </row>
        <row r="307">
          <cell r="B307">
            <v>44819.712010267394</v>
          </cell>
        </row>
        <row r="308">
          <cell r="B308">
            <v>44302.540718142525</v>
          </cell>
        </row>
        <row r="309">
          <cell r="B309">
            <v>45260.414707868702</v>
          </cell>
        </row>
        <row r="310">
          <cell r="B310">
            <v>45335.000675943622</v>
          </cell>
        </row>
        <row r="311">
          <cell r="B311">
            <v>43000.177806049243</v>
          </cell>
        </row>
        <row r="312">
          <cell r="B312">
            <v>44012.301497016029</v>
          </cell>
        </row>
        <row r="313">
          <cell r="B313">
            <v>43466.12947407391</v>
          </cell>
        </row>
        <row r="314">
          <cell r="B314">
            <v>42155.837020401712</v>
          </cell>
        </row>
        <row r="315">
          <cell r="B315">
            <v>42954.653490266166</v>
          </cell>
        </row>
        <row r="316">
          <cell r="B316">
            <v>45274.801260734203</v>
          </cell>
        </row>
        <row r="317">
          <cell r="B317">
            <v>43504.312946032798</v>
          </cell>
        </row>
        <row r="318">
          <cell r="B318">
            <v>42436.506278531</v>
          </cell>
        </row>
        <row r="319">
          <cell r="B319">
            <v>44105.80597380345</v>
          </cell>
        </row>
        <row r="320">
          <cell r="B320">
            <v>41925.174862938409</v>
          </cell>
        </row>
        <row r="321">
          <cell r="B321">
            <v>44328.016575129783</v>
          </cell>
        </row>
        <row r="322">
          <cell r="B322">
            <v>45631.444082030823</v>
          </cell>
        </row>
        <row r="323">
          <cell r="B323">
            <v>43843.629680704129</v>
          </cell>
        </row>
        <row r="324">
          <cell r="B324">
            <v>45013.984244669104</v>
          </cell>
        </row>
        <row r="325">
          <cell r="B325">
            <v>41104.980140897314</v>
          </cell>
        </row>
        <row r="326">
          <cell r="B326">
            <v>42538.840763365901</v>
          </cell>
        </row>
        <row r="327">
          <cell r="B327">
            <v>45195.492188139797</v>
          </cell>
        </row>
        <row r="328">
          <cell r="B328">
            <v>43322.174433222768</v>
          </cell>
        </row>
        <row r="329">
          <cell r="B329">
            <v>43268.016901000199</v>
          </cell>
        </row>
        <row r="330">
          <cell r="B330">
            <v>44566.39791496504</v>
          </cell>
        </row>
        <row r="331">
          <cell r="B331">
            <v>42793.8287408701</v>
          </cell>
        </row>
        <row r="332">
          <cell r="B332">
            <v>44831.745497791926</v>
          </cell>
        </row>
        <row r="333">
          <cell r="B333">
            <v>42539.912919713039</v>
          </cell>
        </row>
        <row r="334">
          <cell r="B334">
            <v>45655.663491183615</v>
          </cell>
        </row>
        <row r="335">
          <cell r="B335">
            <v>43632.814171224076</v>
          </cell>
        </row>
        <row r="336">
          <cell r="B336">
            <v>46985.507805146874</v>
          </cell>
        </row>
        <row r="337">
          <cell r="B337">
            <v>42826.255667541103</v>
          </cell>
        </row>
        <row r="338">
          <cell r="B338">
            <v>43585.730297948539</v>
          </cell>
        </row>
        <row r="339">
          <cell r="B339">
            <v>43599.514360039495</v>
          </cell>
        </row>
        <row r="340">
          <cell r="B340">
            <v>44446.544491679873</v>
          </cell>
        </row>
        <row r="341">
          <cell r="B341">
            <v>44023.734441906614</v>
          </cell>
        </row>
        <row r="342">
          <cell r="B342">
            <v>44551.888575142082</v>
          </cell>
        </row>
        <row r="343">
          <cell r="B343">
            <v>45081.235611529948</v>
          </cell>
        </row>
        <row r="344">
          <cell r="B344">
            <v>43428.153811903285</v>
          </cell>
        </row>
        <row r="345">
          <cell r="B345">
            <v>42796.431564973478</v>
          </cell>
        </row>
        <row r="346">
          <cell r="B346">
            <v>43763.007052481327</v>
          </cell>
        </row>
        <row r="347">
          <cell r="B347">
            <v>44287.056015251139</v>
          </cell>
        </row>
        <row r="348">
          <cell r="B348">
            <v>45097.191379870688</v>
          </cell>
        </row>
        <row r="349">
          <cell r="B349">
            <v>43293.795022129227</v>
          </cell>
        </row>
        <row r="350">
          <cell r="B350">
            <v>44410.581597958582</v>
          </cell>
        </row>
        <row r="351">
          <cell r="B351">
            <v>44060.972489255306</v>
          </cell>
        </row>
        <row r="352">
          <cell r="B352">
            <v>41536.02298084928</v>
          </cell>
        </row>
        <row r="353">
          <cell r="B353">
            <v>43565.636747442746</v>
          </cell>
        </row>
        <row r="354">
          <cell r="B354">
            <v>44856.852784211223</v>
          </cell>
        </row>
        <row r="355">
          <cell r="B355">
            <v>45550.381399421545</v>
          </cell>
        </row>
        <row r="356">
          <cell r="B356">
            <v>45090.818694329537</v>
          </cell>
        </row>
        <row r="357">
          <cell r="B357">
            <v>45134.614976856319</v>
          </cell>
        </row>
        <row r="358">
          <cell r="B358">
            <v>42517.764188649133</v>
          </cell>
        </row>
        <row r="359">
          <cell r="B359">
            <v>43650.169545217032</v>
          </cell>
        </row>
        <row r="360">
          <cell r="B360">
            <v>43093.41063696154</v>
          </cell>
        </row>
        <row r="361">
          <cell r="B361">
            <v>45311.836531186302</v>
          </cell>
        </row>
        <row r="362">
          <cell r="B362">
            <v>42819.152233219473</v>
          </cell>
        </row>
        <row r="363">
          <cell r="B363">
            <v>44173.077969242215</v>
          </cell>
        </row>
        <row r="364">
          <cell r="B364">
            <v>44739.685957883332</v>
          </cell>
        </row>
        <row r="365">
          <cell r="B365">
            <v>43635.959010451763</v>
          </cell>
        </row>
        <row r="366">
          <cell r="B366">
            <v>40590.649315210503</v>
          </cell>
        </row>
        <row r="367">
          <cell r="B367">
            <v>41254.413895927828</v>
          </cell>
        </row>
        <row r="368">
          <cell r="B368">
            <v>46808.998904154039</v>
          </cell>
        </row>
        <row r="369">
          <cell r="B369">
            <v>43895.899153234888</v>
          </cell>
        </row>
        <row r="370">
          <cell r="B370">
            <v>44385.770534829135</v>
          </cell>
        </row>
        <row r="371">
          <cell r="B371">
            <v>45740.915759183445</v>
          </cell>
        </row>
        <row r="372">
          <cell r="B372">
            <v>44995.187559384314</v>
          </cell>
        </row>
        <row r="373">
          <cell r="B373">
            <v>45585.216199604234</v>
          </cell>
        </row>
        <row r="374">
          <cell r="B374">
            <v>44226.592323504337</v>
          </cell>
        </row>
        <row r="375">
          <cell r="B375">
            <v>42635.301132982459</v>
          </cell>
        </row>
        <row r="376">
          <cell r="B376">
            <v>45016.27858083442</v>
          </cell>
        </row>
        <row r="377">
          <cell r="B377">
            <v>45373.569210974987</v>
          </cell>
        </row>
        <row r="378">
          <cell r="B378">
            <v>47103.061194532856</v>
          </cell>
        </row>
        <row r="379">
          <cell r="B379">
            <v>42962.28020178953</v>
          </cell>
        </row>
        <row r="380">
          <cell r="B380">
            <v>44057.251469276824</v>
          </cell>
        </row>
        <row r="381">
          <cell r="B381">
            <v>44131.507092665364</v>
          </cell>
        </row>
        <row r="382">
          <cell r="B382">
            <v>43969.455809155748</v>
          </cell>
        </row>
        <row r="383">
          <cell r="B383">
            <v>44445.365012327486</v>
          </cell>
        </row>
        <row r="384">
          <cell r="B384">
            <v>43493.998440930467</v>
          </cell>
        </row>
        <row r="385">
          <cell r="B385">
            <v>44388.433449701653</v>
          </cell>
        </row>
        <row r="386">
          <cell r="B386">
            <v>44691.422559776198</v>
          </cell>
        </row>
        <row r="387">
          <cell r="B387">
            <v>47944.778384880403</v>
          </cell>
        </row>
        <row r="388">
          <cell r="B388">
            <v>42201.783094274433</v>
          </cell>
        </row>
        <row r="389">
          <cell r="B389">
            <v>44133.979965173487</v>
          </cell>
        </row>
        <row r="390">
          <cell r="B390">
            <v>40718.917134658885</v>
          </cell>
        </row>
        <row r="391">
          <cell r="B391">
            <v>44008.971180447821</v>
          </cell>
        </row>
        <row r="392">
          <cell r="B392">
            <v>46104.453824813601</v>
          </cell>
        </row>
        <row r="393">
          <cell r="B393">
            <v>44954.040444272316</v>
          </cell>
        </row>
        <row r="394">
          <cell r="B394">
            <v>43984.107857960124</v>
          </cell>
        </row>
        <row r="395">
          <cell r="B395">
            <v>45382.82706345203</v>
          </cell>
        </row>
        <row r="396">
          <cell r="B396">
            <v>42729.688056856241</v>
          </cell>
        </row>
        <row r="397">
          <cell r="B397">
            <v>43429.118846181271</v>
          </cell>
        </row>
        <row r="398">
          <cell r="B398">
            <v>45449.158476365366</v>
          </cell>
        </row>
        <row r="399">
          <cell r="B399">
            <v>43319.313663237001</v>
          </cell>
        </row>
        <row r="400">
          <cell r="B400">
            <v>45678.536821762144</v>
          </cell>
        </row>
        <row r="401">
          <cell r="B401">
            <v>44277.970260896262</v>
          </cell>
        </row>
        <row r="402">
          <cell r="B402">
            <v>44551.038751797867</v>
          </cell>
        </row>
        <row r="403">
          <cell r="B403">
            <v>43548.251660797752</v>
          </cell>
        </row>
        <row r="404">
          <cell r="B404">
            <v>44259.042203882396</v>
          </cell>
        </row>
        <row r="405">
          <cell r="B405">
            <v>43877.050469948823</v>
          </cell>
        </row>
        <row r="406">
          <cell r="B406">
            <v>43622.941666575643</v>
          </cell>
        </row>
        <row r="407">
          <cell r="B407">
            <v>44536.408804272498</v>
          </cell>
        </row>
        <row r="408">
          <cell r="B408">
            <v>44624.25686681956</v>
          </cell>
        </row>
        <row r="409">
          <cell r="B409">
            <v>46588.02427485973</v>
          </cell>
        </row>
        <row r="410">
          <cell r="B410">
            <v>43034.485431358975</v>
          </cell>
        </row>
        <row r="411">
          <cell r="B411">
            <v>44140.12948555778</v>
          </cell>
        </row>
        <row r="412">
          <cell r="B412">
            <v>41696.536753767316</v>
          </cell>
        </row>
        <row r="413">
          <cell r="B413">
            <v>45456.242191856945</v>
          </cell>
        </row>
        <row r="414">
          <cell r="B414">
            <v>43566.351074783386</v>
          </cell>
        </row>
        <row r="415">
          <cell r="B415">
            <v>45887.026957890121</v>
          </cell>
        </row>
        <row r="416">
          <cell r="B416">
            <v>41787.987310566881</v>
          </cell>
        </row>
        <row r="417">
          <cell r="B417">
            <v>46760.600780182103</v>
          </cell>
        </row>
        <row r="418">
          <cell r="B418">
            <v>41557.156982140281</v>
          </cell>
        </row>
        <row r="419">
          <cell r="B419">
            <v>44811.588702266075</v>
          </cell>
        </row>
        <row r="420">
          <cell r="B420">
            <v>43928.002727125844</v>
          </cell>
        </row>
        <row r="421">
          <cell r="B421">
            <v>45166.359754459321</v>
          </cell>
        </row>
        <row r="422">
          <cell r="B422">
            <v>44642.255750446449</v>
          </cell>
        </row>
        <row r="423">
          <cell r="B423">
            <v>44782.845265797048</v>
          </cell>
        </row>
        <row r="424">
          <cell r="B424">
            <v>43641.410612753833</v>
          </cell>
        </row>
        <row r="425">
          <cell r="B425">
            <v>42742.539721989247</v>
          </cell>
        </row>
        <row r="426">
          <cell r="B426">
            <v>42790.1493429693</v>
          </cell>
        </row>
        <row r="427">
          <cell r="B427">
            <v>42346.605262715573</v>
          </cell>
        </row>
        <row r="428">
          <cell r="B428">
            <v>42013.72294571744</v>
          </cell>
        </row>
        <row r="429">
          <cell r="B429">
            <v>42044.135140336533</v>
          </cell>
        </row>
        <row r="430">
          <cell r="B430">
            <v>43741.335069676563</v>
          </cell>
        </row>
        <row r="431">
          <cell r="B431">
            <v>42845.969368066209</v>
          </cell>
        </row>
        <row r="432">
          <cell r="B432">
            <v>46294.146502053234</v>
          </cell>
        </row>
        <row r="433">
          <cell r="B433">
            <v>43163.27055427491</v>
          </cell>
        </row>
        <row r="434">
          <cell r="B434">
            <v>45756.100437862973</v>
          </cell>
        </row>
        <row r="435">
          <cell r="B435">
            <v>41060.550925760785</v>
          </cell>
        </row>
        <row r="436">
          <cell r="B436">
            <v>44721.799604045882</v>
          </cell>
        </row>
        <row r="437">
          <cell r="B437">
            <v>43542.944997914208</v>
          </cell>
        </row>
        <row r="438">
          <cell r="B438">
            <v>42302.047643729013</v>
          </cell>
        </row>
        <row r="439">
          <cell r="B439">
            <v>43011.408291972039</v>
          </cell>
        </row>
        <row r="440">
          <cell r="B440">
            <v>42565.48897660814</v>
          </cell>
        </row>
        <row r="441">
          <cell r="B441">
            <v>43766.995870096427</v>
          </cell>
        </row>
        <row r="442">
          <cell r="B442">
            <v>44895.611186518247</v>
          </cell>
        </row>
        <row r="443">
          <cell r="B443">
            <v>42383.806143150825</v>
          </cell>
        </row>
        <row r="444">
          <cell r="B444">
            <v>43389.335725160628</v>
          </cell>
        </row>
        <row r="445">
          <cell r="B445">
            <v>45731.696181082923</v>
          </cell>
        </row>
        <row r="446">
          <cell r="B446">
            <v>45215.858241934642</v>
          </cell>
        </row>
        <row r="447">
          <cell r="B447">
            <v>46725.350356096751</v>
          </cell>
        </row>
        <row r="448">
          <cell r="B448">
            <v>43708.332719834521</v>
          </cell>
        </row>
        <row r="449">
          <cell r="B449">
            <v>45079.006216178961</v>
          </cell>
        </row>
        <row r="450">
          <cell r="B450">
            <v>45376.323004928519</v>
          </cell>
        </row>
        <row r="451">
          <cell r="B451">
            <v>42693.466998393327</v>
          </cell>
        </row>
        <row r="452">
          <cell r="B452">
            <v>43217.919810947118</v>
          </cell>
        </row>
        <row r="453">
          <cell r="B453">
            <v>43107.442693308396</v>
          </cell>
        </row>
        <row r="454">
          <cell r="B454">
            <v>43241.524961004216</v>
          </cell>
        </row>
        <row r="455">
          <cell r="B455">
            <v>43133.173531014523</v>
          </cell>
        </row>
        <row r="456">
          <cell r="B456">
            <v>45412.102195822845</v>
          </cell>
        </row>
        <row r="457">
          <cell r="B457">
            <v>42615.72464423826</v>
          </cell>
        </row>
        <row r="458">
          <cell r="B458">
            <v>46516.487011488724</v>
          </cell>
        </row>
        <row r="459">
          <cell r="B459">
            <v>44129.021010878751</v>
          </cell>
        </row>
        <row r="460">
          <cell r="B460">
            <v>41987.892659974568</v>
          </cell>
        </row>
        <row r="461">
          <cell r="B461">
            <v>44824.713257935859</v>
          </cell>
        </row>
        <row r="462">
          <cell r="B462">
            <v>44172.213946123054</v>
          </cell>
        </row>
        <row r="463">
          <cell r="B463">
            <v>45581.29595377075</v>
          </cell>
        </row>
        <row r="464">
          <cell r="B464">
            <v>43014.679868672181</v>
          </cell>
        </row>
        <row r="465">
          <cell r="B465">
            <v>43177.938521838689</v>
          </cell>
        </row>
        <row r="466">
          <cell r="B466">
            <v>43299.783823509264</v>
          </cell>
        </row>
        <row r="467">
          <cell r="B467">
            <v>45020.949816394568</v>
          </cell>
        </row>
        <row r="468">
          <cell r="B468">
            <v>44091.342405250572</v>
          </cell>
        </row>
        <row r="469">
          <cell r="B469">
            <v>43345.238927791499</v>
          </cell>
        </row>
        <row r="470">
          <cell r="B470">
            <v>46286.950119032183</v>
          </cell>
        </row>
        <row r="471">
          <cell r="B471">
            <v>42105.888116999493</v>
          </cell>
        </row>
        <row r="472">
          <cell r="B472">
            <v>45831.414603781588</v>
          </cell>
        </row>
        <row r="473">
          <cell r="B473">
            <v>44513.886076644725</v>
          </cell>
        </row>
        <row r="474">
          <cell r="B474">
            <v>43217.310706833297</v>
          </cell>
        </row>
        <row r="475">
          <cell r="B475">
            <v>43257.28401351755</v>
          </cell>
        </row>
        <row r="476">
          <cell r="B476">
            <v>44508.762539762341</v>
          </cell>
        </row>
        <row r="477">
          <cell r="B477">
            <v>43166.744660744094</v>
          </cell>
        </row>
        <row r="478">
          <cell r="B478">
            <v>45660.900657767103</v>
          </cell>
        </row>
        <row r="479">
          <cell r="B479">
            <v>42862.710905109911</v>
          </cell>
        </row>
        <row r="480">
          <cell r="B480">
            <v>45858.410201980958</v>
          </cell>
        </row>
        <row r="481">
          <cell r="B481">
            <v>42647.604024523127</v>
          </cell>
        </row>
        <row r="482">
          <cell r="B482">
            <v>43657.220398144658</v>
          </cell>
        </row>
        <row r="483">
          <cell r="B483">
            <v>45660.774736652282</v>
          </cell>
        </row>
        <row r="484">
          <cell r="B484">
            <v>42031.177915175154</v>
          </cell>
        </row>
        <row r="485">
          <cell r="B485">
            <v>42680.615843865191</v>
          </cell>
        </row>
        <row r="486">
          <cell r="B486">
            <v>43600.080508234983</v>
          </cell>
        </row>
        <row r="487">
          <cell r="B487">
            <v>44260.309134531242</v>
          </cell>
        </row>
        <row r="488">
          <cell r="B488">
            <v>44450.30904354329</v>
          </cell>
        </row>
        <row r="489">
          <cell r="B489">
            <v>47461.78528682109</v>
          </cell>
        </row>
        <row r="490">
          <cell r="B490">
            <v>44768.761761352362</v>
          </cell>
        </row>
        <row r="491">
          <cell r="B491">
            <v>45575.110572523758</v>
          </cell>
        </row>
        <row r="492">
          <cell r="B492">
            <v>43404.078607059229</v>
          </cell>
        </row>
        <row r="493">
          <cell r="B493">
            <v>42000.201588519638</v>
          </cell>
        </row>
        <row r="494">
          <cell r="B494">
            <v>43168.6746902265</v>
          </cell>
        </row>
        <row r="495">
          <cell r="B495">
            <v>45220.458449197497</v>
          </cell>
        </row>
        <row r="496">
          <cell r="B496">
            <v>45706.180769211787</v>
          </cell>
        </row>
        <row r="497">
          <cell r="B497">
            <v>44702.911003363108</v>
          </cell>
        </row>
        <row r="498">
          <cell r="B498">
            <v>45112.864799452349</v>
          </cell>
        </row>
        <row r="499">
          <cell r="B499">
            <v>43905.646060690633</v>
          </cell>
        </row>
        <row r="500">
          <cell r="B500">
            <v>44501.949363827989</v>
          </cell>
        </row>
        <row r="501">
          <cell r="B501">
            <v>45419.484070004983</v>
          </cell>
        </row>
        <row r="502">
          <cell r="B502">
            <v>43524.304180113337</v>
          </cell>
        </row>
        <row r="503">
          <cell r="B503">
            <v>41626.134710776161</v>
          </cell>
        </row>
        <row r="504">
          <cell r="B504">
            <v>44086.912370593687</v>
          </cell>
        </row>
        <row r="505">
          <cell r="B505">
            <v>43913.254338956824</v>
          </cell>
        </row>
        <row r="506">
          <cell r="B506">
            <v>44440.047130527397</v>
          </cell>
        </row>
        <row r="507">
          <cell r="B507">
            <v>45084.393800272934</v>
          </cell>
        </row>
        <row r="508">
          <cell r="B508">
            <v>45467.869121733325</v>
          </cell>
        </row>
        <row r="509">
          <cell r="B509">
            <v>42024.212369118584</v>
          </cell>
        </row>
        <row r="510">
          <cell r="B510">
            <v>43922.512823600249</v>
          </cell>
        </row>
        <row r="511">
          <cell r="B511">
            <v>42547.583173945539</v>
          </cell>
        </row>
        <row r="512">
          <cell r="B512">
            <v>44598.502692974456</v>
          </cell>
        </row>
        <row r="513">
          <cell r="B513">
            <v>43384.750853201404</v>
          </cell>
        </row>
        <row r="514">
          <cell r="B514">
            <v>43049.154620389512</v>
          </cell>
        </row>
        <row r="515">
          <cell r="B515">
            <v>46089.236142243877</v>
          </cell>
        </row>
        <row r="516">
          <cell r="B516">
            <v>47016.579944383673</v>
          </cell>
        </row>
        <row r="517">
          <cell r="B517">
            <v>43768.506684087632</v>
          </cell>
        </row>
        <row r="518">
          <cell r="B518">
            <v>44745.373895314755</v>
          </cell>
        </row>
        <row r="519">
          <cell r="B519">
            <v>45054.844645848469</v>
          </cell>
        </row>
        <row r="520">
          <cell r="B520">
            <v>43011.901697581299</v>
          </cell>
        </row>
        <row r="521">
          <cell r="B521">
            <v>43162.545106191756</v>
          </cell>
        </row>
        <row r="522">
          <cell r="B522">
            <v>43423.219339119096</v>
          </cell>
        </row>
        <row r="523">
          <cell r="B523">
            <v>46443.053144765778</v>
          </cell>
        </row>
        <row r="524">
          <cell r="B524">
            <v>44985.711751773233</v>
          </cell>
        </row>
        <row r="525">
          <cell r="B525">
            <v>44782.336053172367</v>
          </cell>
        </row>
        <row r="526">
          <cell r="B526">
            <v>43932.130771970697</v>
          </cell>
        </row>
        <row r="527">
          <cell r="B527">
            <v>44682.214083614082</v>
          </cell>
        </row>
        <row r="528">
          <cell r="B528">
            <v>42239.411494099004</v>
          </cell>
        </row>
        <row r="529">
          <cell r="B529">
            <v>46288.067002021642</v>
          </cell>
        </row>
        <row r="530">
          <cell r="B530">
            <v>44247.802437926999</v>
          </cell>
        </row>
        <row r="531">
          <cell r="B531">
            <v>44996.342136890606</v>
          </cell>
        </row>
        <row r="532">
          <cell r="B532">
            <v>42989.971356259281</v>
          </cell>
        </row>
        <row r="533">
          <cell r="B533">
            <v>39532.791480331587</v>
          </cell>
        </row>
        <row r="534">
          <cell r="B534">
            <v>44897.625770795865</v>
          </cell>
        </row>
        <row r="535">
          <cell r="B535">
            <v>42782.081712573985</v>
          </cell>
        </row>
        <row r="536">
          <cell r="B536">
            <v>45647.671388969444</v>
          </cell>
        </row>
        <row r="537">
          <cell r="B537">
            <v>44001.77821503739</v>
          </cell>
        </row>
        <row r="538">
          <cell r="B538">
            <v>41857.396596144172</v>
          </cell>
        </row>
        <row r="539">
          <cell r="B539">
            <v>45105.117924055805</v>
          </cell>
        </row>
        <row r="540">
          <cell r="B540">
            <v>46462.973972487962</v>
          </cell>
        </row>
        <row r="541">
          <cell r="B541">
            <v>42712.722480709337</v>
          </cell>
        </row>
        <row r="542">
          <cell r="B542">
            <v>45304.871673048008</v>
          </cell>
        </row>
        <row r="543">
          <cell r="B543">
            <v>44277.15063442399</v>
          </cell>
        </row>
        <row r="544">
          <cell r="B544">
            <v>43665.981453817141</v>
          </cell>
        </row>
        <row r="545">
          <cell r="B545">
            <v>41428.104687920961</v>
          </cell>
        </row>
        <row r="546">
          <cell r="B546">
            <v>44000.758764073973</v>
          </cell>
        </row>
        <row r="547">
          <cell r="B547">
            <v>45304.444492313072</v>
          </cell>
        </row>
        <row r="548">
          <cell r="B548">
            <v>45382.32669501075</v>
          </cell>
        </row>
        <row r="549">
          <cell r="B549">
            <v>43695.59707136314</v>
          </cell>
        </row>
        <row r="550">
          <cell r="B550">
            <v>43990.541289805216</v>
          </cell>
        </row>
        <row r="551">
          <cell r="B551">
            <v>43825.317587171143</v>
          </cell>
        </row>
        <row r="552">
          <cell r="B552">
            <v>45954.625920426573</v>
          </cell>
        </row>
        <row r="553">
          <cell r="B553">
            <v>42824.018253742499</v>
          </cell>
        </row>
        <row r="554">
          <cell r="B554">
            <v>42243.37833204044</v>
          </cell>
        </row>
        <row r="555">
          <cell r="B555">
            <v>45725.589516890781</v>
          </cell>
        </row>
        <row r="556">
          <cell r="B556">
            <v>45982.375117802658</v>
          </cell>
        </row>
        <row r="557">
          <cell r="B557">
            <v>45180.814694373781</v>
          </cell>
        </row>
        <row r="558">
          <cell r="B558">
            <v>43696.218716539297</v>
          </cell>
        </row>
        <row r="559">
          <cell r="B559">
            <v>43844.238057547009</v>
          </cell>
        </row>
        <row r="560">
          <cell r="B560">
            <v>44273.090622053947</v>
          </cell>
        </row>
        <row r="561">
          <cell r="B561">
            <v>44234.042971292052</v>
          </cell>
        </row>
        <row r="562">
          <cell r="B562">
            <v>43703.602351316455</v>
          </cell>
        </row>
        <row r="563">
          <cell r="B563">
            <v>41468.612028507465</v>
          </cell>
        </row>
        <row r="564">
          <cell r="B564">
            <v>47150.961002553726</v>
          </cell>
        </row>
        <row r="565">
          <cell r="B565">
            <v>44361.559854623825</v>
          </cell>
        </row>
        <row r="566">
          <cell r="B566">
            <v>42996.790120274134</v>
          </cell>
        </row>
        <row r="567">
          <cell r="B567">
            <v>43457.402112000418</v>
          </cell>
        </row>
        <row r="568">
          <cell r="B568">
            <v>44902.532061879945</v>
          </cell>
        </row>
        <row r="569">
          <cell r="B569">
            <v>43434.840170475705</v>
          </cell>
        </row>
        <row r="570">
          <cell r="B570">
            <v>40946.333970848675</v>
          </cell>
        </row>
        <row r="571">
          <cell r="B571">
            <v>40986.825809668029</v>
          </cell>
        </row>
        <row r="572">
          <cell r="B572">
            <v>46101.44711467997</v>
          </cell>
        </row>
        <row r="573">
          <cell r="B573">
            <v>42840.847893902384</v>
          </cell>
        </row>
        <row r="574">
          <cell r="B574">
            <v>42489.900568512043</v>
          </cell>
        </row>
        <row r="575">
          <cell r="B575">
            <v>44134.455529841107</v>
          </cell>
        </row>
        <row r="576">
          <cell r="B576">
            <v>41888.93943017727</v>
          </cell>
        </row>
        <row r="577">
          <cell r="B577">
            <v>46418.21183052686</v>
          </cell>
        </row>
        <row r="578">
          <cell r="B578">
            <v>44900.62220570699</v>
          </cell>
        </row>
        <row r="579">
          <cell r="B579">
            <v>43977.170980296105</v>
          </cell>
        </row>
        <row r="580">
          <cell r="B580">
            <v>45602.476116178863</v>
          </cell>
        </row>
        <row r="581">
          <cell r="B581">
            <v>44813.85184307216</v>
          </cell>
        </row>
        <row r="582">
          <cell r="B582">
            <v>40275.377983755272</v>
          </cell>
        </row>
        <row r="583">
          <cell r="B583">
            <v>45752.123252193502</v>
          </cell>
        </row>
        <row r="584">
          <cell r="B584">
            <v>45082.907143376455</v>
          </cell>
        </row>
        <row r="585">
          <cell r="B585">
            <v>44961.853898421199</v>
          </cell>
        </row>
        <row r="586">
          <cell r="B586">
            <v>46526.69273967082</v>
          </cell>
        </row>
        <row r="587">
          <cell r="B587">
            <v>46076.747779365644</v>
          </cell>
        </row>
        <row r="588">
          <cell r="B588">
            <v>41424.287489774841</v>
          </cell>
        </row>
        <row r="589">
          <cell r="B589">
            <v>40765.619684695332</v>
          </cell>
        </row>
        <row r="590">
          <cell r="B590">
            <v>43489.257585768537</v>
          </cell>
        </row>
        <row r="591">
          <cell r="B591">
            <v>43884.931487722286</v>
          </cell>
        </row>
        <row r="592">
          <cell r="B592">
            <v>41849.147060647221</v>
          </cell>
        </row>
        <row r="593">
          <cell r="B593">
            <v>47503.239977154801</v>
          </cell>
        </row>
        <row r="594">
          <cell r="B594">
            <v>44507.587579590101</v>
          </cell>
        </row>
        <row r="595">
          <cell r="B595">
            <v>41263.628341405005</v>
          </cell>
        </row>
        <row r="596">
          <cell r="B596">
            <v>44205.684407775123</v>
          </cell>
        </row>
        <row r="597">
          <cell r="B597">
            <v>43637.396491089261</v>
          </cell>
        </row>
        <row r="598">
          <cell r="B598">
            <v>43010.073648171048</v>
          </cell>
        </row>
        <row r="599">
          <cell r="B599">
            <v>43217.590418870968</v>
          </cell>
        </row>
        <row r="600">
          <cell r="B600">
            <v>42316.767092773167</v>
          </cell>
        </row>
        <row r="601">
          <cell r="B601">
            <v>46575.834730955597</v>
          </cell>
        </row>
        <row r="602">
          <cell r="B602">
            <v>43535.738692095343</v>
          </cell>
        </row>
        <row r="603">
          <cell r="B603">
            <v>44760.299226946634</v>
          </cell>
        </row>
        <row r="604">
          <cell r="B604">
            <v>44558.853556867238</v>
          </cell>
        </row>
        <row r="605">
          <cell r="B605">
            <v>43704.97792637752</v>
          </cell>
        </row>
        <row r="606">
          <cell r="B606">
            <v>43046.328922356079</v>
          </cell>
        </row>
        <row r="607">
          <cell r="B607">
            <v>42156.194021814779</v>
          </cell>
        </row>
        <row r="608">
          <cell r="B608">
            <v>40901.177079356909</v>
          </cell>
        </row>
        <row r="609">
          <cell r="B609">
            <v>43589.941586596338</v>
          </cell>
        </row>
        <row r="610">
          <cell r="B610">
            <v>44056.931672452891</v>
          </cell>
        </row>
        <row r="611">
          <cell r="B611">
            <v>42903.765738849666</v>
          </cell>
        </row>
        <row r="612">
          <cell r="B612">
            <v>45748.340427324118</v>
          </cell>
        </row>
        <row r="613">
          <cell r="B613">
            <v>42710.329360096461</v>
          </cell>
        </row>
        <row r="614">
          <cell r="B614">
            <v>45070.108911169249</v>
          </cell>
        </row>
        <row r="615">
          <cell r="B615">
            <v>42199.108540238456</v>
          </cell>
        </row>
        <row r="616">
          <cell r="B616">
            <v>43901.167925917136</v>
          </cell>
        </row>
        <row r="617">
          <cell r="B617">
            <v>43729.248689228807</v>
          </cell>
        </row>
        <row r="618">
          <cell r="B618">
            <v>43027.688182550235</v>
          </cell>
        </row>
        <row r="619">
          <cell r="B619">
            <v>41274.566847076283</v>
          </cell>
        </row>
        <row r="620">
          <cell r="B620">
            <v>41589.754417721284</v>
          </cell>
        </row>
        <row r="621">
          <cell r="B621">
            <v>42286.985805224896</v>
          </cell>
        </row>
        <row r="622">
          <cell r="B622">
            <v>44343.532733755157</v>
          </cell>
        </row>
        <row r="623">
          <cell r="B623">
            <v>44601.313355598213</v>
          </cell>
        </row>
        <row r="624">
          <cell r="B624">
            <v>44486.879247545228</v>
          </cell>
        </row>
        <row r="625">
          <cell r="B625">
            <v>44708.189868108893</v>
          </cell>
        </row>
        <row r="626">
          <cell r="B626">
            <v>43018.788682646533</v>
          </cell>
        </row>
        <row r="627">
          <cell r="B627">
            <v>45278.907398052383</v>
          </cell>
        </row>
        <row r="628">
          <cell r="B628">
            <v>43608.370813618807</v>
          </cell>
        </row>
        <row r="629">
          <cell r="B629">
            <v>41453.821418185951</v>
          </cell>
        </row>
        <row r="630">
          <cell r="B630">
            <v>43870.375758116956</v>
          </cell>
        </row>
        <row r="631">
          <cell r="B631">
            <v>41822.570946358726</v>
          </cell>
        </row>
        <row r="632">
          <cell r="B632">
            <v>43351.386620350626</v>
          </cell>
        </row>
        <row r="633">
          <cell r="B633">
            <v>44297.794669697767</v>
          </cell>
        </row>
        <row r="634">
          <cell r="B634">
            <v>42027.10999796979</v>
          </cell>
        </row>
        <row r="635">
          <cell r="B635">
            <v>44163.894641524217</v>
          </cell>
        </row>
        <row r="636">
          <cell r="B636">
            <v>43126.700615390313</v>
          </cell>
        </row>
        <row r="637">
          <cell r="B637">
            <v>44984.397967462093</v>
          </cell>
        </row>
        <row r="638">
          <cell r="B638">
            <v>43917.786564519665</v>
          </cell>
        </row>
        <row r="639">
          <cell r="B639">
            <v>41956.261719234142</v>
          </cell>
        </row>
        <row r="640">
          <cell r="B640">
            <v>46442.37835500134</v>
          </cell>
        </row>
        <row r="641">
          <cell r="B641">
            <v>44418.522014072281</v>
          </cell>
        </row>
        <row r="642">
          <cell r="B642">
            <v>44779.41424799362</v>
          </cell>
        </row>
        <row r="643">
          <cell r="B643">
            <v>46796.464857100407</v>
          </cell>
        </row>
        <row r="644">
          <cell r="B644">
            <v>44988.360386920001</v>
          </cell>
        </row>
        <row r="645">
          <cell r="B645">
            <v>42121.47456994871</v>
          </cell>
        </row>
        <row r="646">
          <cell r="B646">
            <v>41455.960844359397</v>
          </cell>
        </row>
        <row r="647">
          <cell r="B647">
            <v>42980.598420026952</v>
          </cell>
        </row>
        <row r="648">
          <cell r="B648">
            <v>40011.359000210912</v>
          </cell>
        </row>
        <row r="649">
          <cell r="B649">
            <v>43690.828720685342</v>
          </cell>
        </row>
        <row r="650">
          <cell r="B650">
            <v>43052.263076534313</v>
          </cell>
        </row>
        <row r="651">
          <cell r="B651">
            <v>40930.647485091387</v>
          </cell>
        </row>
        <row r="652">
          <cell r="B652">
            <v>45078.815206982028</v>
          </cell>
        </row>
        <row r="653">
          <cell r="B653">
            <v>44053.444680243207</v>
          </cell>
        </row>
        <row r="654">
          <cell r="B654">
            <v>44722.017683161932</v>
          </cell>
        </row>
        <row r="655">
          <cell r="B655">
            <v>42931.401135049513</v>
          </cell>
        </row>
        <row r="656">
          <cell r="B656">
            <v>45620.266326995908</v>
          </cell>
        </row>
        <row r="657">
          <cell r="B657">
            <v>43069.192870155581</v>
          </cell>
        </row>
        <row r="658">
          <cell r="B658">
            <v>44987.210463063609</v>
          </cell>
        </row>
        <row r="659">
          <cell r="B659">
            <v>43711.8271596411</v>
          </cell>
        </row>
        <row r="660">
          <cell r="B660">
            <v>44444.275891632074</v>
          </cell>
        </row>
        <row r="661">
          <cell r="B661">
            <v>44454.313721696279</v>
          </cell>
        </row>
        <row r="662">
          <cell r="B662">
            <v>44342.872349794503</v>
          </cell>
        </row>
        <row r="663">
          <cell r="B663">
            <v>42113.105565220154</v>
          </cell>
        </row>
        <row r="664">
          <cell r="B664">
            <v>42707.348073681271</v>
          </cell>
        </row>
        <row r="665">
          <cell r="B665">
            <v>43213.4991512653</v>
          </cell>
        </row>
        <row r="666">
          <cell r="B666">
            <v>43163.021022538313</v>
          </cell>
        </row>
        <row r="667">
          <cell r="B667">
            <v>43562.236093653992</v>
          </cell>
        </row>
        <row r="668">
          <cell r="B668">
            <v>45881.730856783463</v>
          </cell>
        </row>
        <row r="669">
          <cell r="B669">
            <v>42896.158717234881</v>
          </cell>
        </row>
        <row r="670">
          <cell r="B670">
            <v>44586.360330519055</v>
          </cell>
        </row>
        <row r="671">
          <cell r="B671">
            <v>41427.297623528459</v>
          </cell>
        </row>
        <row r="672">
          <cell r="B672">
            <v>44536.826688870002</v>
          </cell>
        </row>
        <row r="673">
          <cell r="B673">
            <v>45822.500816708547</v>
          </cell>
        </row>
        <row r="674">
          <cell r="B674">
            <v>45123.714224237541</v>
          </cell>
        </row>
        <row r="675">
          <cell r="B675">
            <v>45764.464968779677</v>
          </cell>
        </row>
        <row r="676">
          <cell r="B676">
            <v>43081.919487309911</v>
          </cell>
        </row>
        <row r="677">
          <cell r="B677">
            <v>44422.094726320393</v>
          </cell>
        </row>
        <row r="678">
          <cell r="B678">
            <v>42509.276624010869</v>
          </cell>
        </row>
        <row r="679">
          <cell r="B679">
            <v>44134.933350931009</v>
          </cell>
        </row>
        <row r="680">
          <cell r="B680">
            <v>46151.68171621392</v>
          </cell>
        </row>
        <row r="681">
          <cell r="B681">
            <v>42307.951669748072</v>
          </cell>
        </row>
        <row r="682">
          <cell r="B682">
            <v>47123.52152902502</v>
          </cell>
        </row>
        <row r="683">
          <cell r="B683">
            <v>44167.995564521632</v>
          </cell>
        </row>
        <row r="684">
          <cell r="B684">
            <v>43203.236070729195</v>
          </cell>
        </row>
        <row r="685">
          <cell r="B685">
            <v>43255.369344231047</v>
          </cell>
        </row>
        <row r="686">
          <cell r="B686">
            <v>45328.675837430004</v>
          </cell>
        </row>
        <row r="687">
          <cell r="B687">
            <v>42381.723884046842</v>
          </cell>
        </row>
        <row r="688">
          <cell r="B688">
            <v>45303.720725453408</v>
          </cell>
        </row>
        <row r="689">
          <cell r="B689">
            <v>43638.388245248134</v>
          </cell>
        </row>
        <row r="690">
          <cell r="B690">
            <v>41676.606761932402</v>
          </cell>
        </row>
        <row r="691">
          <cell r="B691">
            <v>44164.58190502358</v>
          </cell>
        </row>
        <row r="692">
          <cell r="B692">
            <v>43555.991320980385</v>
          </cell>
        </row>
        <row r="693">
          <cell r="B693">
            <v>43122.661289523516</v>
          </cell>
        </row>
        <row r="694">
          <cell r="B694">
            <v>46235.390745140307</v>
          </cell>
        </row>
        <row r="695">
          <cell r="B695">
            <v>42887.641436751634</v>
          </cell>
        </row>
        <row r="696">
          <cell r="B696">
            <v>43980.665948128255</v>
          </cell>
        </row>
        <row r="697">
          <cell r="B697">
            <v>43259.432692342649</v>
          </cell>
        </row>
        <row r="698">
          <cell r="B698">
            <v>45129.011621814505</v>
          </cell>
        </row>
        <row r="699">
          <cell r="B699">
            <v>45315.534992865367</v>
          </cell>
        </row>
        <row r="700">
          <cell r="B700">
            <v>45061.320261769113</v>
          </cell>
        </row>
        <row r="701">
          <cell r="B701">
            <v>45466.338651586659</v>
          </cell>
        </row>
        <row r="702">
          <cell r="B702">
            <v>43672.783636037151</v>
          </cell>
        </row>
        <row r="703">
          <cell r="B703">
            <v>44396.760733537005</v>
          </cell>
        </row>
        <row r="704">
          <cell r="B704">
            <v>44239.591142697194</v>
          </cell>
        </row>
        <row r="705">
          <cell r="B705">
            <v>44152.467729000193</v>
          </cell>
        </row>
        <row r="706">
          <cell r="B706">
            <v>45064.323521872044</v>
          </cell>
        </row>
        <row r="707">
          <cell r="B707">
            <v>45511.025840547984</v>
          </cell>
        </row>
        <row r="708">
          <cell r="B708">
            <v>42534.511028671317</v>
          </cell>
        </row>
        <row r="709">
          <cell r="B709">
            <v>43650.192550988897</v>
          </cell>
        </row>
        <row r="710">
          <cell r="B710">
            <v>46122.727145058103</v>
          </cell>
        </row>
        <row r="711">
          <cell r="B711">
            <v>45139.901187867239</v>
          </cell>
        </row>
        <row r="712">
          <cell r="B712">
            <v>46989.698507150461</v>
          </cell>
        </row>
        <row r="713">
          <cell r="B713">
            <v>44033.691326199652</v>
          </cell>
        </row>
        <row r="714">
          <cell r="B714">
            <v>45467.81297491023</v>
          </cell>
        </row>
        <row r="715">
          <cell r="B715">
            <v>45240.987290390694</v>
          </cell>
        </row>
        <row r="716">
          <cell r="B716">
            <v>42718.18448530219</v>
          </cell>
        </row>
        <row r="717">
          <cell r="B717">
            <v>44798.980943498114</v>
          </cell>
        </row>
        <row r="718">
          <cell r="B718">
            <v>43436.032089066422</v>
          </cell>
        </row>
        <row r="719">
          <cell r="B719">
            <v>41695.154983712848</v>
          </cell>
        </row>
        <row r="720">
          <cell r="B720">
            <v>42770.170886804255</v>
          </cell>
        </row>
        <row r="721">
          <cell r="B721">
            <v>44584.570229381628</v>
          </cell>
        </row>
        <row r="722">
          <cell r="B722">
            <v>43177.193385173217</v>
          </cell>
        </row>
        <row r="723">
          <cell r="B723">
            <v>44631.811702651648</v>
          </cell>
        </row>
        <row r="724">
          <cell r="B724">
            <v>45356.673780029909</v>
          </cell>
        </row>
        <row r="725">
          <cell r="B725">
            <v>43445.240304455336</v>
          </cell>
        </row>
        <row r="726">
          <cell r="B726">
            <v>46221.26455216045</v>
          </cell>
        </row>
        <row r="727">
          <cell r="B727">
            <v>39300.528558983118</v>
          </cell>
        </row>
        <row r="728">
          <cell r="B728">
            <v>42923.42571897171</v>
          </cell>
        </row>
        <row r="729">
          <cell r="B729">
            <v>44334.25083108907</v>
          </cell>
        </row>
        <row r="730">
          <cell r="B730">
            <v>43358.408407880175</v>
          </cell>
        </row>
        <row r="731">
          <cell r="B731">
            <v>44582.737397457364</v>
          </cell>
        </row>
        <row r="732">
          <cell r="B732">
            <v>44748.233766004319</v>
          </cell>
        </row>
        <row r="733">
          <cell r="B733">
            <v>42130.349866695731</v>
          </cell>
        </row>
        <row r="734">
          <cell r="B734">
            <v>42348.366764752689</v>
          </cell>
        </row>
        <row r="735">
          <cell r="B735">
            <v>43122.146203551238</v>
          </cell>
        </row>
        <row r="736">
          <cell r="B736">
            <v>44117.333823140994</v>
          </cell>
        </row>
        <row r="737">
          <cell r="B737">
            <v>44025.745017582565</v>
          </cell>
        </row>
        <row r="738">
          <cell r="B738">
            <v>43346.136844514287</v>
          </cell>
        </row>
        <row r="739">
          <cell r="B739">
            <v>42952.522809095426</v>
          </cell>
        </row>
        <row r="740">
          <cell r="B740">
            <v>44614.576696904602</v>
          </cell>
        </row>
        <row r="741">
          <cell r="B741">
            <v>45004.129071956435</v>
          </cell>
        </row>
        <row r="742">
          <cell r="B742">
            <v>45255.228035195614</v>
          </cell>
        </row>
        <row r="743">
          <cell r="B743">
            <v>43567.171765040737</v>
          </cell>
        </row>
        <row r="744">
          <cell r="B744">
            <v>44375.502423692131</v>
          </cell>
        </row>
        <row r="745">
          <cell r="B745">
            <v>46824.853959823027</v>
          </cell>
        </row>
        <row r="746">
          <cell r="B746">
            <v>41386.879890237011</v>
          </cell>
        </row>
        <row r="747">
          <cell r="B747">
            <v>42742.889991752141</v>
          </cell>
        </row>
        <row r="748">
          <cell r="B748">
            <v>44449.220201933029</v>
          </cell>
        </row>
        <row r="749">
          <cell r="B749">
            <v>45341.096158086373</v>
          </cell>
        </row>
        <row r="750">
          <cell r="B750">
            <v>43607.14448088374</v>
          </cell>
        </row>
        <row r="751">
          <cell r="B751">
            <v>45058.240081518459</v>
          </cell>
        </row>
        <row r="752">
          <cell r="B752">
            <v>42786.266871277505</v>
          </cell>
        </row>
        <row r="753">
          <cell r="B753">
            <v>42551.339627496745</v>
          </cell>
        </row>
        <row r="754">
          <cell r="B754">
            <v>45801.063981966596</v>
          </cell>
        </row>
        <row r="755">
          <cell r="B755">
            <v>44577.928511667851</v>
          </cell>
        </row>
        <row r="756">
          <cell r="B756">
            <v>42721.33399242931</v>
          </cell>
        </row>
        <row r="757">
          <cell r="B757">
            <v>44594.751174430436</v>
          </cell>
        </row>
        <row r="758">
          <cell r="B758">
            <v>43616.217042121396</v>
          </cell>
        </row>
        <row r="759">
          <cell r="B759">
            <v>43321.336781477577</v>
          </cell>
        </row>
        <row r="760">
          <cell r="B760">
            <v>45774.566292757889</v>
          </cell>
        </row>
        <row r="761">
          <cell r="B761">
            <v>45993.860429631684</v>
          </cell>
        </row>
        <row r="762">
          <cell r="B762">
            <v>41026.3877705868</v>
          </cell>
        </row>
        <row r="763">
          <cell r="B763">
            <v>44243.616318670567</v>
          </cell>
        </row>
        <row r="764">
          <cell r="B764">
            <v>42438.119298666337</v>
          </cell>
        </row>
        <row r="765">
          <cell r="B765">
            <v>45513.576723765917</v>
          </cell>
        </row>
        <row r="766">
          <cell r="B766">
            <v>45705.178841404151</v>
          </cell>
        </row>
        <row r="767">
          <cell r="B767">
            <v>43996.747773928335</v>
          </cell>
        </row>
        <row r="768">
          <cell r="B768">
            <v>41496.711446366076</v>
          </cell>
        </row>
        <row r="769">
          <cell r="B769">
            <v>41969.488660401934</v>
          </cell>
        </row>
        <row r="770">
          <cell r="B770">
            <v>46139.073781960738</v>
          </cell>
        </row>
        <row r="771">
          <cell r="B771">
            <v>43999.185776248974</v>
          </cell>
        </row>
        <row r="772">
          <cell r="B772">
            <v>45825.486882585108</v>
          </cell>
        </row>
        <row r="773">
          <cell r="B773">
            <v>43370.747324263728</v>
          </cell>
        </row>
        <row r="774">
          <cell r="B774">
            <v>44026.488935564703</v>
          </cell>
        </row>
        <row r="775">
          <cell r="B775">
            <v>42346.130752066121</v>
          </cell>
        </row>
        <row r="776">
          <cell r="B776">
            <v>44900.788990588808</v>
          </cell>
        </row>
        <row r="777">
          <cell r="B777">
            <v>44236.665474080975</v>
          </cell>
        </row>
        <row r="778">
          <cell r="B778">
            <v>44085.267762650052</v>
          </cell>
        </row>
        <row r="779">
          <cell r="B779">
            <v>42264.464683949634</v>
          </cell>
        </row>
        <row r="780">
          <cell r="B780">
            <v>43114.161018254854</v>
          </cell>
        </row>
        <row r="781">
          <cell r="B781">
            <v>47088.335669491578</v>
          </cell>
        </row>
        <row r="782">
          <cell r="B782">
            <v>43425.587152469372</v>
          </cell>
        </row>
        <row r="783">
          <cell r="B783">
            <v>42709.883661124237</v>
          </cell>
        </row>
        <row r="784">
          <cell r="B784">
            <v>44822.227204217139</v>
          </cell>
        </row>
        <row r="785">
          <cell r="B785">
            <v>46592.430797712739</v>
          </cell>
        </row>
        <row r="786">
          <cell r="B786">
            <v>41462.705335727165</v>
          </cell>
        </row>
        <row r="787">
          <cell r="B787">
            <v>44674.093100019294</v>
          </cell>
        </row>
        <row r="788">
          <cell r="B788">
            <v>47334.481336597841</v>
          </cell>
        </row>
        <row r="789">
          <cell r="B789">
            <v>42794.726425100162</v>
          </cell>
        </row>
        <row r="790">
          <cell r="B790">
            <v>43987.219749778771</v>
          </cell>
        </row>
        <row r="791">
          <cell r="B791">
            <v>46607.286775539964</v>
          </cell>
        </row>
        <row r="792">
          <cell r="B792">
            <v>43692.992781472902</v>
          </cell>
        </row>
        <row r="793">
          <cell r="B793">
            <v>44097.405632973656</v>
          </cell>
        </row>
        <row r="794">
          <cell r="B794">
            <v>44946.217107096338</v>
          </cell>
        </row>
        <row r="795">
          <cell r="B795">
            <v>43856.287194009834</v>
          </cell>
        </row>
        <row r="796">
          <cell r="B796">
            <v>43822.976351805606</v>
          </cell>
        </row>
        <row r="797">
          <cell r="B797">
            <v>44041.563472888622</v>
          </cell>
        </row>
        <row r="798">
          <cell r="B798">
            <v>46617.51683838063</v>
          </cell>
        </row>
        <row r="799">
          <cell r="B799">
            <v>42895.082089879921</v>
          </cell>
        </row>
        <row r="800">
          <cell r="B800">
            <v>44723.141888128477</v>
          </cell>
        </row>
        <row r="801">
          <cell r="B801">
            <v>45644.133283023046</v>
          </cell>
        </row>
        <row r="802">
          <cell r="B802">
            <v>42920.034559611835</v>
          </cell>
        </row>
        <row r="803">
          <cell r="B803">
            <v>45842.036105597923</v>
          </cell>
        </row>
        <row r="804">
          <cell r="B804">
            <v>43126.579454934494</v>
          </cell>
        </row>
        <row r="805">
          <cell r="B805">
            <v>42691.595952655553</v>
          </cell>
        </row>
        <row r="806">
          <cell r="B806">
            <v>40910.660897753864</v>
          </cell>
        </row>
        <row r="807">
          <cell r="B807">
            <v>41366.289776546531</v>
          </cell>
        </row>
        <row r="808">
          <cell r="B808">
            <v>44999.031635164189</v>
          </cell>
        </row>
        <row r="809">
          <cell r="B809">
            <v>43922.291692065177</v>
          </cell>
        </row>
        <row r="810">
          <cell r="B810">
            <v>45326.758118660407</v>
          </cell>
        </row>
        <row r="811">
          <cell r="B811">
            <v>42912.419268058176</v>
          </cell>
        </row>
        <row r="812">
          <cell r="B812">
            <v>42516.648790601859</v>
          </cell>
        </row>
        <row r="813">
          <cell r="B813">
            <v>44567.234465567482</v>
          </cell>
        </row>
        <row r="814">
          <cell r="B814">
            <v>44450.085330152629</v>
          </cell>
        </row>
        <row r="815">
          <cell r="B815">
            <v>44868.270348656624</v>
          </cell>
        </row>
        <row r="816">
          <cell r="B816">
            <v>39908.743876413988</v>
          </cell>
        </row>
        <row r="817">
          <cell r="B817">
            <v>44638.339564994516</v>
          </cell>
        </row>
        <row r="818">
          <cell r="B818">
            <v>43078.554200464605</v>
          </cell>
        </row>
        <row r="819">
          <cell r="B819">
            <v>44487.969867430074</v>
          </cell>
        </row>
        <row r="820">
          <cell r="B820">
            <v>42844.579270020906</v>
          </cell>
        </row>
        <row r="821">
          <cell r="B821">
            <v>41702.79622052484</v>
          </cell>
        </row>
        <row r="822">
          <cell r="B822">
            <v>45678.20265539793</v>
          </cell>
        </row>
        <row r="823">
          <cell r="B823">
            <v>43753.228674613463</v>
          </cell>
        </row>
        <row r="824">
          <cell r="B824">
            <v>42901.280417378111</v>
          </cell>
        </row>
        <row r="825">
          <cell r="B825">
            <v>42381.129486284408</v>
          </cell>
        </row>
        <row r="826">
          <cell r="B826">
            <v>43603.80711670623</v>
          </cell>
        </row>
        <row r="827">
          <cell r="B827">
            <v>40907.602387849263</v>
          </cell>
        </row>
        <row r="828">
          <cell r="B828">
            <v>43138.562555507531</v>
          </cell>
        </row>
        <row r="829">
          <cell r="B829">
            <v>44315.199388487061</v>
          </cell>
        </row>
        <row r="830">
          <cell r="B830">
            <v>45451.249727695431</v>
          </cell>
        </row>
        <row r="831">
          <cell r="B831">
            <v>41938.511333343893</v>
          </cell>
        </row>
        <row r="832">
          <cell r="B832">
            <v>44436.101267149323</v>
          </cell>
        </row>
        <row r="833">
          <cell r="B833">
            <v>44133.80322503794</v>
          </cell>
        </row>
        <row r="834">
          <cell r="B834">
            <v>44715.531545876845</v>
          </cell>
        </row>
        <row r="835">
          <cell r="B835">
            <v>46130.379126495456</v>
          </cell>
        </row>
        <row r="836">
          <cell r="B836">
            <v>42474.938673064644</v>
          </cell>
        </row>
        <row r="837">
          <cell r="B837">
            <v>46769.262498392869</v>
          </cell>
        </row>
        <row r="838">
          <cell r="B838">
            <v>44421.42485881532</v>
          </cell>
        </row>
        <row r="839">
          <cell r="B839">
            <v>42522.566016756566</v>
          </cell>
        </row>
        <row r="840">
          <cell r="B840">
            <v>42237.871920264333</v>
          </cell>
        </row>
        <row r="841">
          <cell r="B841">
            <v>42374.648285189935</v>
          </cell>
        </row>
        <row r="842">
          <cell r="B842">
            <v>41642.241331585312</v>
          </cell>
        </row>
        <row r="843">
          <cell r="B843">
            <v>44607.561053680132</v>
          </cell>
        </row>
        <row r="844">
          <cell r="B844">
            <v>43558.017321909872</v>
          </cell>
        </row>
        <row r="845">
          <cell r="B845">
            <v>43871.529210532113</v>
          </cell>
        </row>
        <row r="846">
          <cell r="B846">
            <v>42576.147561551006</v>
          </cell>
        </row>
        <row r="847">
          <cell r="B847">
            <v>42741.88127343019</v>
          </cell>
        </row>
        <row r="848">
          <cell r="B848">
            <v>44767.544376574711</v>
          </cell>
        </row>
        <row r="849">
          <cell r="B849">
            <v>44044.000025193149</v>
          </cell>
        </row>
        <row r="850">
          <cell r="B850">
            <v>41777.588084389208</v>
          </cell>
        </row>
        <row r="851">
          <cell r="B851">
            <v>45203.531269786406</v>
          </cell>
        </row>
        <row r="852">
          <cell r="B852">
            <v>42552.79609214473</v>
          </cell>
        </row>
        <row r="853">
          <cell r="B853">
            <v>44082.500851879449</v>
          </cell>
        </row>
        <row r="854">
          <cell r="B854">
            <v>44568.63821048809</v>
          </cell>
        </row>
        <row r="855">
          <cell r="B855">
            <v>42338.524146242489</v>
          </cell>
        </row>
        <row r="856">
          <cell r="B856">
            <v>45676.365217033017</v>
          </cell>
        </row>
        <row r="857">
          <cell r="B857">
            <v>46349.971992885679</v>
          </cell>
        </row>
        <row r="858">
          <cell r="B858">
            <v>44823.505562147795</v>
          </cell>
        </row>
        <row r="859">
          <cell r="B859">
            <v>43720.590053077336</v>
          </cell>
        </row>
        <row r="860">
          <cell r="B860">
            <v>41727.668554728472</v>
          </cell>
        </row>
        <row r="861">
          <cell r="B861">
            <v>43224.846543000625</v>
          </cell>
        </row>
        <row r="862">
          <cell r="B862">
            <v>44212.551238288062</v>
          </cell>
        </row>
        <row r="863">
          <cell r="B863">
            <v>42718.230971546152</v>
          </cell>
        </row>
        <row r="864">
          <cell r="B864">
            <v>42537.234391010075</v>
          </cell>
        </row>
        <row r="865">
          <cell r="B865">
            <v>45293.001378335975</v>
          </cell>
        </row>
        <row r="866">
          <cell r="B866">
            <v>45472.895289354965</v>
          </cell>
        </row>
        <row r="867">
          <cell r="B867">
            <v>43825.547167141303</v>
          </cell>
        </row>
        <row r="868">
          <cell r="B868">
            <v>44359.010747090826</v>
          </cell>
        </row>
        <row r="869">
          <cell r="B869">
            <v>43043.182613256358</v>
          </cell>
        </row>
        <row r="870">
          <cell r="B870">
            <v>44548.697931827031</v>
          </cell>
        </row>
        <row r="871">
          <cell r="B871">
            <v>43331.480730348834</v>
          </cell>
        </row>
        <row r="872">
          <cell r="B872">
            <v>43945.897538052457</v>
          </cell>
        </row>
        <row r="873">
          <cell r="B873">
            <v>41966.923394673009</v>
          </cell>
        </row>
        <row r="874">
          <cell r="B874">
            <v>46919.405313694537</v>
          </cell>
        </row>
        <row r="875">
          <cell r="B875">
            <v>43049.205991967763</v>
          </cell>
        </row>
        <row r="876">
          <cell r="B876">
            <v>42807.436680136205</v>
          </cell>
        </row>
        <row r="877">
          <cell r="B877">
            <v>43105.429556562834</v>
          </cell>
        </row>
        <row r="878">
          <cell r="B878">
            <v>42167.204044312079</v>
          </cell>
        </row>
        <row r="879">
          <cell r="B879">
            <v>45745.225321413716</v>
          </cell>
        </row>
        <row r="880">
          <cell r="B880">
            <v>44234.284271404365</v>
          </cell>
        </row>
        <row r="881">
          <cell r="B881">
            <v>44487.560425164935</v>
          </cell>
        </row>
        <row r="882">
          <cell r="B882">
            <v>44325.117321546219</v>
          </cell>
        </row>
        <row r="883">
          <cell r="B883">
            <v>44720.500137902571</v>
          </cell>
        </row>
        <row r="884">
          <cell r="B884">
            <v>44945.481016791666</v>
          </cell>
        </row>
        <row r="885">
          <cell r="B885">
            <v>42800.129074790108</v>
          </cell>
        </row>
        <row r="886">
          <cell r="B886">
            <v>46394.060644042249</v>
          </cell>
        </row>
        <row r="887">
          <cell r="B887">
            <v>42425.688173698662</v>
          </cell>
        </row>
        <row r="888">
          <cell r="B888">
            <v>45046.84758367671</v>
          </cell>
        </row>
        <row r="889">
          <cell r="B889">
            <v>42078.761286102759</v>
          </cell>
        </row>
        <row r="890">
          <cell r="B890">
            <v>42832.468002396257</v>
          </cell>
        </row>
        <row r="891">
          <cell r="B891">
            <v>42727.977948916894</v>
          </cell>
        </row>
        <row r="892">
          <cell r="B892">
            <v>42049.411043949862</v>
          </cell>
        </row>
        <row r="893">
          <cell r="B893">
            <v>44787.148328397227</v>
          </cell>
        </row>
        <row r="894">
          <cell r="B894">
            <v>41809.571648289915</v>
          </cell>
        </row>
        <row r="895">
          <cell r="B895">
            <v>44841.604653028342</v>
          </cell>
        </row>
        <row r="896">
          <cell r="B896">
            <v>43914.439691998494</v>
          </cell>
        </row>
        <row r="897">
          <cell r="B897">
            <v>42265.532805419403</v>
          </cell>
        </row>
        <row r="898">
          <cell r="B898">
            <v>45037.044369137693</v>
          </cell>
        </row>
        <row r="899">
          <cell r="B899">
            <v>45301.556312975044</v>
          </cell>
        </row>
        <row r="900">
          <cell r="B900">
            <v>41875.974023131246</v>
          </cell>
        </row>
        <row r="901">
          <cell r="B901">
            <v>43713.740895641378</v>
          </cell>
        </row>
        <row r="902">
          <cell r="B902">
            <v>44218.120677024461</v>
          </cell>
        </row>
        <row r="903">
          <cell r="B903">
            <v>44366.761022194725</v>
          </cell>
        </row>
        <row r="904">
          <cell r="B904">
            <v>43082.797899637415</v>
          </cell>
        </row>
        <row r="905">
          <cell r="B905">
            <v>44071.786385784857</v>
          </cell>
        </row>
        <row r="906">
          <cell r="B906">
            <v>44406.695718898583</v>
          </cell>
        </row>
        <row r="907">
          <cell r="B907">
            <v>43732.16015691746</v>
          </cell>
        </row>
        <row r="908">
          <cell r="B908">
            <v>45690.43454151709</v>
          </cell>
        </row>
        <row r="909">
          <cell r="B909">
            <v>40417.479542619047</v>
          </cell>
        </row>
        <row r="910">
          <cell r="B910">
            <v>44328.4847187985</v>
          </cell>
        </row>
        <row r="911">
          <cell r="B911">
            <v>45018.07454356469</v>
          </cell>
        </row>
        <row r="912">
          <cell r="B912">
            <v>44672.192714062068</v>
          </cell>
        </row>
        <row r="913">
          <cell r="B913">
            <v>44935.470961048748</v>
          </cell>
        </row>
        <row r="914">
          <cell r="B914">
            <v>43370.81920600366</v>
          </cell>
        </row>
        <row r="915">
          <cell r="B915">
            <v>45648.157325943132</v>
          </cell>
        </row>
        <row r="916">
          <cell r="B916">
            <v>46090.47974536143</v>
          </cell>
        </row>
        <row r="917">
          <cell r="B917">
            <v>43514.350394114219</v>
          </cell>
        </row>
        <row r="918">
          <cell r="B918">
            <v>44018.702566194501</v>
          </cell>
        </row>
        <row r="919">
          <cell r="B919">
            <v>43444.002983419647</v>
          </cell>
        </row>
        <row r="920">
          <cell r="B920">
            <v>41956.451042475441</v>
          </cell>
        </row>
        <row r="921">
          <cell r="B921">
            <v>43202.383790432876</v>
          </cell>
        </row>
        <row r="922">
          <cell r="B922">
            <v>44581.075835894058</v>
          </cell>
        </row>
        <row r="923">
          <cell r="B923">
            <v>43847.725012604751</v>
          </cell>
        </row>
        <row r="924">
          <cell r="B924">
            <v>45336.774817439298</v>
          </cell>
        </row>
        <row r="925">
          <cell r="B925">
            <v>44920.39249684356</v>
          </cell>
        </row>
        <row r="926">
          <cell r="B926">
            <v>45667.612360167244</v>
          </cell>
        </row>
        <row r="927">
          <cell r="B927">
            <v>41251.572843262729</v>
          </cell>
        </row>
        <row r="928">
          <cell r="B928">
            <v>46541.448043916913</v>
          </cell>
        </row>
        <row r="929">
          <cell r="B929">
            <v>40454.652856814915</v>
          </cell>
        </row>
        <row r="930">
          <cell r="B930">
            <v>40966.432383977401</v>
          </cell>
        </row>
        <row r="931">
          <cell r="B931">
            <v>45581.960474739404</v>
          </cell>
        </row>
        <row r="932">
          <cell r="B932">
            <v>44621.906255688482</v>
          </cell>
        </row>
        <row r="933">
          <cell r="B933">
            <v>45142.68084632761</v>
          </cell>
        </row>
        <row r="934">
          <cell r="B934">
            <v>43400.629519680391</v>
          </cell>
        </row>
        <row r="935">
          <cell r="B935">
            <v>44802.30548660233</v>
          </cell>
        </row>
        <row r="936">
          <cell r="B936">
            <v>44181.804206519562</v>
          </cell>
        </row>
        <row r="937">
          <cell r="B937">
            <v>42414.172826102207</v>
          </cell>
        </row>
        <row r="938">
          <cell r="B938">
            <v>44845.766297628797</v>
          </cell>
        </row>
        <row r="939">
          <cell r="B939">
            <v>44606.497514479619</v>
          </cell>
        </row>
        <row r="940">
          <cell r="B940">
            <v>45999.983821199319</v>
          </cell>
        </row>
        <row r="941">
          <cell r="B941">
            <v>43850.835800475041</v>
          </cell>
        </row>
        <row r="942">
          <cell r="B942">
            <v>45214.558119556241</v>
          </cell>
        </row>
        <row r="943">
          <cell r="B943">
            <v>42658.435283940766</v>
          </cell>
        </row>
        <row r="944">
          <cell r="B944">
            <v>46546.027409740738</v>
          </cell>
        </row>
        <row r="945">
          <cell r="B945">
            <v>42418.212029512666</v>
          </cell>
        </row>
        <row r="946">
          <cell r="B946">
            <v>43850.485416462805</v>
          </cell>
        </row>
        <row r="947">
          <cell r="B947">
            <v>45751.95521233754</v>
          </cell>
        </row>
        <row r="948">
          <cell r="B948">
            <v>43391.105915213207</v>
          </cell>
        </row>
        <row r="949">
          <cell r="B949">
            <v>42628.208468488527</v>
          </cell>
        </row>
        <row r="950">
          <cell r="B950">
            <v>46587.373716350761</v>
          </cell>
        </row>
        <row r="951">
          <cell r="B951">
            <v>43625.093013999744</v>
          </cell>
        </row>
        <row r="952">
          <cell r="B952">
            <v>44217.497759356302</v>
          </cell>
        </row>
        <row r="953">
          <cell r="B953">
            <v>43756.976341916452</v>
          </cell>
        </row>
        <row r="954">
          <cell r="B954">
            <v>45089.516789724308</v>
          </cell>
        </row>
        <row r="955">
          <cell r="B955">
            <v>43924.386954152113</v>
          </cell>
        </row>
        <row r="956">
          <cell r="B956">
            <v>43024.432355521996</v>
          </cell>
        </row>
        <row r="957">
          <cell r="B957">
            <v>42426.092874802125</v>
          </cell>
        </row>
        <row r="958">
          <cell r="B958">
            <v>42658.908572585897</v>
          </cell>
        </row>
        <row r="959">
          <cell r="B959">
            <v>43547.909625124288</v>
          </cell>
        </row>
        <row r="960">
          <cell r="B960">
            <v>45075.260731991031</v>
          </cell>
        </row>
        <row r="961">
          <cell r="B961">
            <v>43609.32326998678</v>
          </cell>
        </row>
        <row r="962">
          <cell r="B962">
            <v>44621.79765161447</v>
          </cell>
        </row>
        <row r="963">
          <cell r="B963">
            <v>41873.316676887902</v>
          </cell>
        </row>
        <row r="964">
          <cell r="B964">
            <v>43771.931874283735</v>
          </cell>
        </row>
        <row r="965">
          <cell r="B965">
            <v>44983.064444820659</v>
          </cell>
        </row>
        <row r="966">
          <cell r="B966">
            <v>41901.758960371837</v>
          </cell>
        </row>
        <row r="967">
          <cell r="B967">
            <v>41174.163302622997</v>
          </cell>
        </row>
        <row r="968">
          <cell r="B968">
            <v>44113.343987262051</v>
          </cell>
        </row>
        <row r="969">
          <cell r="B969">
            <v>43156.007721257469</v>
          </cell>
        </row>
        <row r="970">
          <cell r="B970">
            <v>43919.392560153894</v>
          </cell>
        </row>
        <row r="971">
          <cell r="B971">
            <v>45201.553846596573</v>
          </cell>
        </row>
        <row r="972">
          <cell r="B972">
            <v>44661.875804353287</v>
          </cell>
        </row>
        <row r="973">
          <cell r="B973">
            <v>42736.937001709703</v>
          </cell>
        </row>
        <row r="974">
          <cell r="B974">
            <v>44821.224780991935</v>
          </cell>
        </row>
        <row r="975">
          <cell r="B975">
            <v>45902.670129956736</v>
          </cell>
        </row>
        <row r="976">
          <cell r="B976">
            <v>43252.90139980839</v>
          </cell>
        </row>
        <row r="977">
          <cell r="B977">
            <v>42006.434422086757</v>
          </cell>
        </row>
        <row r="978">
          <cell r="B978">
            <v>42903.811912236793</v>
          </cell>
        </row>
        <row r="979">
          <cell r="B979">
            <v>44885.366829193212</v>
          </cell>
        </row>
        <row r="980">
          <cell r="B980">
            <v>42662.439412109285</v>
          </cell>
        </row>
        <row r="981">
          <cell r="B981">
            <v>42496.303953403192</v>
          </cell>
        </row>
        <row r="982">
          <cell r="B982">
            <v>45427.391843858772</v>
          </cell>
        </row>
        <row r="983">
          <cell r="B983">
            <v>43457.490792659606</v>
          </cell>
        </row>
        <row r="984">
          <cell r="B984">
            <v>47031.269728002444</v>
          </cell>
        </row>
        <row r="985">
          <cell r="B985">
            <v>42878.66362531513</v>
          </cell>
        </row>
        <row r="986">
          <cell r="B986">
            <v>47265.028503609043</v>
          </cell>
        </row>
        <row r="987">
          <cell r="B987">
            <v>42134.162389516008</v>
          </cell>
        </row>
        <row r="988">
          <cell r="B988">
            <v>41439.52300554212</v>
          </cell>
        </row>
        <row r="989">
          <cell r="B989">
            <v>44331.51577217297</v>
          </cell>
        </row>
        <row r="990">
          <cell r="B990">
            <v>43503.326038195075</v>
          </cell>
        </row>
        <row r="991">
          <cell r="B991">
            <v>45740.535953469756</v>
          </cell>
        </row>
        <row r="992">
          <cell r="B992">
            <v>43130.610322687957</v>
          </cell>
        </row>
        <row r="993">
          <cell r="B993">
            <v>43056.601893456835</v>
          </cell>
        </row>
        <row r="994">
          <cell r="B994">
            <v>45312.365404594711</v>
          </cell>
        </row>
        <row r="995">
          <cell r="B995">
            <v>45857.89029685576</v>
          </cell>
        </row>
        <row r="996">
          <cell r="B996">
            <v>44714.726195654803</v>
          </cell>
        </row>
        <row r="997">
          <cell r="B997">
            <v>44928.353821719611</v>
          </cell>
        </row>
        <row r="998">
          <cell r="B998">
            <v>43753.311513344983</v>
          </cell>
        </row>
        <row r="999">
          <cell r="B999">
            <v>44424.947661549224</v>
          </cell>
        </row>
        <row r="1000">
          <cell r="B1000">
            <v>43091.58068369986</v>
          </cell>
        </row>
        <row r="1001">
          <cell r="B1001">
            <v>43615.607895177447</v>
          </cell>
        </row>
        <row r="1002">
          <cell r="B1002">
            <v>46307.880425377465</v>
          </cell>
        </row>
        <row r="1003">
          <cell r="B1003">
            <v>44373.449761729993</v>
          </cell>
        </row>
        <row r="1004">
          <cell r="B1004">
            <v>42162.296479354263</v>
          </cell>
        </row>
        <row r="1005">
          <cell r="B1005">
            <v>42169.318049133748</v>
          </cell>
        </row>
        <row r="1006">
          <cell r="B1006">
            <v>43919.476629596938</v>
          </cell>
        </row>
        <row r="1007">
          <cell r="B1007">
            <v>45306.975049956985</v>
          </cell>
        </row>
        <row r="1008">
          <cell r="B1008">
            <v>43949.216220774375</v>
          </cell>
        </row>
      </sheetData>
      <sheetData sheetId="5">
        <row r="9">
          <cell r="A9" t="str">
            <v>Activity</v>
          </cell>
          <cell r="B9" t="str">
            <v>Cost Type</v>
          </cell>
          <cell r="C9" t="str">
            <v>Project</v>
          </cell>
          <cell r="D9" t="str">
            <v>Actuals 
FY19-24</v>
          </cell>
          <cell r="E9" t="str">
            <v>Forecast 
FY25</v>
          </cell>
          <cell r="F9" t="str">
            <v>Forecast 
FY26</v>
          </cell>
          <cell r="G9" t="str">
            <v>Forecast 
FY27</v>
          </cell>
          <cell r="H9" t="str">
            <v>Forecast 
FY28</v>
          </cell>
          <cell r="I9" t="str">
            <v>Forecast 
FY29</v>
          </cell>
        </row>
        <row r="10">
          <cell r="A10" t="str">
            <v>Clinical</v>
          </cell>
          <cell r="B10" t="str">
            <v>External</v>
          </cell>
          <cell r="C10" t="str">
            <v>P700GE00C0000 -R7075.Other.Gen.Clin.Gen</v>
          </cell>
          <cell r="D10">
            <v>2139695.2899999996</v>
          </cell>
          <cell r="E10">
            <v>1025000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Clinical</v>
          </cell>
          <cell r="B11" t="str">
            <v>External</v>
          </cell>
          <cell r="C11" t="str">
            <v>P700GE00C0001 -R7075.Other.Gen.Clin.Nonbill</v>
          </cell>
          <cell r="D11">
            <v>-15400.21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Clinical</v>
          </cell>
          <cell r="B12" t="str">
            <v>External</v>
          </cell>
          <cell r="C12" t="str">
            <v>P700GE00G0000 -R7075.Other.Gen.Gen.Gen</v>
          </cell>
          <cell r="D12">
            <v>27009.025006774191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Clinical</v>
          </cell>
          <cell r="B13" t="str">
            <v>External</v>
          </cell>
          <cell r="C13" t="str">
            <v>P700ST00C2431 -R7075.ST.Other.Clin.2431-2009</v>
          </cell>
          <cell r="D13">
            <v>41681852.93771328</v>
          </cell>
          <cell r="E13">
            <v>33722256.378994957</v>
          </cell>
          <cell r="F13">
            <v>34731839.678808644</v>
          </cell>
          <cell r="G13">
            <v>12793125.314331308</v>
          </cell>
          <cell r="H13">
            <v>0</v>
          </cell>
          <cell r="I13">
            <v>0</v>
          </cell>
        </row>
        <row r="14">
          <cell r="A14" t="str">
            <v>Clinical</v>
          </cell>
          <cell r="B14" t="str">
            <v>Internal</v>
          </cell>
          <cell r="C14" t="str">
            <v>P700GE00G0000 -R7075.Other.Gen.Gen.Gen</v>
          </cell>
          <cell r="D14">
            <v>5747316.319794287</v>
          </cell>
          <cell r="E14">
            <v>1374867.3363349088</v>
          </cell>
          <cell r="F14">
            <v>1124169.4558239223</v>
          </cell>
          <cell r="G14">
            <v>1146652.8449404007</v>
          </cell>
          <cell r="H14">
            <v>894467.39992930391</v>
          </cell>
          <cell r="I14">
            <v>1087236.4217506207</v>
          </cell>
        </row>
        <row r="15">
          <cell r="A15" t="str">
            <v>Clinical</v>
          </cell>
          <cell r="B15" t="str">
            <v>Internal</v>
          </cell>
          <cell r="C15" t="str">
            <v>P700GE00S0002 -R7075.Other.Gen.Com.Global</v>
          </cell>
          <cell r="D15">
            <v>6918.3183573443985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Clinical</v>
          </cell>
          <cell r="B16" t="str">
            <v>Internal</v>
          </cell>
          <cell r="C16" t="str">
            <v>P700ST00C2431 -R7075.ST.Other.Clin.2431-2009</v>
          </cell>
          <cell r="D16">
            <v>12920373.460402768</v>
          </cell>
          <cell r="E16">
            <v>3291197.0859818659</v>
          </cell>
          <cell r="F16">
            <v>3299144.6016838141</v>
          </cell>
          <cell r="G16">
            <v>4348941.5173557736</v>
          </cell>
          <cell r="H16">
            <v>4699165.7806092761</v>
          </cell>
          <cell r="I16">
            <v>570731.33859976463</v>
          </cell>
        </row>
        <row r="17">
          <cell r="A17" t="str">
            <v>CMC</v>
          </cell>
          <cell r="B17" t="str">
            <v>External</v>
          </cell>
          <cell r="C17" t="str">
            <v>P700GE00C0000 -R7075.Other.Gen.Clin.Gen</v>
          </cell>
          <cell r="D17">
            <v>1553605.5400000003</v>
          </cell>
          <cell r="E17">
            <v>-4227371.5585706159</v>
          </cell>
          <cell r="F17">
            <v>24000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CMC</v>
          </cell>
          <cell r="B18" t="str">
            <v>External</v>
          </cell>
          <cell r="C18" t="str">
            <v>P700GE00M0002 -R7075.Other.Gen.IOPS.Dev Support Billable</v>
          </cell>
          <cell r="D18">
            <v>12377.25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CMC</v>
          </cell>
          <cell r="B19" t="str">
            <v>External</v>
          </cell>
          <cell r="C19" t="str">
            <v>P700ST00C2431 -R7075.ST.Other.Clin.2431-2009</v>
          </cell>
          <cell r="D19">
            <v>5998786.0299999993</v>
          </cell>
          <cell r="E19">
            <v>1275807.8926418293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CMC</v>
          </cell>
          <cell r="B20" t="str">
            <v>Internal</v>
          </cell>
          <cell r="C20" t="str">
            <v>P700GE00M0002 -R7075.Other.Gen.IOPS.Dev Support Billable</v>
          </cell>
          <cell r="D20">
            <v>12268973.51074612</v>
          </cell>
          <cell r="E20">
            <v>5203100.7278797375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R&amp;PD</v>
          </cell>
          <cell r="B21" t="str">
            <v>External</v>
          </cell>
          <cell r="C21" t="str">
            <v>P700GE00G0000 -R7075.Other.Gen.Gen.Gen</v>
          </cell>
          <cell r="D21">
            <v>3776580.5300000003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R&amp;PD</v>
          </cell>
          <cell r="B22" t="str">
            <v>Internal</v>
          </cell>
          <cell r="C22" t="str">
            <v>P700GE00G0000 -R7075.Other.Gen.Gen.Gen</v>
          </cell>
          <cell r="D22">
            <v>20176162.662894279</v>
          </cell>
          <cell r="E22">
            <v>1994146.8349345971</v>
          </cell>
          <cell r="F22">
            <v>1371997.7222214686</v>
          </cell>
          <cell r="G22">
            <v>1615738.0996887465</v>
          </cell>
          <cell r="H22">
            <v>743838.91257122403</v>
          </cell>
          <cell r="I22">
            <v>525542.79239234072</v>
          </cell>
        </row>
        <row r="23">
          <cell r="A23" t="str">
            <v>Clinical Supply</v>
          </cell>
          <cell r="B23" t="str">
            <v>Clinical Supply</v>
          </cell>
          <cell r="C23" t="str">
            <v>P700GE00M0001 -R7075.Other.Gen.IOPS.Direct</v>
          </cell>
          <cell r="D23">
            <v>223393741.20973432</v>
          </cell>
          <cell r="E23">
            <v>76800424.532875583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Medical Affairs</v>
          </cell>
          <cell r="B24" t="str">
            <v>External</v>
          </cell>
          <cell r="C24" t="str">
            <v>P700GE00C0000 -R7075.Other.Gen.Clin.Gen</v>
          </cell>
          <cell r="D24">
            <v>1644624.8399999999</v>
          </cell>
          <cell r="E24">
            <v>1165701.51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Medical Affairs</v>
          </cell>
          <cell r="B25" t="str">
            <v>Internal</v>
          </cell>
          <cell r="C25" t="str">
            <v>P700GE00C0000 -R7075.Other.Gen.Clin.Gen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Medical Affairs</v>
          </cell>
          <cell r="B26" t="str">
            <v>Internal</v>
          </cell>
          <cell r="C26" t="str">
            <v>P700GE00G0000 -R7075.Other.Gen.Gen.Gen</v>
          </cell>
          <cell r="D26">
            <v>745023.96385892981</v>
          </cell>
          <cell r="E26">
            <v>579526.50023374846</v>
          </cell>
          <cell r="F26">
            <v>771700.75043838483</v>
          </cell>
          <cell r="G26">
            <v>787134.76544715289</v>
          </cell>
          <cell r="H26">
            <v>159488.98661443754</v>
          </cell>
          <cell r="I26">
            <v>1952145.1961607155</v>
          </cell>
        </row>
        <row r="27">
          <cell r="A27" t="str">
            <v>Medical Affairs</v>
          </cell>
          <cell r="B27" t="str">
            <v>Internal</v>
          </cell>
          <cell r="C27" t="str">
            <v>P700GE00S0002 -R7075.Other.Gen.Com.Global</v>
          </cell>
          <cell r="D27">
            <v>204897.42932116639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Medical Affairs</v>
          </cell>
          <cell r="B28" t="str">
            <v>Internal</v>
          </cell>
          <cell r="C28" t="str">
            <v>P700ST00C2431 -R7075.ST.Other.Clin.2431-2009</v>
          </cell>
          <cell r="D28">
            <v>65041.107947696364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Grand Total</v>
          </cell>
          <cell r="D29">
            <v>332347579.21577692</v>
          </cell>
          <cell r="E29">
            <v>122204657.24130663</v>
          </cell>
          <cell r="F29">
            <v>41322852.208976239</v>
          </cell>
          <cell r="G29">
            <v>20691592.541763384</v>
          </cell>
          <cell r="H29">
            <v>6496961.079724242</v>
          </cell>
          <cell r="I29">
            <v>4135655.7489034417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ecast Hub"/>
      <sheetName val="Study Budget Mapping "/>
      <sheetName val="BSBs"/>
      <sheetName val="Raw GL Data "/>
      <sheetName val="Raw PO Data"/>
      <sheetName val="FTE Data"/>
      <sheetName val="ODP - Study Milestones"/>
      <sheetName val="ODP - Study Summary"/>
      <sheetName val="PF Master List"/>
      <sheetName val="Lynn Mapping"/>
      <sheetName val="Meth File names Map"/>
      <sheetName val="Sheet2"/>
      <sheetName val="COMPASS"/>
    </sheetNames>
    <sheetDataSet>
      <sheetData sheetId="0" refreshError="1"/>
      <sheetData sheetId="1">
        <row r="2">
          <cell r="O2" t="str">
            <v>0605</v>
          </cell>
          <cell r="P2" t="str">
            <v>P570OD01C3831</v>
          </cell>
        </row>
        <row r="3">
          <cell r="O3" t="str">
            <v>0702</v>
          </cell>
          <cell r="P3" t="str">
            <v>P570OD01C2911</v>
          </cell>
        </row>
        <row r="4">
          <cell r="O4" t="str">
            <v>1124</v>
          </cell>
          <cell r="P4" t="str">
            <v>P570OD01C4911</v>
          </cell>
        </row>
        <row r="5">
          <cell r="O5" t="str">
            <v xml:space="preserve">1881 </v>
          </cell>
          <cell r="P5" t="str">
            <v>P570OD00C4911</v>
          </cell>
        </row>
        <row r="6">
          <cell r="O6" t="str">
            <v>0910</v>
          </cell>
          <cell r="P6" t="str">
            <v>P570OD01C3931</v>
          </cell>
        </row>
        <row r="7">
          <cell r="O7" t="str">
            <v>1301</v>
          </cell>
          <cell r="P7" t="str">
            <v>P645OD01C1411</v>
          </cell>
        </row>
        <row r="8">
          <cell r="O8" t="str">
            <v>1302</v>
          </cell>
          <cell r="P8" t="str">
            <v>P645OD01C1412</v>
          </cell>
        </row>
        <row r="9">
          <cell r="O9" t="str">
            <v>1403</v>
          </cell>
          <cell r="P9" t="str">
            <v>P645OD00C1011</v>
          </cell>
        </row>
        <row r="10">
          <cell r="O10" t="str">
            <v>1517</v>
          </cell>
          <cell r="P10" t="str">
            <v>P645OD01C2431</v>
          </cell>
        </row>
        <row r="11">
          <cell r="O11" t="str">
            <v>1518</v>
          </cell>
          <cell r="P11" t="str">
            <v>P645OD02C2431</v>
          </cell>
        </row>
        <row r="12">
          <cell r="O12" t="str">
            <v>0706</v>
          </cell>
          <cell r="P12" t="str">
            <v>P570OD02C2531</v>
          </cell>
        </row>
        <row r="13">
          <cell r="O13" t="str">
            <v>1009</v>
          </cell>
          <cell r="P13" t="str">
            <v>P570OD02C3831</v>
          </cell>
        </row>
        <row r="14">
          <cell r="O14" t="str">
            <v>0819</v>
          </cell>
          <cell r="P14" t="str">
            <v>P570OD03C3731</v>
          </cell>
        </row>
        <row r="15">
          <cell r="O15" t="str">
            <v>1027</v>
          </cell>
          <cell r="P15" t="str">
            <v>P570OD06C3731</v>
          </cell>
        </row>
        <row r="16">
          <cell r="O16" t="str">
            <v>1411</v>
          </cell>
          <cell r="P16" t="str">
            <v>P570OD07C3711</v>
          </cell>
        </row>
        <row r="17">
          <cell r="O17" t="str">
            <v>1920</v>
          </cell>
          <cell r="P17" t="str">
            <v>P570OD00C3831</v>
          </cell>
        </row>
        <row r="18">
          <cell r="O18" t="str">
            <v>1905</v>
          </cell>
          <cell r="P18" t="str">
            <v>P571OD01C2911</v>
          </cell>
        </row>
        <row r="19">
          <cell r="O19" t="str">
            <v>1934</v>
          </cell>
          <cell r="P19" t="str">
            <v>P571OD02C3731</v>
          </cell>
        </row>
        <row r="20">
          <cell r="O20" t="str">
            <v>2036</v>
          </cell>
          <cell r="P20" t="str">
            <v>P570OD00C3931</v>
          </cell>
        </row>
        <row r="21">
          <cell r="O21" t="str">
            <v>22105</v>
          </cell>
          <cell r="P21" t="str">
            <v>P571OD00C3111</v>
          </cell>
        </row>
        <row r="22">
          <cell r="O22" t="str">
            <v>2331</v>
          </cell>
          <cell r="P22" t="str">
            <v>P571OD01C4611</v>
          </cell>
        </row>
        <row r="23">
          <cell r="O23" t="str">
            <v>2335</v>
          </cell>
          <cell r="P23" t="str">
            <v>P571OD09C3231</v>
          </cell>
        </row>
        <row r="24">
          <cell r="O24" t="str">
            <v xml:space="preserve">1303 </v>
          </cell>
          <cell r="P24" t="str">
            <v>P658OD01C1011</v>
          </cell>
        </row>
        <row r="25">
          <cell r="O25" t="str">
            <v>1417</v>
          </cell>
          <cell r="P25" t="str">
            <v>P658OD01C2611</v>
          </cell>
        </row>
        <row r="26">
          <cell r="O26" t="str">
            <v>0708</v>
          </cell>
          <cell r="P26" t="str">
            <v>P570ST01C1231</v>
          </cell>
        </row>
        <row r="27">
          <cell r="O27" t="str">
            <v>0804</v>
          </cell>
          <cell r="P27" t="str">
            <v>P611ST00C1011</v>
          </cell>
        </row>
        <row r="28">
          <cell r="O28" t="str">
            <v>1010</v>
          </cell>
          <cell r="P28" t="str">
            <v>P645ST00C1031</v>
          </cell>
        </row>
        <row r="29">
          <cell r="O29" t="str">
            <v>1114</v>
          </cell>
          <cell r="P29" t="str">
            <v>P645ST00C1411</v>
          </cell>
        </row>
        <row r="30">
          <cell r="O30" t="str">
            <v>1113</v>
          </cell>
          <cell r="P30" t="str">
            <v>P650ST01C1011</v>
          </cell>
        </row>
        <row r="31">
          <cell r="O31" t="str">
            <v>1327</v>
          </cell>
          <cell r="P31" t="str">
            <v>P661ST05C1011</v>
          </cell>
        </row>
        <row r="32">
          <cell r="O32" t="str">
            <v>1333</v>
          </cell>
          <cell r="P32" t="str">
            <v>P662ST05C1011</v>
          </cell>
        </row>
        <row r="33">
          <cell r="O33" t="str">
            <v>1423</v>
          </cell>
          <cell r="P33" t="str">
            <v>P664ST00C1011</v>
          </cell>
        </row>
        <row r="34">
          <cell r="O34" t="str">
            <v>1425</v>
          </cell>
          <cell r="P34" t="str">
            <v>P664ST00C1431</v>
          </cell>
        </row>
        <row r="35">
          <cell r="O35" t="str">
            <v>1537</v>
          </cell>
          <cell r="P35" t="str">
            <v>P664ST07C3331</v>
          </cell>
        </row>
        <row r="36">
          <cell r="O36" t="str">
            <v>1538</v>
          </cell>
          <cell r="P36" t="str">
            <v>P664ST07C2431</v>
          </cell>
        </row>
        <row r="37">
          <cell r="O37" t="str">
            <v>1540</v>
          </cell>
          <cell r="P37" t="str">
            <v>P664ST06C2431</v>
          </cell>
        </row>
        <row r="38">
          <cell r="O38" t="str">
            <v>1545</v>
          </cell>
          <cell r="P38" t="str">
            <v>P??</v>
          </cell>
        </row>
        <row r="39">
          <cell r="O39" t="str">
            <v>1606 (CES)</v>
          </cell>
          <cell r="P39" t="str">
            <v>P664ST06C6131</v>
          </cell>
        </row>
        <row r="40">
          <cell r="O40" t="str">
            <v>1615</v>
          </cell>
          <cell r="P40" t="str">
            <v>P664ST05C2421</v>
          </cell>
        </row>
        <row r="41">
          <cell r="O41" t="str">
            <v>1620</v>
          </cell>
          <cell r="P41" t="str">
            <v>P664ST08C2631</v>
          </cell>
        </row>
        <row r="42">
          <cell r="O42" t="str">
            <v>1622</v>
          </cell>
          <cell r="P42" t="str">
            <v>P664ST00C1121</v>
          </cell>
        </row>
        <row r="43">
          <cell r="O43" t="str">
            <v>1624</v>
          </cell>
          <cell r="P43" t="str">
            <v>P664ST01C3731</v>
          </cell>
        </row>
        <row r="44">
          <cell r="O44" t="str">
            <v>1626</v>
          </cell>
          <cell r="P44" t="str">
            <v>PTBD</v>
          </cell>
        </row>
        <row r="45">
          <cell r="O45" t="str">
            <v>1627</v>
          </cell>
          <cell r="P45" t="str">
            <v>PTBD</v>
          </cell>
        </row>
        <row r="46">
          <cell r="O46" t="str">
            <v>1655 (CES)</v>
          </cell>
          <cell r="P46" t="str">
            <v>P664ST09C6131</v>
          </cell>
        </row>
        <row r="47">
          <cell r="O47" t="str">
            <v>1656</v>
          </cell>
          <cell r="P47" t="str">
            <v>PTBD</v>
          </cell>
        </row>
        <row r="48">
          <cell r="O48" t="str">
            <v>1676</v>
          </cell>
          <cell r="P48" t="str">
            <v>P664ST10C3831</v>
          </cell>
        </row>
        <row r="49">
          <cell r="O49" t="str">
            <v>1690</v>
          </cell>
          <cell r="P49" t="str">
            <v>P664ST00C1611</v>
          </cell>
        </row>
        <row r="50">
          <cell r="O50" t="str">
            <v>16111</v>
          </cell>
          <cell r="P50" t="str">
            <v>P664ST01C3831</v>
          </cell>
        </row>
        <row r="51">
          <cell r="O51" t="str">
            <v>16112</v>
          </cell>
          <cell r="P51" t="str">
            <v>P664ST10C2631</v>
          </cell>
        </row>
        <row r="52">
          <cell r="O52" t="str">
            <v>16113</v>
          </cell>
          <cell r="P52" t="str">
            <v>P664ST01C3832</v>
          </cell>
        </row>
        <row r="53">
          <cell r="O53" t="str">
            <v>1763</v>
          </cell>
          <cell r="P53" t="str">
            <v>P664ST01C2431</v>
          </cell>
        </row>
        <row r="54">
          <cell r="O54" t="str">
            <v>1787</v>
          </cell>
          <cell r="P54" t="str">
            <v>P664ST06C1511</v>
          </cell>
        </row>
        <row r="55">
          <cell r="O55" t="str">
            <v>1788</v>
          </cell>
          <cell r="P55" t="str">
            <v>P664ST06C3831</v>
          </cell>
        </row>
        <row r="56">
          <cell r="O56" t="str">
            <v>1806</v>
          </cell>
          <cell r="P56" t="str">
            <v>P664ST06C4701</v>
          </cell>
        </row>
        <row r="57">
          <cell r="O57" t="str">
            <v>1850</v>
          </cell>
          <cell r="P57" t="str">
            <v>P664ST01C3831</v>
          </cell>
        </row>
        <row r="58">
          <cell r="O58" t="str">
            <v>1901</v>
          </cell>
          <cell r="P58" t="str">
            <v>P664ST06C2432</v>
          </cell>
        </row>
        <row r="59">
          <cell r="O59" t="str">
            <v>1927</v>
          </cell>
          <cell r="P59" t="str">
            <v>P664ST06C4702</v>
          </cell>
        </row>
        <row r="60">
          <cell r="O60" t="str">
            <v>1981</v>
          </cell>
          <cell r="P60" t="str">
            <v>P664ST10C2632</v>
          </cell>
        </row>
        <row r="61">
          <cell r="O61" t="str">
            <v>2045</v>
          </cell>
          <cell r="P61" t="str">
            <v>P664ST01C2631</v>
          </cell>
        </row>
        <row r="62">
          <cell r="O62" t="str">
            <v>2268</v>
          </cell>
          <cell r="P62" t="str">
            <v>P890ST01C2632</v>
          </cell>
        </row>
        <row r="63">
          <cell r="O63" t="str">
            <v>22115</v>
          </cell>
          <cell r="P63" t="str">
            <v>P664ST01C4011</v>
          </cell>
        </row>
        <row r="64">
          <cell r="O64" t="str">
            <v>2325</v>
          </cell>
          <cell r="P64" t="str">
            <v>P664ST01C4021</v>
          </cell>
        </row>
        <row r="65">
          <cell r="O65" t="str">
            <v>5368</v>
          </cell>
          <cell r="P65" t="str">
            <v>P664ID00C2411</v>
          </cell>
        </row>
        <row r="66">
          <cell r="O66" t="str">
            <v xml:space="preserve"> (Japan iPro)</v>
          </cell>
          <cell r="P66" t="str">
            <v>P664ST10C4921</v>
          </cell>
        </row>
        <row r="67">
          <cell r="O67" t="str">
            <v>1504</v>
          </cell>
          <cell r="P67" t="str">
            <v>P662ST05C1231</v>
          </cell>
        </row>
        <row r="68">
          <cell r="O68" t="str">
            <v>1701</v>
          </cell>
          <cell r="P68" t="str">
            <v>P673ST20C6311</v>
          </cell>
        </row>
        <row r="69">
          <cell r="O69" t="str">
            <v>1625</v>
          </cell>
          <cell r="P69" t="str">
            <v>P662ST05C2631</v>
          </cell>
        </row>
        <row r="70">
          <cell r="O70" t="str">
            <v>1825</v>
          </cell>
          <cell r="P70" t="str">
            <v>P662ST00C1231</v>
          </cell>
        </row>
        <row r="71">
          <cell r="O71" t="str">
            <v>2013</v>
          </cell>
          <cell r="P71" t="str">
            <v>P662ST05C3731</v>
          </cell>
        </row>
        <row r="72">
          <cell r="O72" t="str">
            <v>2075</v>
          </cell>
          <cell r="P72" t="str">
            <v>P662ST05C3732</v>
          </cell>
        </row>
        <row r="73">
          <cell r="O73" t="str">
            <v>2078</v>
          </cell>
          <cell r="P73" t="str">
            <v>P662ST05C2632</v>
          </cell>
        </row>
        <row r="74">
          <cell r="O74" t="str">
            <v>2105</v>
          </cell>
          <cell r="P74" t="str">
            <v>P662ST05C3733</v>
          </cell>
        </row>
        <row r="75">
          <cell r="O75" t="str">
            <v>2298</v>
          </cell>
          <cell r="P75" t="str">
            <v>P662HE01C3731</v>
          </cell>
        </row>
        <row r="76">
          <cell r="O76" t="str">
            <v>2299</v>
          </cell>
          <cell r="P76" t="str">
            <v>P662HE01C3732</v>
          </cell>
        </row>
        <row r="77">
          <cell r="O77" t="str">
            <v>22102</v>
          </cell>
          <cell r="P77" t="str">
            <v>P662HE01C3733</v>
          </cell>
        </row>
        <row r="78">
          <cell r="O78" t="str">
            <v>2336</v>
          </cell>
          <cell r="P78" t="str">
            <v>P662HE04C3731</v>
          </cell>
        </row>
        <row r="79">
          <cell r="O79" t="str">
            <v>1613</v>
          </cell>
          <cell r="P79" t="str">
            <v>P672ST00C1031</v>
          </cell>
        </row>
        <row r="80">
          <cell r="O80" t="str">
            <v>479</v>
          </cell>
          <cell r="P80" t="str">
            <v>P672ST20C1011</v>
          </cell>
        </row>
        <row r="81">
          <cell r="O81" t="str">
            <v>2011</v>
          </cell>
          <cell r="P81" t="str">
            <v>P672ST00C3733</v>
          </cell>
        </row>
        <row r="82">
          <cell r="O82" t="str">
            <v>2055</v>
          </cell>
          <cell r="P82" t="str">
            <v>P672ST00C3731</v>
          </cell>
        </row>
        <row r="83">
          <cell r="O83" t="str">
            <v>2208</v>
          </cell>
          <cell r="P83" t="str">
            <v>P672ST13C3831</v>
          </cell>
        </row>
        <row r="84">
          <cell r="O84" t="str">
            <v>2235</v>
          </cell>
          <cell r="P84" t="str">
            <v>P672ST01C2831</v>
          </cell>
        </row>
        <row r="85">
          <cell r="O85" t="str">
            <v>2236</v>
          </cell>
          <cell r="P85" t="str">
            <v>P672ST01C2832</v>
          </cell>
        </row>
        <row r="86">
          <cell r="O86" t="str">
            <v>2266</v>
          </cell>
          <cell r="P86" t="str">
            <v>P672ST01C2731</v>
          </cell>
        </row>
        <row r="87">
          <cell r="O87" t="str">
            <v>22122</v>
          </cell>
          <cell r="P87" t="str">
            <v>P672ST13C3811</v>
          </cell>
        </row>
        <row r="88">
          <cell r="O88" t="str">
            <v>2330</v>
          </cell>
          <cell r="P88" t="str">
            <v>P672ST06C2431</v>
          </cell>
        </row>
        <row r="89">
          <cell r="O89" t="str">
            <v>1721</v>
          </cell>
          <cell r="P89" t="str">
            <v>P675ST04C1011</v>
          </cell>
        </row>
        <row r="90">
          <cell r="O90" t="str">
            <v>1795</v>
          </cell>
          <cell r="P90" t="str">
            <v>P681ST01C1031</v>
          </cell>
        </row>
        <row r="91">
          <cell r="O91" t="str">
            <v>1864</v>
          </cell>
          <cell r="P91" t="str">
            <v>P693ST01C2531</v>
          </cell>
        </row>
        <row r="92">
          <cell r="O92" t="str">
            <v>1826</v>
          </cell>
          <cell r="P92" t="str">
            <v>P686ST00C1031</v>
          </cell>
        </row>
        <row r="93">
          <cell r="O93" t="str">
            <v>2170</v>
          </cell>
          <cell r="P93" t="str">
            <v>P686ST05C0032</v>
          </cell>
        </row>
        <row r="94">
          <cell r="O94" t="str">
            <v>21101</v>
          </cell>
          <cell r="P94" t="str">
            <v>P686ST05C0031</v>
          </cell>
        </row>
        <row r="95">
          <cell r="O95" t="str">
            <v>2158</v>
          </cell>
          <cell r="P95" t="str">
            <v>P686ST05C2411</v>
          </cell>
        </row>
        <row r="96">
          <cell r="O96" t="str">
            <v>2245</v>
          </cell>
          <cell r="P96" t="str">
            <v>P686ST11C3731</v>
          </cell>
        </row>
        <row r="97">
          <cell r="O97" t="str">
            <v>2256</v>
          </cell>
          <cell r="P97" t="str">
            <v>P686HE02C2421</v>
          </cell>
        </row>
        <row r="98">
          <cell r="O98" t="str">
            <v>2274</v>
          </cell>
          <cell r="P98" t="str">
            <v>P686HE05C2601</v>
          </cell>
        </row>
        <row r="99">
          <cell r="O99" t="str">
            <v>1933</v>
          </cell>
          <cell r="P99" t="str">
            <v>P697ST00C1531</v>
          </cell>
        </row>
        <row r="100">
          <cell r="O100" t="str">
            <v>1938</v>
          </cell>
          <cell r="P100" t="str">
            <v>P696ST04C1531</v>
          </cell>
        </row>
        <row r="101">
          <cell r="O101" t="str">
            <v xml:space="preserve"> CANCELED</v>
          </cell>
          <cell r="P101" t="str">
            <v>P686ST11C2431</v>
          </cell>
        </row>
        <row r="102">
          <cell r="O102" t="str">
            <v>2012</v>
          </cell>
          <cell r="P102" t="str">
            <v>P686ST11C1431</v>
          </cell>
        </row>
        <row r="103">
          <cell r="O103" t="str">
            <v>2019</v>
          </cell>
          <cell r="P103" t="str">
            <v>P695ST00C1031</v>
          </cell>
        </row>
        <row r="104">
          <cell r="O104" t="str">
            <v>2009</v>
          </cell>
          <cell r="P104" t="str">
            <v>P700ST00C2431</v>
          </cell>
        </row>
        <row r="105">
          <cell r="O105" t="str">
            <v>20108</v>
          </cell>
          <cell r="P105" t="str">
            <v>P686ST11C3931</v>
          </cell>
        </row>
        <row r="106">
          <cell r="O106" t="str">
            <v>2219</v>
          </cell>
          <cell r="P106" t="str">
            <v>P686IM13C1211</v>
          </cell>
        </row>
        <row r="107">
          <cell r="O107" t="str">
            <v>2257</v>
          </cell>
          <cell r="P107" t="str">
            <v>P686HE02C2501</v>
          </cell>
        </row>
        <row r="108">
          <cell r="O108" t="str">
            <v>2386</v>
          </cell>
          <cell r="P108" t="str">
            <v>P686HE02C3731</v>
          </cell>
        </row>
        <row r="109">
          <cell r="O109" t="str">
            <v>20104</v>
          </cell>
          <cell r="P109" t="str">
            <v>P704ST12C2931</v>
          </cell>
        </row>
        <row r="110">
          <cell r="O110" t="str">
            <v>2250</v>
          </cell>
          <cell r="P110" t="str">
            <v>P664ST06C3731</v>
          </cell>
        </row>
        <row r="111">
          <cell r="O111" t="str">
            <v>2251</v>
          </cell>
          <cell r="P111" t="str">
            <v>P664ST06C3732</v>
          </cell>
        </row>
        <row r="112">
          <cell r="O112" t="str">
            <v>2344</v>
          </cell>
          <cell r="P112" t="str">
            <v>P664ST01C3833</v>
          </cell>
        </row>
        <row r="113">
          <cell r="O113" t="str">
            <v>1888</v>
          </cell>
          <cell r="P113" t="str">
            <v>P692ST11C1031</v>
          </cell>
        </row>
        <row r="114">
          <cell r="O114" t="str">
            <v>1944</v>
          </cell>
          <cell r="P114" t="str">
            <v>P692IM21C1411</v>
          </cell>
        </row>
        <row r="115">
          <cell r="O115" t="str">
            <v>1956</v>
          </cell>
          <cell r="P115" t="str">
            <v>P 692IM21C1911</v>
          </cell>
        </row>
        <row r="116">
          <cell r="O116" t="str">
            <v>1866</v>
          </cell>
          <cell r="P116" t="str">
            <v>P664ST01C2411</v>
          </cell>
        </row>
        <row r="117">
          <cell r="O117" t="str">
            <v>1843</v>
          </cell>
          <cell r="P117" t="str">
            <v>P682ST20C1021</v>
          </cell>
        </row>
        <row r="118">
          <cell r="O118" t="str">
            <v>1879</v>
          </cell>
          <cell r="P118" t="str">
            <v>P694ST00C1031</v>
          </cell>
        </row>
        <row r="119">
          <cell r="O119" t="str">
            <v>2309</v>
          </cell>
          <cell r="P119" t="str">
            <v>P694ST12C2631</v>
          </cell>
        </row>
        <row r="120">
          <cell r="O120" t="str">
            <v>1863</v>
          </cell>
          <cell r="P120" t="str">
            <v>P690ST01C1031</v>
          </cell>
        </row>
        <row r="121">
          <cell r="O121" t="str">
            <v>0902</v>
          </cell>
          <cell r="P121" t="str">
            <v>P630CV01C1011</v>
          </cell>
        </row>
        <row r="122">
          <cell r="O122" t="str">
            <v>0904</v>
          </cell>
          <cell r="P122" t="str">
            <v>P630CV01C1111</v>
          </cell>
        </row>
        <row r="123">
          <cell r="O123" t="str">
            <v>1001</v>
          </cell>
          <cell r="P123" t="str">
            <v>P630CV01C1211</v>
          </cell>
        </row>
        <row r="124">
          <cell r="O124" t="str">
            <v>1003</v>
          </cell>
          <cell r="P124" t="str">
            <v>P630CV01C2611</v>
          </cell>
        </row>
        <row r="125">
          <cell r="O125" t="str">
            <v>1017</v>
          </cell>
          <cell r="P125" t="str">
            <v>P630CV01C0331</v>
          </cell>
        </row>
        <row r="126">
          <cell r="O126" t="str">
            <v>1018</v>
          </cell>
          <cell r="P126" t="str">
            <v>P630CV01C2412</v>
          </cell>
        </row>
        <row r="127">
          <cell r="O127" t="str">
            <v>1032</v>
          </cell>
          <cell r="P127" t="str">
            <v>P630CV01C2913</v>
          </cell>
        </row>
        <row r="128">
          <cell r="O128" t="str">
            <v>1110</v>
          </cell>
          <cell r="P128" t="str">
            <v>P630CV01C3832</v>
          </cell>
        </row>
        <row r="129">
          <cell r="O129" t="str">
            <v>1112</v>
          </cell>
          <cell r="P129" t="str">
            <v>P630CV01C3731</v>
          </cell>
        </row>
        <row r="130">
          <cell r="O130" t="str">
            <v>1118</v>
          </cell>
          <cell r="P130" t="str">
            <v>P630CV01C3833</v>
          </cell>
        </row>
        <row r="131">
          <cell r="O131" t="str">
            <v>1119</v>
          </cell>
          <cell r="P131" t="str">
            <v>P630CV01C3831</v>
          </cell>
        </row>
        <row r="132">
          <cell r="O132" t="str">
            <v>1215</v>
          </cell>
          <cell r="P132" t="str">
            <v>P630CV01C3132</v>
          </cell>
        </row>
        <row r="133">
          <cell r="O133" t="str">
            <v>1216</v>
          </cell>
          <cell r="P133" t="str">
            <v>P630CV01C3734</v>
          </cell>
        </row>
        <row r="134">
          <cell r="O134" t="str">
            <v>1308</v>
          </cell>
          <cell r="P134" t="str">
            <v>P630CV01C3733</v>
          </cell>
        </row>
        <row r="135">
          <cell r="O135" t="str">
            <v>1532</v>
          </cell>
          <cell r="P135" t="str">
            <v>P630CV01C4931</v>
          </cell>
        </row>
        <row r="136">
          <cell r="O136" t="str">
            <v>1533</v>
          </cell>
          <cell r="P136" t="str">
            <v>P630CV01C4711</v>
          </cell>
        </row>
        <row r="137">
          <cell r="O137" t="str">
            <v>1541</v>
          </cell>
          <cell r="P137" t="str">
            <v>PTBD</v>
          </cell>
        </row>
        <row r="138">
          <cell r="O138" t="str">
            <v>1609</v>
          </cell>
          <cell r="P138" t="str">
            <v>P630CV01C4932</v>
          </cell>
        </row>
        <row r="139">
          <cell r="O139" t="str">
            <v>1628</v>
          </cell>
          <cell r="P139" t="str">
            <v>P630CV01C3735</v>
          </cell>
        </row>
        <row r="140">
          <cell r="O140" t="str">
            <v>1657</v>
          </cell>
          <cell r="P140" t="str">
            <v>P630CV01C4712</v>
          </cell>
        </row>
        <row r="141">
          <cell r="O141" t="str">
            <v>16122</v>
          </cell>
          <cell r="P141" t="str">
            <v>PTBD</v>
          </cell>
        </row>
        <row r="142">
          <cell r="O142" t="str">
            <v>2122</v>
          </cell>
          <cell r="P142" t="str">
            <v>P630CV01C4031</v>
          </cell>
        </row>
        <row r="143">
          <cell r="O143" t="str">
            <v>0915</v>
          </cell>
          <cell r="P143" t="str">
            <v>P631CV01C1011</v>
          </cell>
        </row>
        <row r="144">
          <cell r="O144" t="str">
            <v>1304</v>
          </cell>
          <cell r="P144" t="str">
            <v>P657CV01C1011</v>
          </cell>
        </row>
        <row r="145">
          <cell r="O145" t="str">
            <v>1214</v>
          </cell>
          <cell r="P145" t="str">
            <v>P652MD00C1011</v>
          </cell>
        </row>
        <row r="146">
          <cell r="O146" t="str">
            <v>1321</v>
          </cell>
          <cell r="P146" t="str">
            <v>P652CV01C2211</v>
          </cell>
        </row>
        <row r="147">
          <cell r="O147" t="str">
            <v>1331</v>
          </cell>
          <cell r="P147" t="str">
            <v>P652CV01C2431</v>
          </cell>
        </row>
        <row r="148">
          <cell r="O148" t="str">
            <v>1522</v>
          </cell>
          <cell r="P148" t="str">
            <v>P652CV01C2421</v>
          </cell>
        </row>
        <row r="149">
          <cell r="O149" t="str">
            <v>1629</v>
          </cell>
          <cell r="P149" t="str">
            <v>P652CV01C3731</v>
          </cell>
        </row>
        <row r="150">
          <cell r="O150" t="str">
            <v>1642</v>
          </cell>
          <cell r="P150" t="str">
            <v>P652CV00C1111</v>
          </cell>
        </row>
        <row r="151">
          <cell r="O151" t="str">
            <v>1643</v>
          </cell>
          <cell r="P151" t="str">
            <v>P652CV01C2531</v>
          </cell>
        </row>
        <row r="152">
          <cell r="O152" t="str">
            <v>1691</v>
          </cell>
          <cell r="P152" t="str">
            <v>PTBD</v>
          </cell>
        </row>
        <row r="153">
          <cell r="O153" t="str">
            <v>1719</v>
          </cell>
          <cell r="P153" t="str">
            <v>P652CV01C3931</v>
          </cell>
        </row>
        <row r="154">
          <cell r="O154" t="str">
            <v>17100</v>
          </cell>
          <cell r="P154" t="str">
            <v>P652CV01C3732</v>
          </cell>
        </row>
        <row r="155">
          <cell r="O155" t="str">
            <v>20118</v>
          </cell>
          <cell r="P155" t="str">
            <v>P652CV00C2431</v>
          </cell>
        </row>
        <row r="156">
          <cell r="O156" t="str">
            <v>20119</v>
          </cell>
          <cell r="P156" t="str">
            <v>P652CV01C1111</v>
          </cell>
        </row>
        <row r="157">
          <cell r="O157" t="str">
            <v>2162</v>
          </cell>
          <cell r="P157" t="str">
            <v>P652CV01C4031</v>
          </cell>
        </row>
        <row r="158">
          <cell r="O158" t="str">
            <v>1107</v>
          </cell>
          <cell r="P158" t="str">
            <v>P647MD00C1011</v>
          </cell>
        </row>
        <row r="159">
          <cell r="O159" t="str">
            <v>1204</v>
          </cell>
          <cell r="P159" t="str">
            <v>P647MD00C1211</v>
          </cell>
        </row>
        <row r="160">
          <cell r="O160" t="str">
            <v>1223</v>
          </cell>
          <cell r="P160" t="str">
            <v>P647MD00C2311</v>
          </cell>
        </row>
        <row r="161">
          <cell r="O161" t="str">
            <v>1239</v>
          </cell>
          <cell r="P161" t="str">
            <v>P647MD02C2431</v>
          </cell>
        </row>
        <row r="162">
          <cell r="O162" t="str">
            <v>1503</v>
          </cell>
          <cell r="P162" t="str">
            <v>P647MD00C1111</v>
          </cell>
        </row>
        <row r="163">
          <cell r="O163" t="str">
            <v>1511</v>
          </cell>
          <cell r="P163" t="str">
            <v>PCANCELLED</v>
          </cell>
        </row>
        <row r="164">
          <cell r="O164" t="str">
            <v>1512</v>
          </cell>
          <cell r="P164" t="str">
            <v>P647MD03C3731</v>
          </cell>
        </row>
        <row r="165">
          <cell r="O165" t="str">
            <v>1527</v>
          </cell>
          <cell r="P165" t="str">
            <v>P647MD03C2911</v>
          </cell>
        </row>
        <row r="166">
          <cell r="O166" t="str">
            <v>2288</v>
          </cell>
          <cell r="P166" t="str">
            <v>P647MD05C2411</v>
          </cell>
        </row>
        <row r="167">
          <cell r="O167" t="str">
            <v>1219</v>
          </cell>
          <cell r="P167" t="str">
            <v>P651MD00C1011</v>
          </cell>
        </row>
        <row r="168">
          <cell r="O168" t="str">
            <v>1336</v>
          </cell>
          <cell r="P168" t="str">
            <v>P651MD0C1111</v>
          </cell>
        </row>
        <row r="169">
          <cell r="O169" t="str">
            <v>1402</v>
          </cell>
          <cell r="P169" t="str">
            <v>P651MD01C1111</v>
          </cell>
        </row>
        <row r="170">
          <cell r="O170" t="str">
            <v>1535</v>
          </cell>
          <cell r="P170" t="str">
            <v>PTBD</v>
          </cell>
        </row>
        <row r="171">
          <cell r="O171" t="str">
            <v>1536</v>
          </cell>
          <cell r="P171" t="str">
            <v>PTBD</v>
          </cell>
        </row>
        <row r="172">
          <cell r="O172" t="str">
            <v>1525</v>
          </cell>
          <cell r="P172" t="str">
            <v>P660SD00C1011</v>
          </cell>
        </row>
        <row r="173">
          <cell r="O173" t="str">
            <v>1623</v>
          </cell>
          <cell r="P173" t="str">
            <v>P660SD01C2431</v>
          </cell>
        </row>
        <row r="174">
          <cell r="O174" t="str">
            <v>1940</v>
          </cell>
          <cell r="P174" t="str">
            <v>P660SD01C3921</v>
          </cell>
        </row>
        <row r="175">
          <cell r="O175" t="str">
            <v>1949</v>
          </cell>
          <cell r="P175" t="str">
            <v>P660SD01C3931</v>
          </cell>
        </row>
        <row r="176">
          <cell r="O176" t="str">
            <v>2175</v>
          </cell>
          <cell r="P176" t="str">
            <v>P660SD01C3731</v>
          </cell>
        </row>
        <row r="177">
          <cell r="O177" t="str">
            <v>1621</v>
          </cell>
          <cell r="P177" t="str">
            <v>P660SD00C1121</v>
          </cell>
        </row>
        <row r="178">
          <cell r="O178" t="str">
            <v>1827</v>
          </cell>
          <cell r="P178" t="str">
            <v>P660MD01C1611</v>
          </cell>
        </row>
        <row r="179">
          <cell r="O179" t="str">
            <v>1828</v>
          </cell>
          <cell r="P179" t="str">
            <v>P660MD03C2431</v>
          </cell>
        </row>
        <row r="180">
          <cell r="O180" t="str">
            <v>1854</v>
          </cell>
          <cell r="P180" t="str">
            <v>P660MD02C2431</v>
          </cell>
        </row>
        <row r="181">
          <cell r="O181" t="str">
            <v>1855</v>
          </cell>
          <cell r="P181" t="str">
            <v>P660MD01C2411</v>
          </cell>
        </row>
        <row r="182">
          <cell r="O182" t="str">
            <v>0801</v>
          </cell>
          <cell r="P182" t="str">
            <v>P610IM03C1111</v>
          </cell>
        </row>
        <row r="183">
          <cell r="O183" t="str">
            <v>0802</v>
          </cell>
          <cell r="P183" t="str">
            <v>P610IM03C1211</v>
          </cell>
        </row>
        <row r="184">
          <cell r="O184" t="str">
            <v>0803</v>
          </cell>
          <cell r="P184" t="str">
            <v>P610IM03C1421</v>
          </cell>
        </row>
        <row r="185">
          <cell r="O185" t="str">
            <v>1502</v>
          </cell>
          <cell r="P185" t="str">
            <v>PTBD</v>
          </cell>
        </row>
        <row r="186">
          <cell r="O186" t="str">
            <v>1008</v>
          </cell>
          <cell r="P186" t="str">
            <v>P610IM03C0211</v>
          </cell>
        </row>
        <row r="187">
          <cell r="O187" t="str">
            <v>1309</v>
          </cell>
          <cell r="P187" t="str">
            <v>P610IM03C1112</v>
          </cell>
        </row>
        <row r="188">
          <cell r="O188" t="str">
            <v>1634</v>
          </cell>
          <cell r="P188" t="str">
            <v>P610IM03C4021</v>
          </cell>
        </row>
        <row r="189">
          <cell r="O189" t="str">
            <v>1720</v>
          </cell>
          <cell r="P189" t="str">
            <v>P610IM03C4022</v>
          </cell>
        </row>
        <row r="190">
          <cell r="O190" t="str">
            <v>1862</v>
          </cell>
          <cell r="P190" t="str">
            <v>P610IM03C3831</v>
          </cell>
        </row>
        <row r="191">
          <cell r="O191" t="str">
            <v>2040</v>
          </cell>
          <cell r="P191" t="str">
            <v>P610ID01C2611</v>
          </cell>
        </row>
        <row r="192">
          <cell r="O192" t="str">
            <v>1857</v>
          </cell>
          <cell r="P192" t="str">
            <v>P687IM13C1021</v>
          </cell>
        </row>
        <row r="193">
          <cell r="O193" t="str">
            <v>2001</v>
          </cell>
          <cell r="P193" t="str">
            <v>P687IM13C2521</v>
          </cell>
        </row>
        <row r="194">
          <cell r="O194" t="str">
            <v>21111</v>
          </cell>
          <cell r="P194" t="str">
            <v>P687IM13C2621</v>
          </cell>
        </row>
        <row r="195">
          <cell r="O195" t="str">
            <v>2415</v>
          </cell>
          <cell r="P195" t="str">
            <v>P687IM13C3721</v>
          </cell>
        </row>
        <row r="196">
          <cell r="O196" t="str">
            <v>0907</v>
          </cell>
          <cell r="P196" t="str">
            <v>P620IM00C1011</v>
          </cell>
        </row>
        <row r="197">
          <cell r="O197" t="str">
            <v>0914</v>
          </cell>
          <cell r="P197" t="str">
            <v>P620IM08C2411</v>
          </cell>
        </row>
        <row r="198">
          <cell r="O198" t="str">
            <v>1026A</v>
          </cell>
          <cell r="P198" t="str">
            <v>P620IM08C2621</v>
          </cell>
        </row>
        <row r="199">
          <cell r="O199" t="str">
            <v>1108</v>
          </cell>
          <cell r="P199" t="str">
            <v>P620IM08C1811</v>
          </cell>
        </row>
        <row r="200">
          <cell r="O200" t="str">
            <v>1109</v>
          </cell>
          <cell r="P200" t="str">
            <v>P620IM08C1821</v>
          </cell>
        </row>
        <row r="201">
          <cell r="O201" t="str">
            <v>1115</v>
          </cell>
          <cell r="P201" t="str">
            <v>P620IM08C0211</v>
          </cell>
        </row>
        <row r="202">
          <cell r="O202" t="str">
            <v>1117</v>
          </cell>
          <cell r="P202" t="str">
            <v>P620IM08C2421</v>
          </cell>
        </row>
        <row r="203">
          <cell r="O203" t="str">
            <v>1121</v>
          </cell>
          <cell r="P203" t="str">
            <v>P620IM08C2921</v>
          </cell>
        </row>
        <row r="204">
          <cell r="O204" t="str">
            <v>1021</v>
          </cell>
          <cell r="P204" t="str">
            <v>P620IM08C2531</v>
          </cell>
        </row>
        <row r="205">
          <cell r="O205" t="str">
            <v>1224</v>
          </cell>
          <cell r="P205" t="str">
            <v>P620IM08C3932</v>
          </cell>
        </row>
        <row r="206">
          <cell r="O206" t="str">
            <v>1225</v>
          </cell>
          <cell r="P206" t="str">
            <v>P620IM08C3931</v>
          </cell>
        </row>
        <row r="207">
          <cell r="O207" t="str">
            <v>1307</v>
          </cell>
          <cell r="P207" t="str">
            <v>P620IM08C2611</v>
          </cell>
        </row>
        <row r="208">
          <cell r="O208" t="str">
            <v>1314</v>
          </cell>
          <cell r="P208" t="str">
            <v>P620IM08C2911</v>
          </cell>
        </row>
        <row r="209">
          <cell r="O209" t="str">
            <v>1324</v>
          </cell>
          <cell r="P209" t="str">
            <v>P620IM12C2411</v>
          </cell>
        </row>
        <row r="210">
          <cell r="O210" t="str">
            <v>1334</v>
          </cell>
          <cell r="P210" t="str">
            <v>P620IM08C3731</v>
          </cell>
        </row>
        <row r="211">
          <cell r="O211" t="str">
            <v>1335</v>
          </cell>
          <cell r="P211" t="str">
            <v>P620IM08C3732</v>
          </cell>
        </row>
        <row r="212">
          <cell r="O212" t="str">
            <v>1412</v>
          </cell>
          <cell r="P212" t="str">
            <v>P620IM08C1221</v>
          </cell>
        </row>
        <row r="213">
          <cell r="O213" t="str">
            <v>1415</v>
          </cell>
          <cell r="P213" t="str">
            <v>P620IM08C3734</v>
          </cell>
        </row>
        <row r="214">
          <cell r="O214" t="str">
            <v>1416</v>
          </cell>
          <cell r="P214" t="str">
            <v>P620IM08C3733</v>
          </cell>
        </row>
        <row r="215">
          <cell r="O215" t="str">
            <v>1424</v>
          </cell>
          <cell r="P215" t="str">
            <v>P620IM08C3721</v>
          </cell>
        </row>
        <row r="216">
          <cell r="O216" t="str">
            <v>1433</v>
          </cell>
          <cell r="P216" t="str">
            <v>P620IM08C1711</v>
          </cell>
        </row>
        <row r="217">
          <cell r="O217" t="str">
            <v>1434</v>
          </cell>
          <cell r="P217" t="str">
            <v>P620IM08C3921</v>
          </cell>
        </row>
        <row r="218">
          <cell r="O218" t="str">
            <v>1526</v>
          </cell>
          <cell r="P218" t="str">
            <v>P620IM08C3735</v>
          </cell>
        </row>
        <row r="219">
          <cell r="O219" t="str">
            <v>1539</v>
          </cell>
          <cell r="P219" t="str">
            <v>P620IM08C2931</v>
          </cell>
        </row>
        <row r="220">
          <cell r="O220" t="str">
            <v>1607</v>
          </cell>
          <cell r="P220" t="str">
            <v>P620IM08C3911</v>
          </cell>
        </row>
        <row r="221">
          <cell r="O221" t="str">
            <v>1639</v>
          </cell>
          <cell r="P221" t="str">
            <v>P620IM08C4012</v>
          </cell>
        </row>
        <row r="222">
          <cell r="O222" t="str">
            <v>1652</v>
          </cell>
          <cell r="P222" t="str">
            <v>P620IM08C3736</v>
          </cell>
        </row>
        <row r="223">
          <cell r="O223" t="str">
            <v>16114</v>
          </cell>
          <cell r="P223" t="str">
            <v>P620IM13C2411</v>
          </cell>
        </row>
        <row r="224">
          <cell r="O224" t="str">
            <v>16115</v>
          </cell>
          <cell r="P224" t="str">
            <v>P620IM13C2431</v>
          </cell>
        </row>
        <row r="225">
          <cell r="O225" t="str">
            <v>1702</v>
          </cell>
          <cell r="P225" t="str">
            <v>P620IM13C2412</v>
          </cell>
        </row>
        <row r="226">
          <cell r="O226" t="str">
            <v>1760</v>
          </cell>
          <cell r="P226" t="str">
            <v>P620IM08C4014</v>
          </cell>
        </row>
        <row r="227">
          <cell r="O227" t="str">
            <v>1774</v>
          </cell>
          <cell r="P227" t="str">
            <v>P620IM12C3731</v>
          </cell>
        </row>
        <row r="228">
          <cell r="O228" t="str">
            <v>1776</v>
          </cell>
          <cell r="P228" t="str">
            <v>P620IM12C0211</v>
          </cell>
        </row>
        <row r="229">
          <cell r="O229" t="str">
            <v>1793 (CES)</v>
          </cell>
          <cell r="P229" t="str">
            <v>P620IM13C0231</v>
          </cell>
        </row>
        <row r="230">
          <cell r="O230" t="str">
            <v>1813</v>
          </cell>
          <cell r="P230" t="str">
            <v>P620IM08C3738</v>
          </cell>
        </row>
        <row r="231">
          <cell r="O231" t="str">
            <v>1877</v>
          </cell>
          <cell r="P231" t="str">
            <v>P620IM12C3732</v>
          </cell>
        </row>
        <row r="232">
          <cell r="O232" t="str">
            <v>1884</v>
          </cell>
          <cell r="P232" t="str">
            <v>P620IM08C4602</v>
          </cell>
        </row>
        <row r="233">
          <cell r="O233" t="str">
            <v>1902</v>
          </cell>
          <cell r="P233" t="str">
            <v>P620IM19C3732</v>
          </cell>
        </row>
        <row r="234">
          <cell r="O234" t="str">
            <v>1903</v>
          </cell>
          <cell r="P234" t="str">
            <v>P620IM07C4731</v>
          </cell>
        </row>
        <row r="235">
          <cell r="O235" t="str">
            <v>1923</v>
          </cell>
          <cell r="P235" t="str">
            <v>P620IM00C3731</v>
          </cell>
        </row>
        <row r="236">
          <cell r="O236" t="str">
            <v>1924</v>
          </cell>
          <cell r="P236" t="str">
            <v>P620IM08C3737</v>
          </cell>
        </row>
        <row r="237">
          <cell r="O237" t="str">
            <v>1991</v>
          </cell>
          <cell r="P237" t="str">
            <v>P620IM07C4732</v>
          </cell>
        </row>
        <row r="238">
          <cell r="O238" t="str">
            <v>2047</v>
          </cell>
          <cell r="P238" t="str">
            <v>P620IM00C4131</v>
          </cell>
        </row>
        <row r="239">
          <cell r="O239" t="str">
            <v>2052</v>
          </cell>
          <cell r="P239" t="str">
            <v>P620IM00C4011</v>
          </cell>
        </row>
        <row r="240">
          <cell r="O240" t="str">
            <v>2213</v>
          </cell>
          <cell r="P240" t="str">
            <v>P620IM00C3732</v>
          </cell>
        </row>
        <row r="241">
          <cell r="O241" t="str">
            <v>1551</v>
          </cell>
          <cell r="P241" t="str">
            <v>P670IM00C1021</v>
          </cell>
        </row>
        <row r="242">
          <cell r="O242" t="str">
            <v>1619</v>
          </cell>
          <cell r="P242" t="str">
            <v>P670IM07C1221</v>
          </cell>
        </row>
        <row r="243">
          <cell r="O243" t="str">
            <v>1633</v>
          </cell>
          <cell r="P243" t="str">
            <v>P670IM07C1621</v>
          </cell>
        </row>
        <row r="244">
          <cell r="O244" t="str">
            <v>1798</v>
          </cell>
          <cell r="P244" t="str">
            <v>P670IM08C2431</v>
          </cell>
        </row>
        <row r="245">
          <cell r="O245" t="str">
            <v>1805</v>
          </cell>
          <cell r="P245" t="str">
            <v>P670IM08C2531</v>
          </cell>
        </row>
        <row r="246">
          <cell r="O246" t="str">
            <v>1007</v>
          </cell>
          <cell r="P246" t="str">
            <v>P640IM00C1011</v>
          </cell>
        </row>
        <row r="247">
          <cell r="O247" t="str">
            <v>1105</v>
          </cell>
          <cell r="P247" t="str">
            <v>P640IM08C2421</v>
          </cell>
        </row>
        <row r="248">
          <cell r="O248" t="str">
            <v>0810</v>
          </cell>
          <cell r="P248" t="str">
            <v>P450IM02C3731</v>
          </cell>
        </row>
        <row r="249">
          <cell r="O249" t="str">
            <v>0814</v>
          </cell>
          <cell r="P249" t="str">
            <v>P450IM02C3732</v>
          </cell>
        </row>
        <row r="250">
          <cell r="O250" t="str">
            <v>0815</v>
          </cell>
          <cell r="P250" t="str">
            <v>P450IM02C3931</v>
          </cell>
        </row>
        <row r="251">
          <cell r="O251" t="str">
            <v>0816</v>
          </cell>
          <cell r="P251" t="str">
            <v>P450IM02C3733</v>
          </cell>
        </row>
        <row r="252">
          <cell r="O252" t="str">
            <v>0619</v>
          </cell>
          <cell r="P252" t="str">
            <v>P450IM02C2411</v>
          </cell>
        </row>
        <row r="253">
          <cell r="O253" t="str">
            <v>1101</v>
          </cell>
          <cell r="P253" t="str">
            <v>P450IM02C4911</v>
          </cell>
        </row>
        <row r="254">
          <cell r="O254" t="str">
            <v>1102</v>
          </cell>
          <cell r="P254" t="str">
            <v>P450IM02C4611</v>
          </cell>
        </row>
        <row r="255">
          <cell r="O255" t="str">
            <v>1103</v>
          </cell>
          <cell r="P255" t="str">
            <v>P450IM02C4612</v>
          </cell>
        </row>
        <row r="256">
          <cell r="O256" t="str">
            <v>1104</v>
          </cell>
          <cell r="P256" t="str">
            <v>P450IM02C4811</v>
          </cell>
        </row>
        <row r="257">
          <cell r="O257" t="str">
            <v>1116</v>
          </cell>
          <cell r="P257" t="str">
            <v>P648IM00C1031</v>
          </cell>
        </row>
        <row r="258">
          <cell r="O258" t="str">
            <v>1228</v>
          </cell>
          <cell r="P258" t="str">
            <v>P648IM11C1311</v>
          </cell>
        </row>
        <row r="259">
          <cell r="O259" t="str">
            <v>1222</v>
          </cell>
          <cell r="P259" t="str">
            <v>P648IM10C1421</v>
          </cell>
        </row>
        <row r="260">
          <cell r="O260" t="str">
            <v>1240</v>
          </cell>
          <cell r="P260" t="str">
            <v>P653IM00C1011</v>
          </cell>
        </row>
        <row r="261">
          <cell r="O261" t="str">
            <v>1325</v>
          </cell>
          <cell r="P261" t="str">
            <v>P653IM13C2421</v>
          </cell>
        </row>
        <row r="262">
          <cell r="O262" t="str">
            <v>1703</v>
          </cell>
          <cell r="P262" t="str">
            <v>P653IM13C2422</v>
          </cell>
        </row>
        <row r="263">
          <cell r="O263" t="str">
            <v>1762</v>
          </cell>
          <cell r="P263" t="str">
            <v>P620IM08C4013</v>
          </cell>
        </row>
        <row r="264">
          <cell r="O264" t="str">
            <v>1848</v>
          </cell>
          <cell r="P264" t="str">
            <v>P611IM18C2431</v>
          </cell>
        </row>
        <row r="265">
          <cell r="O265" t="str">
            <v>2102</v>
          </cell>
          <cell r="P265" t="str">
            <v>P653IM13C3731</v>
          </cell>
        </row>
        <row r="266">
          <cell r="O266" t="str">
            <v>2024</v>
          </cell>
          <cell r="P266" t="str">
            <v>P620IM08C4611</v>
          </cell>
        </row>
        <row r="267">
          <cell r="O267" t="str">
            <v>2072</v>
          </cell>
          <cell r="P267" t="str">
            <v>P620IM15C4001</v>
          </cell>
        </row>
        <row r="268">
          <cell r="O268" t="str">
            <v>2217</v>
          </cell>
          <cell r="P268" t="str">
            <v>P620IM08C4015</v>
          </cell>
        </row>
        <row r="269">
          <cell r="O269" t="str">
            <v>2328</v>
          </cell>
          <cell r="P269" t="str">
            <v>P620IM12C4011</v>
          </cell>
        </row>
        <row r="270">
          <cell r="O270" t="str">
            <v>0817</v>
          </cell>
          <cell r="P270" t="str">
            <v>P612PN00C1011</v>
          </cell>
        </row>
        <row r="271">
          <cell r="O271" t="str">
            <v>0908</v>
          </cell>
          <cell r="P271" t="str">
            <v>P612PN02C2411</v>
          </cell>
        </row>
        <row r="272">
          <cell r="O272" t="str">
            <v>0909</v>
          </cell>
          <cell r="P272" t="str">
            <v>P612PN03C2411</v>
          </cell>
        </row>
        <row r="273">
          <cell r="O273" t="str">
            <v>0901</v>
          </cell>
          <cell r="P273" t="str">
            <v>P612PN01C1411</v>
          </cell>
        </row>
        <row r="274">
          <cell r="O274" t="str">
            <v>1004</v>
          </cell>
          <cell r="P274" t="str">
            <v>P612PN01C2611</v>
          </cell>
        </row>
        <row r="275">
          <cell r="O275" t="str">
            <v>1024</v>
          </cell>
          <cell r="P275" t="str">
            <v>P612PN04C2431</v>
          </cell>
        </row>
        <row r="276">
          <cell r="O276" t="str">
            <v>1028</v>
          </cell>
          <cell r="P276" t="str">
            <v>P612PN01C2631</v>
          </cell>
        </row>
        <row r="277">
          <cell r="O277" t="str">
            <v>1029</v>
          </cell>
          <cell r="P277" t="str">
            <v>P612PN01C2632</v>
          </cell>
        </row>
        <row r="278">
          <cell r="O278" t="str">
            <v>1201</v>
          </cell>
          <cell r="P278" t="str">
            <v>P612PN01C3731</v>
          </cell>
        </row>
        <row r="279">
          <cell r="O279" t="str">
            <v>1202</v>
          </cell>
          <cell r="P279" t="str">
            <v>P612PN01C3732</v>
          </cell>
        </row>
        <row r="280">
          <cell r="O280" t="str">
            <v>1203</v>
          </cell>
          <cell r="P280" t="str">
            <v>P612PN01C3831</v>
          </cell>
        </row>
        <row r="281">
          <cell r="O281" t="str">
            <v>1212</v>
          </cell>
          <cell r="P281" t="str">
            <v>P612PN01C3931</v>
          </cell>
        </row>
        <row r="282">
          <cell r="O282" t="str">
            <v>1227</v>
          </cell>
          <cell r="P282" t="str">
            <v>P612PN01C2612</v>
          </cell>
        </row>
        <row r="283">
          <cell r="O283" t="str">
            <v>1516</v>
          </cell>
          <cell r="P283" t="str">
            <v>P612PN00C1111</v>
          </cell>
        </row>
        <row r="284">
          <cell r="O284" t="str">
            <v>1523</v>
          </cell>
          <cell r="P284" t="str">
            <v>P612PN01C3932</v>
          </cell>
        </row>
        <row r="285">
          <cell r="O285" t="str">
            <v>1524</v>
          </cell>
          <cell r="P285" t="str">
            <v>P612PN05C2431</v>
          </cell>
        </row>
        <row r="286">
          <cell r="O286" t="str">
            <v>1602</v>
          </cell>
          <cell r="P286" t="str">
            <v>P612PN00C1811</v>
          </cell>
        </row>
        <row r="287">
          <cell r="O287" t="str">
            <v>1611</v>
          </cell>
          <cell r="P287" t="str">
            <v>P612PN01C3734</v>
          </cell>
        </row>
        <row r="288">
          <cell r="O288" t="str">
            <v>1612</v>
          </cell>
          <cell r="P288" t="str">
            <v>P612PN05C3731</v>
          </cell>
        </row>
        <row r="289">
          <cell r="O289" t="str">
            <v>1660</v>
          </cell>
          <cell r="P289" t="str">
            <v>P612PN05C3733</v>
          </cell>
        </row>
        <row r="290">
          <cell r="O290" t="str">
            <v>1688</v>
          </cell>
          <cell r="P290" t="str">
            <v>P612PN01C3832</v>
          </cell>
        </row>
        <row r="291">
          <cell r="O291" t="str">
            <v>1758</v>
          </cell>
          <cell r="P291" t="str">
            <v>P612PN01C3933</v>
          </cell>
        </row>
        <row r="292">
          <cell r="O292" t="str">
            <v>1759</v>
          </cell>
          <cell r="P292" t="str">
            <v>P612PN05C3732</v>
          </cell>
        </row>
        <row r="293">
          <cell r="O293" t="str">
            <v>1815</v>
          </cell>
          <cell r="P293" t="str">
            <v>P612PN01C2931</v>
          </cell>
        </row>
        <row r="294">
          <cell r="O294" t="str">
            <v>1816</v>
          </cell>
          <cell r="P294" t="str">
            <v>P612PN01C2911</v>
          </cell>
        </row>
        <row r="295">
          <cell r="O295" t="str">
            <v>1528</v>
          </cell>
          <cell r="P295" t="str">
            <v>P666ID00C1011</v>
          </cell>
        </row>
        <row r="296">
          <cell r="O296" t="str">
            <v>1796</v>
          </cell>
          <cell r="P296" t="str">
            <v>P666ID00C3911</v>
          </cell>
        </row>
        <row r="297">
          <cell r="O297" t="str">
            <v>1332</v>
          </cell>
          <cell r="P297" t="str">
            <v>P659IM14C1231</v>
          </cell>
        </row>
        <row r="298">
          <cell r="O298" t="str">
            <v>1326</v>
          </cell>
          <cell r="P298" t="str">
            <v>P659IM00C1011</v>
          </cell>
        </row>
        <row r="299">
          <cell r="O299" t="str">
            <v>1520</v>
          </cell>
          <cell r="P299" t="str">
            <v>P659IM00C1111</v>
          </cell>
        </row>
        <row r="300">
          <cell r="O300" t="str">
            <v>1687</v>
          </cell>
          <cell r="P300" t="str">
            <v>P659IM14C1232</v>
          </cell>
        </row>
        <row r="301">
          <cell r="O301" t="str">
            <v>1659</v>
          </cell>
          <cell r="P301" t="str">
            <v>P674CV00C1021</v>
          </cell>
        </row>
        <row r="302">
          <cell r="O302" t="str">
            <v>1852</v>
          </cell>
          <cell r="P302" t="str">
            <v>P674CV00C2421</v>
          </cell>
        </row>
        <row r="303">
          <cell r="O303" t="str">
            <v>1853</v>
          </cell>
          <cell r="P303" t="str">
            <v>P674CV00C3731</v>
          </cell>
        </row>
        <row r="304">
          <cell r="O304" t="str">
            <v>1868</v>
          </cell>
          <cell r="P304" t="str">
            <v>P674CV00C3921</v>
          </cell>
        </row>
        <row r="305">
          <cell r="O305" t="str">
            <v>1878</v>
          </cell>
          <cell r="P305" t="str">
            <v>P674CV00C2431</v>
          </cell>
        </row>
        <row r="306">
          <cell r="O306" t="str">
            <v>1982</v>
          </cell>
          <cell r="P306" t="str">
            <v>P674CV00C1022</v>
          </cell>
        </row>
        <row r="307">
          <cell r="O307" t="str">
            <v>2014</v>
          </cell>
          <cell r="P307" t="str">
            <v>P674CV00C1023</v>
          </cell>
        </row>
        <row r="308">
          <cell r="O308" t="str">
            <v>2092</v>
          </cell>
          <cell r="P308" t="str">
            <v>P674CV00C2921</v>
          </cell>
        </row>
        <row r="309">
          <cell r="O309" t="str">
            <v>20105</v>
          </cell>
          <cell r="P309" t="str">
            <v>P674CV00C2422</v>
          </cell>
        </row>
        <row r="310">
          <cell r="O310" t="str">
            <v>20117</v>
          </cell>
          <cell r="P310" t="str">
            <v>P674CV00C1024</v>
          </cell>
        </row>
        <row r="311">
          <cell r="O311" t="str">
            <v>2018</v>
          </cell>
          <cell r="P311" t="str">
            <v>P674CV00C3732</v>
          </cell>
        </row>
        <row r="312">
          <cell r="O312" t="str">
            <v>2021</v>
          </cell>
          <cell r="P312" t="str">
            <v>P674CV00C3733</v>
          </cell>
        </row>
        <row r="313">
          <cell r="O313" t="str">
            <v>2022</v>
          </cell>
          <cell r="P313" t="str">
            <v>P674CV00C3734</v>
          </cell>
        </row>
        <row r="314">
          <cell r="O314" t="str">
            <v>2050</v>
          </cell>
          <cell r="P314" t="str">
            <v>P674CV00C3931</v>
          </cell>
        </row>
        <row r="315">
          <cell r="O315" t="str">
            <v>2297</v>
          </cell>
          <cell r="P315" t="str">
            <v>P674OD01C2431</v>
          </cell>
        </row>
        <row r="316">
          <cell r="O316" t="str">
            <v>2326</v>
          </cell>
          <cell r="P316" t="str">
            <v>P674OD01C3731</v>
          </cell>
        </row>
        <row r="317">
          <cell r="O317" t="str">
            <v>2327</v>
          </cell>
          <cell r="P317" t="str">
            <v>P674OD01C3732</v>
          </cell>
        </row>
        <row r="318">
          <cell r="O318" t="str">
            <v>2399</v>
          </cell>
          <cell r="P318" t="str">
            <v>P674HE00C4931</v>
          </cell>
        </row>
        <row r="319">
          <cell r="O319" t="str">
            <v>1794</v>
          </cell>
          <cell r="P319" t="str">
            <v>P680MD00C1021</v>
          </cell>
        </row>
        <row r="320">
          <cell r="O320" t="str">
            <v>1875</v>
          </cell>
          <cell r="P320" t="str">
            <v>P680MD00C2431</v>
          </cell>
        </row>
        <row r="321">
          <cell r="O321" t="str">
            <v>20100</v>
          </cell>
          <cell r="P321" t="str">
            <v>P680MD00C2631</v>
          </cell>
        </row>
        <row r="322">
          <cell r="O322" t="str">
            <v>20125</v>
          </cell>
          <cell r="P322" t="str">
            <v>P680MD00C2421</v>
          </cell>
        </row>
        <row r="323">
          <cell r="O323" t="str">
            <v>1810</v>
          </cell>
          <cell r="P323" t="str">
            <v>P685PN00C1021</v>
          </cell>
        </row>
        <row r="324">
          <cell r="O324" t="str">
            <v>1849</v>
          </cell>
          <cell r="P324" t="str">
            <v>P685PN01C2431</v>
          </cell>
        </row>
        <row r="325">
          <cell r="O325" t="str">
            <v>1946</v>
          </cell>
          <cell r="P325" t="str">
            <v>P701IM11C1021</v>
          </cell>
        </row>
        <row r="326">
          <cell r="O326" t="str">
            <v>1993</v>
          </cell>
          <cell r="P326" t="str">
            <v>P701IM11C1022</v>
          </cell>
        </row>
        <row r="327">
          <cell r="O327" t="str">
            <v>2039</v>
          </cell>
          <cell r="P327" t="str">
            <v>P701IM11C2531</v>
          </cell>
        </row>
        <row r="328">
          <cell r="O328" t="str">
            <v>2044</v>
          </cell>
          <cell r="P328" t="str">
            <v>P701IM22C2431</v>
          </cell>
        </row>
        <row r="329">
          <cell r="O329" t="str">
            <v>20128</v>
          </cell>
          <cell r="P329" t="str">
            <v>P701IM11C2331</v>
          </cell>
        </row>
        <row r="330">
          <cell r="O330" t="str">
            <v>1947</v>
          </cell>
          <cell r="P330" t="str">
            <v>P699IM04C2431</v>
          </cell>
        </row>
        <row r="331">
          <cell r="O331" t="str">
            <v>2101</v>
          </cell>
          <cell r="P331" t="str">
            <v>P699IM18C2631</v>
          </cell>
        </row>
        <row r="332">
          <cell r="O332" t="str">
            <v>1987</v>
          </cell>
          <cell r="P332" t="str">
            <v>P698CV00C1021</v>
          </cell>
        </row>
        <row r="333">
          <cell r="O333" t="str">
            <v>2159</v>
          </cell>
          <cell r="P333" t="str">
            <v>P698CV00C1121</v>
          </cell>
        </row>
        <row r="334">
          <cell r="O334" t="str">
            <v>22118</v>
          </cell>
          <cell r="P334" t="str">
            <v>P698CV00C2431</v>
          </cell>
        </row>
        <row r="335">
          <cell r="O335" t="str">
            <v>2410</v>
          </cell>
          <cell r="P335" t="str">
            <v>P698CV00C2531</v>
          </cell>
        </row>
        <row r="336">
          <cell r="O336" t="str">
            <v>2108</v>
          </cell>
          <cell r="P336" t="str">
            <v>P706ID01C6231</v>
          </cell>
        </row>
        <row r="337">
          <cell r="O337" t="str">
            <v>2066</v>
          </cell>
          <cell r="P337" t="str">
            <v>P706ID01C3731</v>
          </cell>
        </row>
        <row r="338">
          <cell r="O338" t="str">
            <v>2067</v>
          </cell>
          <cell r="P338" t="str">
            <v>P706ID01C3732</v>
          </cell>
        </row>
        <row r="339">
          <cell r="O339" t="str">
            <v>2068</v>
          </cell>
          <cell r="P339" t="str">
            <v>P706ID01C3711</v>
          </cell>
        </row>
        <row r="340">
          <cell r="O340" t="str">
            <v>2069</v>
          </cell>
          <cell r="P340" t="str">
            <v>P706ID01C3712</v>
          </cell>
        </row>
        <row r="341">
          <cell r="O341" t="str">
            <v>2093</v>
          </cell>
          <cell r="P341" t="str">
            <v>P706ID01C1211</v>
          </cell>
        </row>
        <row r="342">
          <cell r="O342" t="str">
            <v>20145</v>
          </cell>
          <cell r="P342" t="str">
            <v>P706ID01C2511</v>
          </cell>
        </row>
        <row r="343">
          <cell r="O343" t="str">
            <v>2114</v>
          </cell>
          <cell r="P343" t="str">
            <v>P706ID01C1131</v>
          </cell>
        </row>
        <row r="344">
          <cell r="O344" t="str">
            <v>2118</v>
          </cell>
          <cell r="P344" t="str">
            <v>P706ID01C2411</v>
          </cell>
        </row>
        <row r="345">
          <cell r="O345" t="str">
            <v>2121</v>
          </cell>
          <cell r="P345" t="str">
            <v>P706ID01C2911</v>
          </cell>
        </row>
        <row r="346">
          <cell r="O346" t="str">
            <v>2178</v>
          </cell>
          <cell r="P346" t="str">
            <v>P706ID01C3831</v>
          </cell>
        </row>
        <row r="347">
          <cell r="O347" t="str">
            <v>2176</v>
          </cell>
          <cell r="P347" t="str">
            <v>P719ID01C3832</v>
          </cell>
        </row>
        <row r="348">
          <cell r="O348" t="str">
            <v>2179</v>
          </cell>
          <cell r="P348" t="str">
            <v>P706ID01C1011</v>
          </cell>
        </row>
        <row r="349">
          <cell r="O349" t="str">
            <v>2149</v>
          </cell>
          <cell r="P349" t="str">
            <v>P719ID01C3831</v>
          </cell>
        </row>
        <row r="350">
          <cell r="O350" t="str">
            <v>2203</v>
          </cell>
          <cell r="P350" t="str">
            <v>P723ID01C1021</v>
          </cell>
        </row>
        <row r="351">
          <cell r="O351" t="str">
            <v>2205</v>
          </cell>
          <cell r="P351" t="str">
            <v>P723ID01C0311</v>
          </cell>
        </row>
        <row r="352">
          <cell r="O352" t="str">
            <v>2206</v>
          </cell>
          <cell r="P352" t="str">
            <v>P723ID01C0312</v>
          </cell>
        </row>
        <row r="353">
          <cell r="O353" t="str">
            <v>2207</v>
          </cell>
          <cell r="P353" t="str">
            <v>P723ID01C3731</v>
          </cell>
        </row>
        <row r="354">
          <cell r="O354" t="str">
            <v>2237</v>
          </cell>
          <cell r="P354" t="str">
            <v>P723ID01C3732</v>
          </cell>
        </row>
        <row r="355">
          <cell r="O355" t="str">
            <v>2253</v>
          </cell>
          <cell r="P355" t="str">
            <v>P731ID01C1021</v>
          </cell>
        </row>
        <row r="356">
          <cell r="O356" t="str">
            <v>2254</v>
          </cell>
          <cell r="P356" t="str">
            <v>P732ID01C1011</v>
          </cell>
        </row>
        <row r="357">
          <cell r="O357" t="str">
            <v>2125</v>
          </cell>
          <cell r="P357" t="str">
            <v>P707CV00C1121</v>
          </cell>
        </row>
        <row r="358">
          <cell r="O358" t="str">
            <v>2107</v>
          </cell>
          <cell r="P358" t="str">
            <v>P705ST05C1121</v>
          </cell>
        </row>
        <row r="359">
          <cell r="O359" t="str">
            <v>2230</v>
          </cell>
          <cell r="P359" t="str">
            <v>P705GE00C2421</v>
          </cell>
        </row>
        <row r="360">
          <cell r="O360" t="str">
            <v>2187</v>
          </cell>
          <cell r="P360" t="str">
            <v>P711GE00C0031</v>
          </cell>
        </row>
        <row r="361">
          <cell r="O361" t="str">
            <v>21102</v>
          </cell>
          <cell r="P361" t="str">
            <v>P715GE00C1021</v>
          </cell>
        </row>
        <row r="362">
          <cell r="O362" t="str">
            <v>2360</v>
          </cell>
          <cell r="P362" t="str">
            <v>P715HE08C2431</v>
          </cell>
        </row>
        <row r="363">
          <cell r="O363" t="str">
            <v>2154</v>
          </cell>
          <cell r="P363" t="str">
            <v>P718GE00C1121</v>
          </cell>
        </row>
        <row r="364">
          <cell r="O364" t="str">
            <v>2350</v>
          </cell>
          <cell r="P364" t="str">
            <v>P718HE09C2431</v>
          </cell>
        </row>
        <row r="365">
          <cell r="O365" t="str">
            <v>2229</v>
          </cell>
          <cell r="P365" t="str">
            <v>P705GE00C6221</v>
          </cell>
        </row>
        <row r="366">
          <cell r="O366" t="str">
            <v>2308</v>
          </cell>
          <cell r="P366" t="str">
            <v>P705HE08C2431</v>
          </cell>
        </row>
        <row r="367">
          <cell r="O367" t="str">
            <v>2424</v>
          </cell>
          <cell r="P367" t="str">
            <v>P705HE08C1121</v>
          </cell>
        </row>
        <row r="368">
          <cell r="O368" t="str">
            <v>2273</v>
          </cell>
          <cell r="P368" t="str">
            <v>P728CV00C6211</v>
          </cell>
        </row>
        <row r="369">
          <cell r="O369" t="str">
            <v>2277</v>
          </cell>
          <cell r="P369" t="str">
            <v>P728CV00C6212</v>
          </cell>
        </row>
        <row r="370">
          <cell r="O370" t="str">
            <v>2278</v>
          </cell>
          <cell r="P370" t="str">
            <v>P728CV00C6231</v>
          </cell>
        </row>
        <row r="371">
          <cell r="O371" t="str">
            <v>2280</v>
          </cell>
          <cell r="P371" t="str">
            <v>P674OD01C6211</v>
          </cell>
        </row>
        <row r="372">
          <cell r="O372" t="str">
            <v>2286</v>
          </cell>
          <cell r="P372" t="str">
            <v>P570OD07C6211</v>
          </cell>
        </row>
        <row r="373">
          <cell r="O373" t="str">
            <v>2216</v>
          </cell>
          <cell r="P373" t="str">
            <v>P722CV00C6231</v>
          </cell>
        </row>
        <row r="374">
          <cell r="O374" t="str">
            <v>21115</v>
          </cell>
          <cell r="P374" t="str">
            <v>P675ST00C6011</v>
          </cell>
        </row>
        <row r="375">
          <cell r="O375" t="str">
            <v>0009</v>
          </cell>
          <cell r="P375" t="str">
            <v>P736ST00C2602</v>
          </cell>
        </row>
        <row r="376">
          <cell r="O376" t="str">
            <v>2275</v>
          </cell>
          <cell r="P376" t="str">
            <v>P736ST13C2731</v>
          </cell>
        </row>
        <row r="377">
          <cell r="O377" t="str">
            <v>2312</v>
          </cell>
          <cell r="P377" t="str">
            <v>P740ID01C1021</v>
          </cell>
        </row>
        <row r="378">
          <cell r="O378" t="str">
            <v>2313</v>
          </cell>
          <cell r="P378" t="str">
            <v>P740ID01C3731</v>
          </cell>
        </row>
        <row r="379">
          <cell r="O379" t="str">
            <v>2361</v>
          </cell>
          <cell r="P379" t="str">
            <v>P740ID01C3732</v>
          </cell>
        </row>
        <row r="380">
          <cell r="O380" t="str">
            <v>2276</v>
          </cell>
          <cell r="P380" t="str">
            <v>P714NS00C6211</v>
          </cell>
        </row>
        <row r="381">
          <cell r="O381" t="str">
            <v>2318</v>
          </cell>
          <cell r="P381" t="str">
            <v>P711HE07C1531</v>
          </cell>
        </row>
        <row r="382">
          <cell r="O382" t="str">
            <v>1808)</v>
          </cell>
          <cell r="P382" t="str">
            <v>P680GE00G0000</v>
          </cell>
        </row>
        <row r="383">
          <cell r="O383" t="str">
            <v>17102</v>
          </cell>
          <cell r="P383" t="str">
            <v>P653IM13C6011</v>
          </cell>
        </row>
        <row r="384">
          <cell r="O384" t="str">
            <v>1808</v>
          </cell>
          <cell r="P384" t="str">
            <v>P680GE00C6021</v>
          </cell>
        </row>
        <row r="385">
          <cell r="O385" t="str">
            <v>1811</v>
          </cell>
          <cell r="P385" t="str">
            <v>P680MD00C6011</v>
          </cell>
        </row>
        <row r="386">
          <cell r="O386" t="str">
            <v>1887</v>
          </cell>
          <cell r="P386" t="str">
            <v>P653IM13C6021</v>
          </cell>
        </row>
        <row r="387">
          <cell r="O387" t="str">
            <v>2416</v>
          </cell>
          <cell r="P387" t="str">
            <v>P653IM13C3701</v>
          </cell>
        </row>
        <row r="388">
          <cell r="O388" t="str">
            <v>1812</v>
          </cell>
          <cell r="P388" t="str">
            <v>P685PN00C6031</v>
          </cell>
        </row>
        <row r="389">
          <cell r="O389" t="str">
            <v>1865</v>
          </cell>
          <cell r="P389" t="str">
            <v>P685PN01C6011</v>
          </cell>
        </row>
        <row r="390">
          <cell r="O390" t="str">
            <v>1851</v>
          </cell>
          <cell r="P390" t="str">
            <v>P687IM13C6021</v>
          </cell>
        </row>
        <row r="391">
          <cell r="O391" t="str">
            <v>1870</v>
          </cell>
          <cell r="P391" t="str">
            <v>PN/A</v>
          </cell>
        </row>
        <row r="392">
          <cell r="O392" t="str">
            <v>1973</v>
          </cell>
          <cell r="P392" t="str">
            <v>P620IM00C6021</v>
          </cell>
        </row>
        <row r="393">
          <cell r="O393" t="str">
            <v>1925</v>
          </cell>
          <cell r="P393" t="str">
            <v>P620IM07C6021</v>
          </cell>
        </row>
        <row r="394">
          <cell r="O394" t="str">
            <v>2373</v>
          </cell>
          <cell r="P394" t="str">
            <v>P620IM07C4733</v>
          </cell>
        </row>
        <row r="395">
          <cell r="O395" t="str">
            <v>1945</v>
          </cell>
          <cell r="P395" t="str">
            <v>P703CV00C6011</v>
          </cell>
        </row>
        <row r="396">
          <cell r="O396" t="str">
            <v>1955</v>
          </cell>
          <cell r="P396" t="str">
            <v>P611IM18C6011</v>
          </cell>
        </row>
        <row r="397">
          <cell r="O397" t="str">
            <v>1985</v>
          </cell>
          <cell r="P397" t="str">
            <v>P703CV00C6211</v>
          </cell>
        </row>
        <row r="398">
          <cell r="O398" t="str">
            <v>1986</v>
          </cell>
          <cell r="P398" t="str">
            <v>P703CV00C6212</v>
          </cell>
        </row>
        <row r="399">
          <cell r="O399" t="str">
            <v>2023</v>
          </cell>
          <cell r="P399" t="str">
            <v>P680MD00C6012</v>
          </cell>
        </row>
        <row r="400">
          <cell r="O400" t="str">
            <v>2048</v>
          </cell>
          <cell r="P400" t="str">
            <v>P710ID01C6211</v>
          </cell>
        </row>
        <row r="401">
          <cell r="O401" t="str">
            <v>2053</v>
          </cell>
          <cell r="P401" t="str">
            <v>P710ID01C6215</v>
          </cell>
        </row>
        <row r="402">
          <cell r="O402" t="str">
            <v>2054</v>
          </cell>
          <cell r="P402" t="str">
            <v>P710ID01C6212</v>
          </cell>
        </row>
        <row r="403">
          <cell r="O403" t="str">
            <v>2056</v>
          </cell>
          <cell r="P403" t="str">
            <v>P710ID01C6213</v>
          </cell>
        </row>
        <row r="404">
          <cell r="O404" t="str">
            <v>2057</v>
          </cell>
          <cell r="P404" t="str">
            <v>P710ID01C6217</v>
          </cell>
        </row>
        <row r="405">
          <cell r="O405" t="str">
            <v>2061</v>
          </cell>
          <cell r="P405" t="str">
            <v>P710ID01C6221</v>
          </cell>
        </row>
        <row r="406">
          <cell r="O406" t="str">
            <v>2062</v>
          </cell>
          <cell r="P406" t="str">
            <v>P710ID01C6216</v>
          </cell>
        </row>
        <row r="407">
          <cell r="O407" t="str">
            <v>2063</v>
          </cell>
          <cell r="P407" t="str">
            <v>P710ID01C6218</v>
          </cell>
        </row>
        <row r="408">
          <cell r="O408" t="str">
            <v>2064</v>
          </cell>
          <cell r="P408" t="str">
            <v>P710ID01C6214</v>
          </cell>
        </row>
        <row r="409">
          <cell r="O409" t="str">
            <v>2079</v>
          </cell>
          <cell r="P409" t="str">
            <v>P710ID01C6219</v>
          </cell>
        </row>
        <row r="410">
          <cell r="O410" t="str">
            <v>2143)</v>
          </cell>
          <cell r="P410" t="str">
            <v>P660SD01C4011</v>
          </cell>
        </row>
        <row r="411">
          <cell r="O411" t="str">
            <v>20122</v>
          </cell>
          <cell r="P411" t="str">
            <v>P710ID01C6222</v>
          </cell>
        </row>
        <row r="412">
          <cell r="O412" t="str">
            <v>2116</v>
          </cell>
          <cell r="P412" t="str">
            <v>P710ID01C6241</v>
          </cell>
        </row>
        <row r="413">
          <cell r="O413" t="str">
            <v>2261</v>
          </cell>
          <cell r="P413" t="str">
            <v>P731ID01C6011</v>
          </cell>
        </row>
        <row r="414">
          <cell r="O414" t="str">
            <v>2117</v>
          </cell>
          <cell r="P414" t="str">
            <v>P703MD00C6021</v>
          </cell>
        </row>
        <row r="415">
          <cell r="O415" t="str">
            <v>22101</v>
          </cell>
          <cell r="P415" t="str">
            <v>P699IM18C6121</v>
          </cell>
        </row>
        <row r="416">
          <cell r="O416" t="str">
            <v>22126</v>
          </cell>
          <cell r="P416" t="str">
            <v>P705HE08C6211</v>
          </cell>
        </row>
        <row r="417">
          <cell r="O417" t="str">
            <v>2321</v>
          </cell>
          <cell r="P417" t="str">
            <v>P674OD01C6212</v>
          </cell>
        </row>
        <row r="418">
          <cell r="O418" t="str">
            <v>2342</v>
          </cell>
          <cell r="P418" t="str">
            <v>P672ST15C6111</v>
          </cell>
        </row>
        <row r="419">
          <cell r="O419" t="str">
            <v>2130</v>
          </cell>
          <cell r="P419" t="str">
            <v>P703GE00C2431</v>
          </cell>
        </row>
        <row r="420">
          <cell r="O420" t="str">
            <v>2227</v>
          </cell>
          <cell r="P420" t="str">
            <v>P721GE00C1011</v>
          </cell>
        </row>
        <row r="421">
          <cell r="O421" t="str">
            <v>2255</v>
          </cell>
          <cell r="P421" t="str">
            <v>P721MD04C1211</v>
          </cell>
        </row>
        <row r="422">
          <cell r="O422" t="str">
            <v>2351</v>
          </cell>
          <cell r="P422" t="str">
            <v>P725NS04C1231</v>
          </cell>
        </row>
        <row r="423">
          <cell r="O423" t="str">
            <v>2348</v>
          </cell>
          <cell r="P423" t="str">
            <v>P727IM09C1021</v>
          </cell>
        </row>
        <row r="424">
          <cell r="O424" t="str">
            <v>22109</v>
          </cell>
          <cell r="P424" t="str">
            <v>P722GE00C1021</v>
          </cell>
        </row>
        <row r="425">
          <cell r="O425" t="str">
            <v>2289</v>
          </cell>
          <cell r="P425" t="str">
            <v>P728CV00C1121</v>
          </cell>
        </row>
        <row r="426">
          <cell r="O426" t="str">
            <v>2284</v>
          </cell>
          <cell r="P426" t="str">
            <v>P680MD00C3931</v>
          </cell>
        </row>
        <row r="427">
          <cell r="O427" t="str">
            <v>2285</v>
          </cell>
          <cell r="P427" t="str">
            <v>P680MD00C3731</v>
          </cell>
        </row>
        <row r="428">
          <cell r="O428" t="str">
            <v>22110</v>
          </cell>
          <cell r="P428" t="str">
            <v>P713HE02C1021</v>
          </cell>
        </row>
        <row r="429">
          <cell r="O429" t="str">
            <v>22114</v>
          </cell>
          <cell r="P429" t="str">
            <v>P730ST15C2231</v>
          </cell>
        </row>
        <row r="430">
          <cell r="O430" t="str">
            <v>001 (CHORD)</v>
          </cell>
          <cell r="P430" t="str">
            <v>P716AD01C1531</v>
          </cell>
        </row>
        <row r="431">
          <cell r="O431" t="str">
            <v>2420</v>
          </cell>
          <cell r="P431" t="str">
            <v>P687IM13C6211</v>
          </cell>
        </row>
        <row r="432">
          <cell r="O432" t="str">
            <v>2441</v>
          </cell>
          <cell r="P432" t="str">
            <v>P653IM13C6221</v>
          </cell>
        </row>
        <row r="433">
          <cell r="O433" t="str">
            <v>2349</v>
          </cell>
          <cell r="P433" t="str">
            <v>P675ST04C6111</v>
          </cell>
        </row>
        <row r="434">
          <cell r="O434" t="str">
            <v>001</v>
          </cell>
          <cell r="P434" t="str">
            <v>P741AD01C0331</v>
          </cell>
        </row>
        <row r="435">
          <cell r="O435" t="str">
            <v>001</v>
          </cell>
          <cell r="P435" t="str">
            <v>P716AD01C0331 - DO NOT USE ANY LONGER - USE ONE ABOVE</v>
          </cell>
        </row>
        <row r="436">
          <cell r="O436" t="str">
            <v xml:space="preserve"> iPro)</v>
          </cell>
          <cell r="P436" t="str">
            <v>P664ST06C4021</v>
          </cell>
        </row>
        <row r="437">
          <cell r="O437" t="str">
            <v>2414</v>
          </cell>
          <cell r="P437" t="str">
            <v>P675ST04C6112</v>
          </cell>
        </row>
        <row r="438">
          <cell r="O438" t="str">
            <v>2421</v>
          </cell>
          <cell r="P438" t="str">
            <v>P664ST06C6121</v>
          </cell>
        </row>
        <row r="439">
          <cell r="O439" t="str">
            <v>2444</v>
          </cell>
          <cell r="P439" t="str">
            <v>P571OD01C3211</v>
          </cell>
        </row>
        <row r="440">
          <cell r="O440" t="str">
            <v>2429</v>
          </cell>
          <cell r="P440" t="str">
            <v>P722CV00C2431</v>
          </cell>
        </row>
        <row r="441">
          <cell r="O441" t="str">
            <v>2365</v>
          </cell>
          <cell r="P441" t="str">
            <v>P728CV00C2431</v>
          </cell>
        </row>
        <row r="442">
          <cell r="O442" t="str">
            <v>2242</v>
          </cell>
          <cell r="P442" t="str">
            <v>P738MD00C6212</v>
          </cell>
        </row>
        <row r="443">
          <cell r="O443" t="str">
            <v>2419</v>
          </cell>
          <cell r="P443" t="str">
            <v>P738MD00C6211</v>
          </cell>
        </row>
        <row r="444">
          <cell r="O444" t="str">
            <v>2435</v>
          </cell>
          <cell r="P444" t="str">
            <v>P722CV00C2432</v>
          </cell>
        </row>
        <row r="445">
          <cell r="O445" t="str">
            <v>2320</v>
          </cell>
          <cell r="P445" t="str">
            <v>P672ST07C2631</v>
          </cell>
        </row>
        <row r="446">
          <cell r="O446" t="str">
            <v>2445</v>
          </cell>
          <cell r="P446" t="str">
            <v>P675ST04C2631</v>
          </cell>
        </row>
        <row r="447">
          <cell r="O447" t="str">
            <v>2423</v>
          </cell>
          <cell r="P447" t="str">
            <v>P620IM12C3711</v>
          </cell>
        </row>
        <row r="448">
          <cell r="O448" t="str">
            <v>2447</v>
          </cell>
          <cell r="P448" t="str">
            <v>P717CV00C2521</v>
          </cell>
        </row>
        <row r="449">
          <cell r="O449" t="str">
            <v>01 (2SeventyBio)</v>
          </cell>
          <cell r="P449" t="str">
            <v>P724ST04C1011</v>
          </cell>
        </row>
        <row r="450">
          <cell r="O450" t="str">
            <v>2411</v>
          </cell>
          <cell r="P450" t="str">
            <v>P733HE08C1021</v>
          </cell>
        </row>
        <row r="451">
          <cell r="O451" t="str">
            <v>2412</v>
          </cell>
          <cell r="P451" t="str">
            <v>P734HE08C1021</v>
          </cell>
        </row>
        <row r="452">
          <cell r="O452" t="str">
            <v>2322</v>
          </cell>
          <cell r="P452" t="str">
            <v>P746NS02C6211</v>
          </cell>
        </row>
        <row r="453">
          <cell r="O453" t="str">
            <v>2431</v>
          </cell>
          <cell r="P453" t="str">
            <v>P672ST09C2631</v>
          </cell>
        </row>
        <row r="454">
          <cell r="O454" t="str">
            <v>2466</v>
          </cell>
          <cell r="P454" t="str">
            <v>P672ST13C2631</v>
          </cell>
        </row>
        <row r="455">
          <cell r="O455" t="str">
            <v>2486</v>
          </cell>
          <cell r="P455" t="str">
            <v>P743MD04C1331</v>
          </cell>
        </row>
        <row r="456">
          <cell r="O456" t="str">
            <v>2449</v>
          </cell>
          <cell r="P456" t="str">
            <v>P675ST04C6121</v>
          </cell>
        </row>
        <row r="457">
          <cell r="O457" t="str">
            <v>2392</v>
          </cell>
          <cell r="P457" t="str">
            <v>P715HE08C3131</v>
          </cell>
        </row>
        <row r="458">
          <cell r="O458" t="str">
            <v>2413</v>
          </cell>
          <cell r="P458" t="str">
            <v>P660SD01C3932</v>
          </cell>
        </row>
        <row r="459">
          <cell r="O459" t="str">
            <v xml:space="preserve"> (Japan iPro)</v>
          </cell>
          <cell r="P459" t="str">
            <v>P664ST01C4921</v>
          </cell>
        </row>
        <row r="460">
          <cell r="O460" t="str">
            <v>2459</v>
          </cell>
          <cell r="P460" t="str">
            <v>P692HE00C1431</v>
          </cell>
        </row>
        <row r="461">
          <cell r="O461" t="str">
            <v>2396</v>
          </cell>
          <cell r="P461" t="str">
            <v>P715HE08C3231</v>
          </cell>
        </row>
        <row r="462">
          <cell r="O462" t="str">
            <v>2246</v>
          </cell>
          <cell r="P462" t="str">
            <v>P686HE02C3732</v>
          </cell>
        </row>
        <row r="463">
          <cell r="O463" t="str">
            <v>2470</v>
          </cell>
          <cell r="P463" t="str">
            <v>P660MD05C1211</v>
          </cell>
        </row>
        <row r="464">
          <cell r="O464" t="str">
            <v>2471</v>
          </cell>
          <cell r="P464" t="str">
            <v>P680MD05C3221</v>
          </cell>
        </row>
        <row r="465">
          <cell r="O465" t="str">
            <v>2489</v>
          </cell>
          <cell r="P465" t="str">
            <v>P721MD04C6231</v>
          </cell>
        </row>
        <row r="466">
          <cell r="O466" t="str">
            <v>2468</v>
          </cell>
          <cell r="P466" t="str">
            <v>P742HE06C2231</v>
          </cell>
        </row>
        <row r="467">
          <cell r="O467" t="str">
            <v xml:space="preserve">2493 </v>
          </cell>
          <cell r="P467" t="str">
            <v>P751HE02C1031</v>
          </cell>
        </row>
        <row r="468">
          <cell r="O468" t="str">
            <v>2483</v>
          </cell>
          <cell r="P468" t="str">
            <v>P674HE06C3731</v>
          </cell>
        </row>
        <row r="469">
          <cell r="O469" t="str">
            <v>2111</v>
          </cell>
          <cell r="P469" t="str">
            <v>P766OD08C6211</v>
          </cell>
        </row>
        <row r="470">
          <cell r="O470" t="str">
            <v>2463</v>
          </cell>
          <cell r="P470" t="str">
            <v>P725NS04C6212</v>
          </cell>
        </row>
        <row r="471">
          <cell r="O471" t="str">
            <v xml:space="preserve"> BASKET STUDY)</v>
          </cell>
          <cell r="P471" t="str">
            <v>P890ST00C0031</v>
          </cell>
        </row>
        <row r="472">
          <cell r="O472" t="str">
            <v>2464</v>
          </cell>
          <cell r="P472" t="str">
            <v>P725NS04C6211</v>
          </cell>
        </row>
        <row r="473">
          <cell r="O473" t="str">
            <v>24116</v>
          </cell>
          <cell r="P473" t="str">
            <v>P715HE08C3831</v>
          </cell>
        </row>
        <row r="474">
          <cell r="O474" t="str">
            <v>24120</v>
          </cell>
          <cell r="P474" t="str">
            <v>P715HE08C3832</v>
          </cell>
        </row>
        <row r="475">
          <cell r="O475" t="str">
            <v>2476</v>
          </cell>
          <cell r="P475" t="str">
            <v>P675ST01C2631</v>
          </cell>
        </row>
        <row r="476">
          <cell r="O476" t="str">
            <v>2372</v>
          </cell>
          <cell r="P476" t="str">
            <v>P620IM08C4211</v>
          </cell>
        </row>
        <row r="477">
          <cell r="O477" t="str">
            <v>2482</v>
          </cell>
          <cell r="P477" t="str">
            <v>P746NS02C1021</v>
          </cell>
        </row>
        <row r="478">
          <cell r="O478" t="str">
            <v>24123</v>
          </cell>
          <cell r="P478" t="str">
            <v>P752OD00C1031</v>
          </cell>
        </row>
        <row r="479">
          <cell r="O479" t="str">
            <v>2501</v>
          </cell>
          <cell r="P479" t="str">
            <v>P674OD01C1021</v>
          </cell>
        </row>
        <row r="480">
          <cell r="O480" t="str">
            <v>2472</v>
          </cell>
          <cell r="P480" t="str">
            <v>P647MD05C2511</v>
          </cell>
        </row>
        <row r="481">
          <cell r="O481" t="str">
            <v>2393</v>
          </cell>
          <cell r="P481" t="str">
            <v>P715HE08C2231</v>
          </cell>
        </row>
        <row r="482">
          <cell r="O482" t="str">
            <v>24139</v>
          </cell>
          <cell r="P482" t="str">
            <v>P647MD01C2531</v>
          </cell>
        </row>
        <row r="483">
          <cell r="O483" t="str">
            <v>2485</v>
          </cell>
          <cell r="P483" t="str">
            <v>P680GE00C2411</v>
          </cell>
        </row>
        <row r="484">
          <cell r="O484" t="str">
            <v>2506</v>
          </cell>
          <cell r="P484" t="str">
            <v>P672ST13C6111</v>
          </cell>
        </row>
        <row r="485">
          <cell r="O485" t="str">
            <v>2502</v>
          </cell>
          <cell r="P485" t="str">
            <v>P727IM09C2411</v>
          </cell>
        </row>
        <row r="486">
          <cell r="O486" t="str">
            <v>24144</v>
          </cell>
          <cell r="P486" t="str">
            <v>P750ST12C1031</v>
          </cell>
        </row>
        <row r="487">
          <cell r="O487" t="str">
            <v>2347</v>
          </cell>
          <cell r="P487" t="str">
            <v>P647MD01C2431</v>
          </cell>
        </row>
        <row r="488">
          <cell r="O488" t="str">
            <v>2119</v>
          </cell>
          <cell r="P488" t="str">
            <v>P660ID00C3732</v>
          </cell>
        </row>
        <row r="489">
          <cell r="O489" t="str">
            <v>2394</v>
          </cell>
          <cell r="P489" t="str">
            <v>P705HE08C3831</v>
          </cell>
        </row>
        <row r="490">
          <cell r="O490" t="str">
            <v>2504</v>
          </cell>
          <cell r="P490" t="str">
            <v>P686HE02C3733</v>
          </cell>
        </row>
        <row r="491">
          <cell r="O491" t="str">
            <v>2495</v>
          </cell>
          <cell r="P491" t="str">
            <v>P705HE08C3832</v>
          </cell>
        </row>
        <row r="492">
          <cell r="O492" t="str">
            <v>24114</v>
          </cell>
          <cell r="P492" t="str">
            <v>P715HE08C3833</v>
          </cell>
        </row>
        <row r="493">
          <cell r="O493" t="str">
            <v>2514</v>
          </cell>
          <cell r="P493" t="str">
            <v>P686HE02C2911</v>
          </cell>
        </row>
        <row r="494">
          <cell r="O494" t="e">
            <v>#VALUE!</v>
          </cell>
          <cell r="P494" t="str">
            <v>P</v>
          </cell>
        </row>
        <row r="495">
          <cell r="O495" t="str">
            <v xml:space="preserve">A5370 </v>
          </cell>
          <cell r="P495" t="str">
            <v>P664ID00C1211</v>
          </cell>
        </row>
        <row r="496">
          <cell r="O496" t="str">
            <v xml:space="preserve"> ABOVE</v>
          </cell>
          <cell r="P496" t="str">
            <v>P672ST20C1011</v>
          </cell>
        </row>
        <row r="497">
          <cell r="O497" t="str">
            <v>SK</v>
          </cell>
          <cell r="P497" t="str">
            <v>P675ST00C1621</v>
          </cell>
        </row>
        <row r="498">
          <cell r="O498" t="str">
            <v>12NAT02535</v>
          </cell>
          <cell r="P498" t="str">
            <v>P672ST00C1021</v>
          </cell>
        </row>
        <row r="499">
          <cell r="O499" t="str">
            <v>0135</v>
          </cell>
          <cell r="P499" t="str">
            <v>P694ST12C0011</v>
          </cell>
        </row>
        <row r="500">
          <cell r="O500" t="e">
            <v>#VALUE!</v>
          </cell>
          <cell r="P500" t="str">
            <v>P</v>
          </cell>
        </row>
        <row r="501">
          <cell r="O501" t="str">
            <v>1885</v>
          </cell>
          <cell r="P501" t="str">
            <v>P620IM07C4011</v>
          </cell>
        </row>
      </sheetData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CD9C-99CE-4358-A180-3DBAD785712F}">
  <sheetPr codeName="Sheet2">
    <tabColor theme="4" tint="0.59999389629810485"/>
  </sheetPr>
  <dimension ref="A1:M2976"/>
  <sheetViews>
    <sheetView tabSelected="1" zoomScale="70" zoomScaleNormal="70" workbookViewId="0">
      <selection activeCell="C11" sqref="C11"/>
    </sheetView>
  </sheetViews>
  <sheetFormatPr defaultRowHeight="15" customHeight="1" x14ac:dyDescent="0.35"/>
  <cols>
    <col min="1" max="1" width="25.81640625" bestFit="1" customWidth="1"/>
    <col min="2" max="3" width="25.81640625" customWidth="1"/>
    <col min="4" max="4" width="52.54296875" bestFit="1" customWidth="1"/>
    <col min="5" max="5" width="37" bestFit="1" customWidth="1"/>
    <col min="6" max="6" width="16.1796875" bestFit="1" customWidth="1"/>
    <col min="7" max="7" width="22.54296875" customWidth="1"/>
    <col min="8" max="8" width="4.54296875" bestFit="1" customWidth="1"/>
    <col min="9" max="9" width="39.54296875" bestFit="1" customWidth="1"/>
    <col min="10" max="11" width="16.453125" bestFit="1" customWidth="1"/>
    <col min="12" max="12" width="11.1796875" bestFit="1" customWidth="1"/>
    <col min="13" max="13" width="11.453125" bestFit="1" customWidth="1"/>
  </cols>
  <sheetData>
    <row r="1" spans="1:13" ht="15" customHeight="1" x14ac:dyDescent="0.35">
      <c r="D1" s="1"/>
      <c r="E1" s="1"/>
      <c r="F1" s="2" t="s">
        <v>0</v>
      </c>
      <c r="G1" s="1" t="s">
        <v>1</v>
      </c>
      <c r="H1" s="1" t="s">
        <v>2</v>
      </c>
      <c r="I1" s="2" t="s">
        <v>3</v>
      </c>
      <c r="J1" s="2" t="s">
        <v>4</v>
      </c>
      <c r="K1" s="1" t="s">
        <v>5</v>
      </c>
      <c r="L1" s="1" t="s">
        <v>6</v>
      </c>
      <c r="M1" s="1" t="s">
        <v>7</v>
      </c>
    </row>
    <row r="2" spans="1:13" ht="15" customHeight="1" x14ac:dyDescent="0.35">
      <c r="D2" s="1" t="s">
        <v>8</v>
      </c>
      <c r="E2" s="1" t="s">
        <v>9</v>
      </c>
      <c r="F2" s="2" t="s">
        <v>10</v>
      </c>
      <c r="G2" s="2" t="s">
        <v>11</v>
      </c>
      <c r="H2" s="1"/>
      <c r="I2" s="1"/>
      <c r="J2" s="1"/>
      <c r="K2" s="1"/>
      <c r="L2" s="1"/>
      <c r="M2" s="1"/>
    </row>
    <row r="3" spans="1:13" ht="15" customHeight="1" x14ac:dyDescent="0.35">
      <c r="A3" t="str">
        <f t="shared" ref="A3:A66" si="0">TRIM(_xlfn.TEXTBEFORE(D3,"-",1))</f>
        <v>P800GE00G0000</v>
      </c>
      <c r="B3" t="str">
        <f>IFERROR(VLOOKUP($A3,'[5]Study Budget Mapping '!$O$2:$P$532,2,0),"TBA")</f>
        <v>TBA</v>
      </c>
      <c r="D3" s="2" t="s">
        <v>12</v>
      </c>
      <c r="E3" s="2" t="s">
        <v>13</v>
      </c>
      <c r="F3" s="3">
        <v>2732663</v>
      </c>
      <c r="G3" s="3">
        <v>2732663</v>
      </c>
      <c r="H3" s="4"/>
      <c r="I3" s="4"/>
      <c r="J3" s="4"/>
      <c r="K3" s="4"/>
      <c r="L3" s="4"/>
      <c r="M3" s="4"/>
    </row>
    <row r="4" spans="1:13" ht="15" customHeight="1" x14ac:dyDescent="0.35">
      <c r="A4" t="str">
        <f t="shared" si="0"/>
        <v>P800GE00G0000</v>
      </c>
      <c r="B4" t="str">
        <f>IFERROR(VLOOKUP($A4,'[5]Study Budget Mapping '!$O$2:$P$532,2,0),"TBA")</f>
        <v>TBA</v>
      </c>
      <c r="D4" s="2" t="s">
        <v>12</v>
      </c>
      <c r="E4" s="2" t="s">
        <v>14</v>
      </c>
      <c r="F4" s="3">
        <v>861718</v>
      </c>
      <c r="G4" s="3">
        <v>861718</v>
      </c>
      <c r="H4" s="4"/>
      <c r="I4" s="4"/>
      <c r="J4" s="4"/>
      <c r="K4" s="4"/>
      <c r="L4" s="4"/>
      <c r="M4" s="4"/>
    </row>
    <row r="5" spans="1:13" ht="15" customHeight="1" x14ac:dyDescent="0.35">
      <c r="A5" t="str">
        <f t="shared" si="0"/>
        <v>P800GE00G0000</v>
      </c>
      <c r="B5" t="str">
        <f>IFERROR(VLOOKUP($A5,'[5]Study Budget Mapping '!$O$2:$P$532,2,0),"TBA")</f>
        <v>TBA</v>
      </c>
      <c r="D5" s="2" t="s">
        <v>12</v>
      </c>
      <c r="E5" s="2" t="s">
        <v>15</v>
      </c>
      <c r="F5" s="3">
        <v>6574950</v>
      </c>
      <c r="G5" s="3">
        <v>6574950</v>
      </c>
      <c r="H5" s="4"/>
      <c r="I5" s="4"/>
      <c r="J5" s="4"/>
      <c r="K5" s="4"/>
      <c r="L5" s="4"/>
      <c r="M5" s="4"/>
    </row>
    <row r="6" spans="1:13" ht="15" customHeight="1" x14ac:dyDescent="0.35">
      <c r="A6" t="str">
        <f t="shared" si="0"/>
        <v>P800GE00G0000</v>
      </c>
      <c r="B6" t="str">
        <f>IFERROR(VLOOKUP($A6,'[5]Study Budget Mapping '!$O$2:$P$532,2,0),"TBA")</f>
        <v>TBA</v>
      </c>
      <c r="D6" s="2" t="s">
        <v>12</v>
      </c>
      <c r="E6" s="2" t="s">
        <v>16</v>
      </c>
      <c r="F6" s="3">
        <v>1672637</v>
      </c>
      <c r="G6" s="3">
        <v>1672637</v>
      </c>
      <c r="H6" s="4"/>
      <c r="I6" s="4"/>
      <c r="J6" s="4"/>
      <c r="K6" s="4"/>
      <c r="L6" s="4"/>
      <c r="M6" s="4"/>
    </row>
    <row r="7" spans="1:13" ht="15" customHeight="1" x14ac:dyDescent="0.35">
      <c r="A7" t="str">
        <f t="shared" si="0"/>
        <v>P800GE00G0000</v>
      </c>
      <c r="B7" t="str">
        <f>IFERROR(VLOOKUP($A7,'[5]Study Budget Mapping '!$O$2:$P$532,2,0),"TBA")</f>
        <v>TBA</v>
      </c>
      <c r="D7" s="2" t="s">
        <v>12</v>
      </c>
      <c r="E7" s="2" t="s">
        <v>17</v>
      </c>
      <c r="F7" s="3">
        <v>254511</v>
      </c>
      <c r="G7" s="3">
        <v>254511</v>
      </c>
      <c r="H7" s="4"/>
      <c r="I7" s="4"/>
      <c r="J7" s="4"/>
      <c r="K7" s="4"/>
      <c r="L7" s="4"/>
      <c r="M7" s="4"/>
    </row>
    <row r="8" spans="1:13" ht="15" customHeight="1" x14ac:dyDescent="0.35">
      <c r="A8" t="str">
        <f t="shared" si="0"/>
        <v>P890ST01C2632</v>
      </c>
      <c r="B8" t="str">
        <f>IFERROR(VLOOKUP($A8,'[5]Study Budget Mapping '!$O$2:$P$532,2,0),"TBA")</f>
        <v>TBA</v>
      </c>
      <c r="D8" s="2" t="s">
        <v>18</v>
      </c>
      <c r="E8" s="2" t="s">
        <v>13</v>
      </c>
      <c r="F8" s="3">
        <v>20500000</v>
      </c>
      <c r="G8" s="3">
        <v>20500000</v>
      </c>
      <c r="H8" s="4"/>
      <c r="I8" s="4"/>
      <c r="J8" s="4"/>
      <c r="K8" s="4"/>
      <c r="L8" s="4"/>
      <c r="M8" s="4"/>
    </row>
    <row r="9" spans="1:13" ht="15" customHeight="1" x14ac:dyDescent="0.35">
      <c r="A9" t="str">
        <f t="shared" si="0"/>
        <v>P890ST01C2632</v>
      </c>
      <c r="B9" t="str">
        <f>IFERROR(VLOOKUP($A9,'[5]Study Budget Mapping '!$O$2:$P$532,2,0),"TBA")</f>
        <v>TBA</v>
      </c>
      <c r="D9" s="2" t="s">
        <v>18</v>
      </c>
      <c r="E9" s="2" t="s">
        <v>14</v>
      </c>
      <c r="F9" s="3">
        <v>2280000</v>
      </c>
      <c r="G9" s="3">
        <v>2280000</v>
      </c>
      <c r="H9" s="4"/>
      <c r="I9" s="4"/>
      <c r="J9" s="4"/>
      <c r="K9" s="4"/>
      <c r="L9" s="4"/>
      <c r="M9" s="4"/>
    </row>
    <row r="10" spans="1:13" ht="15" customHeight="1" x14ac:dyDescent="0.35">
      <c r="A10" t="str">
        <f t="shared" si="0"/>
        <v>P890ST01C2632</v>
      </c>
      <c r="B10" t="str">
        <f>IFERROR(VLOOKUP($A10,'[5]Study Budget Mapping '!$O$2:$P$532,2,0),"TBA")</f>
        <v>TBA</v>
      </c>
      <c r="D10" s="2" t="s">
        <v>18</v>
      </c>
      <c r="E10" s="2" t="s">
        <v>19</v>
      </c>
      <c r="F10" s="3">
        <v>1565000</v>
      </c>
      <c r="G10" s="3">
        <v>1565000</v>
      </c>
      <c r="H10" s="4"/>
      <c r="I10" s="4"/>
      <c r="J10" s="4"/>
      <c r="K10" s="4"/>
      <c r="L10" s="4"/>
      <c r="M10" s="4"/>
    </row>
    <row r="11" spans="1:13" ht="15" customHeight="1" x14ac:dyDescent="0.35">
      <c r="A11" t="str">
        <f t="shared" si="0"/>
        <v>P890ST01C2632</v>
      </c>
      <c r="B11" t="str">
        <f>IFERROR(VLOOKUP($A11,'[5]Study Budget Mapping '!$O$2:$P$532,2,0),"TBA")</f>
        <v>TBA</v>
      </c>
      <c r="D11" s="2" t="s">
        <v>18</v>
      </c>
      <c r="E11" s="2" t="s">
        <v>20</v>
      </c>
      <c r="F11" s="3">
        <v>1015000</v>
      </c>
      <c r="G11" s="3">
        <v>1015000</v>
      </c>
      <c r="H11" s="4"/>
      <c r="I11" s="4"/>
      <c r="J11" s="4"/>
      <c r="K11" s="4"/>
      <c r="L11" s="4"/>
      <c r="M11" s="4"/>
    </row>
    <row r="12" spans="1:13" ht="15" customHeight="1" x14ac:dyDescent="0.35">
      <c r="A12" t="str">
        <f t="shared" si="0"/>
        <v>P890ST01C2632</v>
      </c>
      <c r="B12" t="str">
        <f>IFERROR(VLOOKUP($A12,'[5]Study Budget Mapping '!$O$2:$P$532,2,0),"TBA")</f>
        <v>TBA</v>
      </c>
      <c r="D12" s="2" t="s">
        <v>18</v>
      </c>
      <c r="E12" s="2" t="s">
        <v>21</v>
      </c>
      <c r="F12" s="3">
        <v>195000</v>
      </c>
      <c r="G12" s="3">
        <v>195000</v>
      </c>
      <c r="H12" s="4"/>
      <c r="I12" s="4"/>
      <c r="J12" s="4"/>
      <c r="K12" s="4"/>
      <c r="L12" s="4"/>
      <c r="M12" s="4"/>
    </row>
    <row r="13" spans="1:13" ht="15" customHeight="1" x14ac:dyDescent="0.35">
      <c r="A13" t="str">
        <f t="shared" si="0"/>
        <v>P890ST01C2632</v>
      </c>
      <c r="B13" t="str">
        <f>IFERROR(VLOOKUP($A13,'[5]Study Budget Mapping '!$O$2:$P$532,2,0),"TBA")</f>
        <v>TBA</v>
      </c>
      <c r="D13" s="2" t="s">
        <v>18</v>
      </c>
      <c r="E13" s="2" t="s">
        <v>15</v>
      </c>
      <c r="F13" s="3">
        <v>13380000</v>
      </c>
      <c r="G13" s="3">
        <v>13380000</v>
      </c>
      <c r="H13" s="4"/>
      <c r="I13" s="4"/>
      <c r="J13" s="4"/>
      <c r="K13" s="4"/>
      <c r="L13" s="4"/>
      <c r="M13" s="4"/>
    </row>
    <row r="14" spans="1:13" ht="15" customHeight="1" x14ac:dyDescent="0.35">
      <c r="A14" t="str">
        <f t="shared" si="0"/>
        <v>P890ST01C2632</v>
      </c>
      <c r="B14" t="str">
        <f>IFERROR(VLOOKUP($A14,'[5]Study Budget Mapping '!$O$2:$P$532,2,0),"TBA")</f>
        <v>TBA</v>
      </c>
      <c r="D14" s="2" t="s">
        <v>18</v>
      </c>
      <c r="E14" s="2" t="s">
        <v>22</v>
      </c>
      <c r="F14" s="3">
        <v>2165000</v>
      </c>
      <c r="G14" s="3">
        <v>2165000</v>
      </c>
      <c r="H14" s="4"/>
      <c r="I14" s="4"/>
      <c r="J14" s="4"/>
      <c r="K14" s="4"/>
      <c r="L14" s="4"/>
      <c r="M14" s="4"/>
    </row>
    <row r="15" spans="1:13" ht="15" customHeight="1" x14ac:dyDescent="0.35">
      <c r="A15" t="str">
        <f t="shared" si="0"/>
        <v>P890ST01C2632</v>
      </c>
      <c r="B15" t="str">
        <f>IFERROR(VLOOKUP($A15,'[5]Study Budget Mapping '!$O$2:$P$532,2,0),"TBA")</f>
        <v>TBA</v>
      </c>
      <c r="D15" s="2" t="s">
        <v>18</v>
      </c>
      <c r="E15" s="2" t="s">
        <v>16</v>
      </c>
      <c r="F15" s="3">
        <v>4250000</v>
      </c>
      <c r="G15" s="3">
        <v>4250000</v>
      </c>
      <c r="H15" s="4"/>
      <c r="I15" s="4"/>
      <c r="J15" s="4"/>
      <c r="K15" s="4"/>
      <c r="L15" s="4"/>
      <c r="M15" s="4"/>
    </row>
    <row r="16" spans="1:13" ht="15" customHeight="1" x14ac:dyDescent="0.35">
      <c r="A16" t="str">
        <f t="shared" si="0"/>
        <v>P890ST01C2632</v>
      </c>
      <c r="B16" t="str">
        <f>IFERROR(VLOOKUP($A16,'[5]Study Budget Mapping '!$O$2:$P$532,2,0),"TBA")</f>
        <v>TBA</v>
      </c>
      <c r="D16" s="2" t="s">
        <v>18</v>
      </c>
      <c r="E16" s="2" t="s">
        <v>17</v>
      </c>
      <c r="F16" s="3">
        <v>485000</v>
      </c>
      <c r="G16" s="3">
        <v>485000</v>
      </c>
      <c r="H16" s="4"/>
      <c r="I16" s="4"/>
      <c r="J16" s="4"/>
      <c r="K16" s="4"/>
      <c r="L16" s="4"/>
      <c r="M16" s="4"/>
    </row>
    <row r="17" spans="1:13" ht="15" customHeight="1" x14ac:dyDescent="0.35">
      <c r="A17" t="str">
        <f t="shared" si="0"/>
        <v>P890ST01C2632</v>
      </c>
      <c r="B17" t="str">
        <f>IFERROR(VLOOKUP($A17,'[5]Study Budget Mapping '!$O$2:$P$532,2,0),"TBA")</f>
        <v>TBA</v>
      </c>
      <c r="D17" s="2" t="s">
        <v>18</v>
      </c>
      <c r="E17" s="2" t="s">
        <v>23</v>
      </c>
      <c r="F17" s="3">
        <v>815000</v>
      </c>
      <c r="G17" s="3">
        <v>815000</v>
      </c>
      <c r="H17" s="4"/>
      <c r="I17" s="4"/>
      <c r="J17" s="4"/>
      <c r="K17" s="4"/>
      <c r="L17" s="4"/>
      <c r="M17" s="4"/>
    </row>
    <row r="18" spans="1:13" ht="15" customHeight="1" x14ac:dyDescent="0.35">
      <c r="A18" t="str">
        <f t="shared" si="0"/>
        <v>P890ST01C2632</v>
      </c>
      <c r="B18" t="str">
        <f>IFERROR(VLOOKUP($A18,'[5]Study Budget Mapping '!$O$2:$P$532,2,0),"TBA")</f>
        <v>TBA</v>
      </c>
      <c r="D18" s="2" t="s">
        <v>18</v>
      </c>
      <c r="E18" s="2" t="s">
        <v>24</v>
      </c>
      <c r="F18" s="3">
        <v>4000000</v>
      </c>
      <c r="G18" s="3">
        <v>4000000</v>
      </c>
      <c r="H18" s="4"/>
      <c r="I18" s="4"/>
      <c r="J18" s="4"/>
      <c r="K18" s="4"/>
      <c r="L18" s="4"/>
      <c r="M18" s="4"/>
    </row>
    <row r="19" spans="1:13" ht="15" customHeight="1" x14ac:dyDescent="0.35">
      <c r="A19" t="str">
        <f t="shared" si="0"/>
        <v>P450IM01C4011</v>
      </c>
      <c r="B19" t="str">
        <f>IFERROR(VLOOKUP($A19,'[5]Study Budget Mapping '!$O$2:$P$532,2,0),"TBA")</f>
        <v>TBA</v>
      </c>
      <c r="D19" s="2" t="s">
        <v>25</v>
      </c>
      <c r="E19" s="2" t="s">
        <v>13</v>
      </c>
      <c r="F19" s="3">
        <v>62000</v>
      </c>
      <c r="G19" s="3">
        <v>62000</v>
      </c>
      <c r="H19" s="4"/>
      <c r="I19" s="4"/>
      <c r="J19" s="4"/>
      <c r="K19" s="4"/>
      <c r="L19" s="4"/>
      <c r="M19" s="4"/>
    </row>
    <row r="20" spans="1:13" ht="15" customHeight="1" x14ac:dyDescent="0.35">
      <c r="A20" t="str">
        <f t="shared" si="0"/>
        <v>P450IM01C4011</v>
      </c>
      <c r="B20" t="str">
        <f>IFERROR(VLOOKUP($A20,'[5]Study Budget Mapping '!$O$2:$P$532,2,0),"TBA")</f>
        <v>TBA</v>
      </c>
      <c r="D20" s="2" t="s">
        <v>25</v>
      </c>
      <c r="E20" s="2" t="s">
        <v>19</v>
      </c>
      <c r="F20" s="3">
        <v>281518</v>
      </c>
      <c r="G20" s="3">
        <v>281518</v>
      </c>
      <c r="H20" s="4"/>
      <c r="I20" s="4"/>
      <c r="J20" s="4"/>
      <c r="K20" s="4"/>
      <c r="L20" s="4"/>
      <c r="M20" s="4"/>
    </row>
    <row r="21" spans="1:13" ht="15" customHeight="1" x14ac:dyDescent="0.35">
      <c r="A21" t="str">
        <f t="shared" si="0"/>
        <v>P450IM01C4011</v>
      </c>
      <c r="B21" t="str">
        <f>IFERROR(VLOOKUP($A21,'[5]Study Budget Mapping '!$O$2:$P$532,2,0),"TBA")</f>
        <v>TBA</v>
      </c>
      <c r="D21" s="2" t="s">
        <v>25</v>
      </c>
      <c r="E21" s="2" t="s">
        <v>26</v>
      </c>
      <c r="F21" s="3">
        <v>0</v>
      </c>
      <c r="G21" s="3">
        <v>3360</v>
      </c>
      <c r="H21" s="4"/>
      <c r="I21" s="4"/>
      <c r="J21" s="4"/>
      <c r="K21" s="4"/>
      <c r="L21" s="4"/>
      <c r="M21" s="4"/>
    </row>
    <row r="22" spans="1:13" ht="15" customHeight="1" x14ac:dyDescent="0.35">
      <c r="A22" t="str">
        <f t="shared" si="0"/>
        <v>P450IM01C4011</v>
      </c>
      <c r="B22" t="str">
        <f>IFERROR(VLOOKUP($A22,'[5]Study Budget Mapping '!$O$2:$P$532,2,0),"TBA")</f>
        <v>TBA</v>
      </c>
      <c r="D22" s="2" t="s">
        <v>25</v>
      </c>
      <c r="E22" s="2" t="s">
        <v>23</v>
      </c>
      <c r="F22" s="3">
        <v>156598</v>
      </c>
      <c r="G22" s="3">
        <v>156598</v>
      </c>
      <c r="H22" s="4"/>
      <c r="I22" s="4"/>
      <c r="J22" s="4"/>
      <c r="K22" s="4"/>
      <c r="L22" s="4"/>
      <c r="M22" s="4"/>
    </row>
    <row r="23" spans="1:13" ht="15" customHeight="1" x14ac:dyDescent="0.35">
      <c r="A23" t="str">
        <f t="shared" si="0"/>
        <v>P450IM01C5621</v>
      </c>
      <c r="B23" t="str">
        <f>IFERROR(VLOOKUP($A23,'[5]Study Budget Mapping '!$O$2:$P$532,2,0),"TBA")</f>
        <v>TBA</v>
      </c>
      <c r="D23" s="2" t="s">
        <v>27</v>
      </c>
      <c r="E23" s="2" t="s">
        <v>13</v>
      </c>
      <c r="F23" s="3">
        <v>0</v>
      </c>
      <c r="G23" s="3">
        <v>82730</v>
      </c>
      <c r="H23" s="4"/>
      <c r="I23" s="4"/>
      <c r="J23" s="4"/>
      <c r="K23" s="4"/>
      <c r="L23" s="4"/>
      <c r="M23" s="4"/>
    </row>
    <row r="24" spans="1:13" ht="15" customHeight="1" x14ac:dyDescent="0.35">
      <c r="A24" t="str">
        <f t="shared" si="0"/>
        <v>P450IM01C5621</v>
      </c>
      <c r="B24" t="str">
        <f>IFERROR(VLOOKUP($A24,'[5]Study Budget Mapping '!$O$2:$P$532,2,0),"TBA")</f>
        <v>TBA</v>
      </c>
      <c r="D24" s="2" t="s">
        <v>27</v>
      </c>
      <c r="E24" s="2" t="s">
        <v>19</v>
      </c>
      <c r="F24" s="3">
        <v>0</v>
      </c>
      <c r="G24" s="3">
        <v>5407</v>
      </c>
      <c r="H24" s="4"/>
      <c r="I24" s="4"/>
      <c r="J24" s="4"/>
      <c r="K24" s="4"/>
      <c r="L24" s="4"/>
      <c r="M24" s="4"/>
    </row>
    <row r="25" spans="1:13" ht="15" customHeight="1" x14ac:dyDescent="0.35">
      <c r="A25" t="str">
        <f t="shared" si="0"/>
        <v>P450IM01C5621</v>
      </c>
      <c r="B25" t="str">
        <f>IFERROR(VLOOKUP($A25,'[5]Study Budget Mapping '!$O$2:$P$532,2,0),"TBA")</f>
        <v>TBA</v>
      </c>
      <c r="D25" s="2" t="s">
        <v>27</v>
      </c>
      <c r="E25" s="2" t="s">
        <v>15</v>
      </c>
      <c r="F25" s="3">
        <v>399487</v>
      </c>
      <c r="G25" s="3">
        <v>399487</v>
      </c>
      <c r="H25" s="4"/>
      <c r="I25" s="4"/>
      <c r="J25" s="4"/>
      <c r="K25" s="4"/>
      <c r="L25" s="4"/>
      <c r="M25" s="4"/>
    </row>
    <row r="26" spans="1:13" ht="15" customHeight="1" x14ac:dyDescent="0.35">
      <c r="A26" t="str">
        <f t="shared" si="0"/>
        <v>P450IM01C5621</v>
      </c>
      <c r="B26" t="str">
        <f>IFERROR(VLOOKUP($A26,'[5]Study Budget Mapping '!$O$2:$P$532,2,0),"TBA")</f>
        <v>TBA</v>
      </c>
      <c r="D26" s="2" t="s">
        <v>27</v>
      </c>
      <c r="E26" s="2" t="s">
        <v>28</v>
      </c>
      <c r="F26" s="3">
        <v>75000</v>
      </c>
      <c r="G26" s="3">
        <v>87250</v>
      </c>
      <c r="H26" s="4"/>
      <c r="I26" s="4"/>
      <c r="J26" s="4"/>
      <c r="K26" s="4"/>
      <c r="L26" s="4"/>
      <c r="M26" s="4"/>
    </row>
    <row r="27" spans="1:13" ht="15" customHeight="1" x14ac:dyDescent="0.35">
      <c r="A27" t="str">
        <f t="shared" si="0"/>
        <v>P450IM01C5621</v>
      </c>
      <c r="B27" t="str">
        <f>IFERROR(VLOOKUP($A27,'[5]Study Budget Mapping '!$O$2:$P$532,2,0),"TBA")</f>
        <v>TBA</v>
      </c>
      <c r="D27" s="2" t="s">
        <v>27</v>
      </c>
      <c r="E27" s="2" t="s">
        <v>23</v>
      </c>
      <c r="F27" s="3">
        <v>25175</v>
      </c>
      <c r="G27" s="3">
        <v>0</v>
      </c>
      <c r="H27" s="4"/>
      <c r="I27" s="4"/>
      <c r="J27" s="4"/>
      <c r="K27" s="4"/>
      <c r="L27" s="4"/>
      <c r="M27" s="4"/>
    </row>
    <row r="28" spans="1:13" ht="15" customHeight="1" x14ac:dyDescent="0.35">
      <c r="A28" t="str">
        <f t="shared" si="0"/>
        <v>P450MD01C5611</v>
      </c>
      <c r="B28" t="str">
        <f>IFERROR(VLOOKUP($A28,'[5]Study Budget Mapping '!$O$2:$P$532,2,0),"TBA")</f>
        <v>TBA</v>
      </c>
      <c r="D28" s="2" t="s">
        <v>29</v>
      </c>
      <c r="E28" s="2" t="s">
        <v>13</v>
      </c>
      <c r="F28" s="3">
        <v>70000</v>
      </c>
      <c r="G28" s="3">
        <v>70000</v>
      </c>
      <c r="H28" s="4"/>
      <c r="I28" s="4"/>
      <c r="J28" s="4"/>
      <c r="K28" s="4"/>
      <c r="L28" s="4"/>
      <c r="M28" s="4"/>
    </row>
    <row r="29" spans="1:13" ht="15" customHeight="1" x14ac:dyDescent="0.35">
      <c r="A29" t="str">
        <f t="shared" si="0"/>
        <v>P450IM01C3711</v>
      </c>
      <c r="B29" t="str">
        <f>IFERROR(VLOOKUP($A29,'[5]Study Budget Mapping '!$O$2:$P$532,2,0),"TBA")</f>
        <v>TBA</v>
      </c>
      <c r="D29" s="2" t="s">
        <v>30</v>
      </c>
      <c r="E29" s="2" t="s">
        <v>13</v>
      </c>
      <c r="F29" s="3">
        <v>850500</v>
      </c>
      <c r="G29" s="3">
        <v>0</v>
      </c>
      <c r="H29" s="4"/>
      <c r="I29" s="4"/>
      <c r="J29" s="4"/>
      <c r="K29" s="4"/>
      <c r="L29" s="4"/>
      <c r="M29" s="4"/>
    </row>
    <row r="30" spans="1:13" ht="15" customHeight="1" x14ac:dyDescent="0.35">
      <c r="A30" t="str">
        <f t="shared" si="0"/>
        <v>P450IM01C3711</v>
      </c>
      <c r="B30" t="str">
        <f>IFERROR(VLOOKUP($A30,'[5]Study Budget Mapping '!$O$2:$P$532,2,0),"TBA")</f>
        <v>TBA</v>
      </c>
      <c r="D30" s="2" t="s">
        <v>30</v>
      </c>
      <c r="E30" s="2" t="s">
        <v>14</v>
      </c>
      <c r="F30" s="3">
        <v>130235</v>
      </c>
      <c r="G30" s="3">
        <v>0</v>
      </c>
      <c r="H30" s="4"/>
      <c r="I30" s="4"/>
      <c r="J30" s="4"/>
      <c r="K30" s="4"/>
      <c r="L30" s="4"/>
      <c r="M30" s="4"/>
    </row>
    <row r="31" spans="1:13" ht="15" customHeight="1" x14ac:dyDescent="0.35">
      <c r="A31" t="str">
        <f t="shared" si="0"/>
        <v>P450IM01C3711</v>
      </c>
      <c r="B31" t="str">
        <f>IFERROR(VLOOKUP($A31,'[5]Study Budget Mapping '!$O$2:$P$532,2,0),"TBA")</f>
        <v>TBA</v>
      </c>
      <c r="D31" s="2" t="s">
        <v>30</v>
      </c>
      <c r="E31" s="2" t="s">
        <v>19</v>
      </c>
      <c r="F31" s="3">
        <v>5000</v>
      </c>
      <c r="G31" s="3">
        <v>0</v>
      </c>
      <c r="H31" s="4"/>
      <c r="I31" s="4"/>
      <c r="J31" s="4"/>
      <c r="K31" s="4"/>
      <c r="L31" s="4"/>
      <c r="M31" s="4"/>
    </row>
    <row r="32" spans="1:13" ht="15" customHeight="1" x14ac:dyDescent="0.35">
      <c r="A32" t="str">
        <f t="shared" si="0"/>
        <v>P450IM01C3711</v>
      </c>
      <c r="B32" t="str">
        <f>IFERROR(VLOOKUP($A32,'[5]Study Budget Mapping '!$O$2:$P$532,2,0),"TBA")</f>
        <v>TBA</v>
      </c>
      <c r="D32" s="2" t="s">
        <v>30</v>
      </c>
      <c r="E32" s="2" t="s">
        <v>31</v>
      </c>
      <c r="F32" s="3">
        <v>15000</v>
      </c>
      <c r="G32" s="3">
        <v>0</v>
      </c>
      <c r="H32" s="4"/>
      <c r="I32" s="4"/>
      <c r="J32" s="4"/>
      <c r="K32" s="4"/>
      <c r="L32" s="4"/>
      <c r="M32" s="4"/>
    </row>
    <row r="33" spans="1:13" ht="15" customHeight="1" x14ac:dyDescent="0.35">
      <c r="A33" t="str">
        <f t="shared" si="0"/>
        <v>P450IM01C3711</v>
      </c>
      <c r="B33" t="str">
        <f>IFERROR(VLOOKUP($A33,'[5]Study Budget Mapping '!$O$2:$P$532,2,0),"TBA")</f>
        <v>TBA</v>
      </c>
      <c r="D33" s="2" t="s">
        <v>30</v>
      </c>
      <c r="E33" s="2" t="s">
        <v>15</v>
      </c>
      <c r="F33" s="3">
        <v>1806136</v>
      </c>
      <c r="G33" s="3">
        <v>0</v>
      </c>
      <c r="H33" s="4"/>
      <c r="I33" s="4"/>
      <c r="J33" s="4"/>
      <c r="K33" s="4"/>
      <c r="L33" s="4"/>
      <c r="M33" s="4"/>
    </row>
    <row r="34" spans="1:13" ht="15" customHeight="1" x14ac:dyDescent="0.35">
      <c r="A34" t="str">
        <f t="shared" si="0"/>
        <v>P450IM01C3711</v>
      </c>
      <c r="B34" t="str">
        <f>IFERROR(VLOOKUP($A34,'[5]Study Budget Mapping '!$O$2:$P$532,2,0),"TBA")</f>
        <v>TBA</v>
      </c>
      <c r="D34" s="2" t="s">
        <v>30</v>
      </c>
      <c r="E34" s="2" t="s">
        <v>17</v>
      </c>
      <c r="F34" s="3">
        <v>65000</v>
      </c>
      <c r="G34" s="3">
        <v>0</v>
      </c>
      <c r="H34" s="4"/>
      <c r="I34" s="4"/>
      <c r="J34" s="4"/>
      <c r="K34" s="4"/>
      <c r="L34" s="4"/>
      <c r="M34" s="4"/>
    </row>
    <row r="35" spans="1:13" ht="15" customHeight="1" x14ac:dyDescent="0.35">
      <c r="A35" t="str">
        <f t="shared" si="0"/>
        <v>P450IM01C3711</v>
      </c>
      <c r="B35" t="str">
        <f>IFERROR(VLOOKUP($A35,'[5]Study Budget Mapping '!$O$2:$P$532,2,0),"TBA")</f>
        <v>TBA</v>
      </c>
      <c r="D35" s="2" t="s">
        <v>30</v>
      </c>
      <c r="E35" s="2" t="s">
        <v>28</v>
      </c>
      <c r="F35" s="3">
        <v>150000</v>
      </c>
      <c r="G35" s="3">
        <v>0</v>
      </c>
      <c r="H35" s="4"/>
      <c r="I35" s="4"/>
      <c r="J35" s="4"/>
      <c r="K35" s="4"/>
      <c r="L35" s="4"/>
      <c r="M35" s="4"/>
    </row>
    <row r="36" spans="1:13" ht="15" customHeight="1" x14ac:dyDescent="0.35">
      <c r="A36" t="str">
        <f t="shared" si="0"/>
        <v>P450IM01C3711</v>
      </c>
      <c r="B36" t="str">
        <f>IFERROR(VLOOKUP($A36,'[5]Study Budget Mapping '!$O$2:$P$532,2,0),"TBA")</f>
        <v>TBA</v>
      </c>
      <c r="D36" s="2" t="s">
        <v>30</v>
      </c>
      <c r="E36" s="2" t="s">
        <v>23</v>
      </c>
      <c r="F36" s="3">
        <v>820615</v>
      </c>
      <c r="G36" s="3">
        <v>0</v>
      </c>
      <c r="H36" s="4"/>
      <c r="I36" s="4"/>
      <c r="J36" s="4"/>
      <c r="K36" s="4"/>
      <c r="L36" s="4"/>
      <c r="M36" s="4"/>
    </row>
    <row r="37" spans="1:13" ht="15" customHeight="1" x14ac:dyDescent="0.35">
      <c r="A37" t="str">
        <f t="shared" si="0"/>
        <v>P450IM01C3711</v>
      </c>
      <c r="B37" t="str">
        <f>IFERROR(VLOOKUP($A37,'[5]Study Budget Mapping '!$O$2:$P$532,2,0),"TBA")</f>
        <v>TBA</v>
      </c>
      <c r="D37" s="2" t="s">
        <v>30</v>
      </c>
      <c r="E37" s="2" t="s">
        <v>32</v>
      </c>
      <c r="F37" s="3">
        <v>128200</v>
      </c>
      <c r="G37" s="3">
        <v>0</v>
      </c>
      <c r="H37" s="4"/>
      <c r="I37" s="4"/>
      <c r="J37" s="4"/>
      <c r="K37" s="4"/>
      <c r="L37" s="4"/>
      <c r="M37" s="4"/>
    </row>
    <row r="38" spans="1:13" ht="15" customHeight="1" x14ac:dyDescent="0.35">
      <c r="A38" t="str">
        <f t="shared" si="0"/>
        <v>P450IM02C2411</v>
      </c>
      <c r="B38" t="str">
        <f>IFERROR(VLOOKUP($A38,'[5]Study Budget Mapping '!$O$2:$P$532,2,0),"TBA")</f>
        <v>TBA</v>
      </c>
      <c r="D38" s="2" t="s">
        <v>33</v>
      </c>
      <c r="E38" s="2" t="s">
        <v>13</v>
      </c>
      <c r="F38" s="3">
        <v>711868</v>
      </c>
      <c r="G38" s="3">
        <v>0</v>
      </c>
      <c r="H38" s="4"/>
      <c r="I38" s="4"/>
      <c r="J38" s="4"/>
      <c r="K38" s="4"/>
      <c r="L38" s="4"/>
      <c r="M38" s="4"/>
    </row>
    <row r="39" spans="1:13" ht="15" customHeight="1" x14ac:dyDescent="0.35">
      <c r="A39" t="str">
        <f t="shared" si="0"/>
        <v>P450IM02C2411</v>
      </c>
      <c r="B39" t="str">
        <f>IFERROR(VLOOKUP($A39,'[5]Study Budget Mapping '!$O$2:$P$532,2,0),"TBA")</f>
        <v>TBA</v>
      </c>
      <c r="D39" s="2" t="s">
        <v>33</v>
      </c>
      <c r="E39" s="2" t="s">
        <v>14</v>
      </c>
      <c r="F39" s="3">
        <v>145950</v>
      </c>
      <c r="G39" s="3">
        <v>0</v>
      </c>
      <c r="H39" s="4"/>
      <c r="I39" s="4"/>
      <c r="J39" s="4"/>
      <c r="K39" s="4"/>
      <c r="L39" s="4"/>
      <c r="M39" s="4"/>
    </row>
    <row r="40" spans="1:13" ht="15" customHeight="1" x14ac:dyDescent="0.35">
      <c r="A40" t="str">
        <f t="shared" si="0"/>
        <v>P450IM02C2411</v>
      </c>
      <c r="B40" t="str">
        <f>IFERROR(VLOOKUP($A40,'[5]Study Budget Mapping '!$O$2:$P$532,2,0),"TBA")</f>
        <v>TBA</v>
      </c>
      <c r="D40" s="2" t="s">
        <v>33</v>
      </c>
      <c r="E40" s="2" t="s">
        <v>19</v>
      </c>
      <c r="F40" s="3">
        <v>10000</v>
      </c>
      <c r="G40" s="3">
        <v>0</v>
      </c>
      <c r="H40" s="4"/>
      <c r="I40" s="4"/>
      <c r="J40" s="4"/>
      <c r="K40" s="4"/>
      <c r="L40" s="4"/>
      <c r="M40" s="4"/>
    </row>
    <row r="41" spans="1:13" ht="15" customHeight="1" x14ac:dyDescent="0.35">
      <c r="A41" t="str">
        <f t="shared" si="0"/>
        <v>P450IM02C2411</v>
      </c>
      <c r="B41" t="str">
        <f>IFERROR(VLOOKUP($A41,'[5]Study Budget Mapping '!$O$2:$P$532,2,0),"TBA")</f>
        <v>TBA</v>
      </c>
      <c r="D41" s="2" t="s">
        <v>33</v>
      </c>
      <c r="E41" s="2" t="s">
        <v>31</v>
      </c>
      <c r="F41" s="3">
        <v>37941</v>
      </c>
      <c r="G41" s="3">
        <v>0</v>
      </c>
      <c r="H41" s="4"/>
      <c r="I41" s="4"/>
      <c r="J41" s="4"/>
      <c r="K41" s="4"/>
      <c r="L41" s="4"/>
      <c r="M41" s="4"/>
    </row>
    <row r="42" spans="1:13" ht="15" customHeight="1" x14ac:dyDescent="0.35">
      <c r="A42" t="str">
        <f t="shared" si="0"/>
        <v>P450IM02C2411</v>
      </c>
      <c r="B42" t="str">
        <f>IFERROR(VLOOKUP($A42,'[5]Study Budget Mapping '!$O$2:$P$532,2,0),"TBA")</f>
        <v>TBA</v>
      </c>
      <c r="D42" s="2" t="s">
        <v>33</v>
      </c>
      <c r="E42" s="2" t="s">
        <v>15</v>
      </c>
      <c r="F42" s="3">
        <v>3522750</v>
      </c>
      <c r="G42" s="3">
        <v>0</v>
      </c>
      <c r="H42" s="4"/>
      <c r="I42" s="4"/>
      <c r="J42" s="4"/>
      <c r="K42" s="4"/>
      <c r="L42" s="4"/>
      <c r="M42" s="4"/>
    </row>
    <row r="43" spans="1:13" ht="15" customHeight="1" x14ac:dyDescent="0.35">
      <c r="A43" t="str">
        <f t="shared" si="0"/>
        <v>P450IM02C2411</v>
      </c>
      <c r="B43" t="str">
        <f>IFERROR(VLOOKUP($A43,'[5]Study Budget Mapping '!$O$2:$P$532,2,0),"TBA")</f>
        <v>TBA</v>
      </c>
      <c r="D43" s="2" t="s">
        <v>33</v>
      </c>
      <c r="E43" s="2" t="s">
        <v>28</v>
      </c>
      <c r="F43" s="3">
        <v>344400</v>
      </c>
      <c r="G43" s="3">
        <v>0</v>
      </c>
      <c r="H43" s="4"/>
      <c r="I43" s="4"/>
      <c r="J43" s="4"/>
      <c r="K43" s="4"/>
      <c r="L43" s="4"/>
      <c r="M43" s="4"/>
    </row>
    <row r="44" spans="1:13" ht="15" customHeight="1" x14ac:dyDescent="0.35">
      <c r="A44" t="str">
        <f t="shared" si="0"/>
        <v>P450IM02C2411</v>
      </c>
      <c r="B44" t="str">
        <f>IFERROR(VLOOKUP($A44,'[5]Study Budget Mapping '!$O$2:$P$532,2,0),"TBA")</f>
        <v>TBA</v>
      </c>
      <c r="D44" s="2" t="s">
        <v>33</v>
      </c>
      <c r="E44" s="2" t="s">
        <v>23</v>
      </c>
      <c r="F44" s="3">
        <v>1196648</v>
      </c>
      <c r="G44" s="3">
        <v>0</v>
      </c>
      <c r="H44" s="4"/>
      <c r="I44" s="4"/>
      <c r="J44" s="4"/>
      <c r="K44" s="4"/>
      <c r="L44" s="4"/>
      <c r="M44" s="4"/>
    </row>
    <row r="45" spans="1:13" ht="15" customHeight="1" x14ac:dyDescent="0.35">
      <c r="A45" t="str">
        <f t="shared" si="0"/>
        <v>P450IM02C3731</v>
      </c>
      <c r="B45" t="str">
        <f>IFERROR(VLOOKUP($A45,'[5]Study Budget Mapping '!$O$2:$P$532,2,0),"TBA")</f>
        <v>TBA</v>
      </c>
      <c r="D45" s="2" t="s">
        <v>34</v>
      </c>
      <c r="E45" s="2" t="s">
        <v>13</v>
      </c>
      <c r="F45" s="3">
        <v>2491440</v>
      </c>
      <c r="G45" s="3">
        <v>0</v>
      </c>
      <c r="H45" s="4"/>
      <c r="I45" s="4"/>
      <c r="J45" s="4"/>
      <c r="K45" s="4"/>
      <c r="L45" s="4"/>
      <c r="M45" s="4"/>
    </row>
    <row r="46" spans="1:13" ht="15" customHeight="1" x14ac:dyDescent="0.35">
      <c r="A46" t="str">
        <f t="shared" si="0"/>
        <v>P450IM02C3731</v>
      </c>
      <c r="B46" t="str">
        <f>IFERROR(VLOOKUP($A46,'[5]Study Budget Mapping '!$O$2:$P$532,2,0),"TBA")</f>
        <v>TBA</v>
      </c>
      <c r="D46" s="2" t="s">
        <v>34</v>
      </c>
      <c r="E46" s="2" t="s">
        <v>14</v>
      </c>
      <c r="F46" s="3">
        <v>331500</v>
      </c>
      <c r="G46" s="3">
        <v>0</v>
      </c>
      <c r="H46" s="4"/>
      <c r="I46" s="4"/>
      <c r="J46" s="4"/>
      <c r="K46" s="4"/>
      <c r="L46" s="4"/>
      <c r="M46" s="4"/>
    </row>
    <row r="47" spans="1:13" ht="15" customHeight="1" x14ac:dyDescent="0.35">
      <c r="A47" t="str">
        <f t="shared" si="0"/>
        <v>P450IM02C3731</v>
      </c>
      <c r="B47" t="str">
        <f>IFERROR(VLOOKUP($A47,'[5]Study Budget Mapping '!$O$2:$P$532,2,0),"TBA")</f>
        <v>TBA</v>
      </c>
      <c r="D47" s="2" t="s">
        <v>34</v>
      </c>
      <c r="E47" s="2" t="s">
        <v>31</v>
      </c>
      <c r="F47" s="3">
        <v>60000</v>
      </c>
      <c r="G47" s="3">
        <v>0</v>
      </c>
      <c r="H47" s="4"/>
      <c r="I47" s="4"/>
      <c r="J47" s="4"/>
      <c r="K47" s="4"/>
      <c r="L47" s="4"/>
      <c r="M47" s="4"/>
    </row>
    <row r="48" spans="1:13" ht="15" customHeight="1" x14ac:dyDescent="0.35">
      <c r="A48" t="str">
        <f t="shared" si="0"/>
        <v>P450IM02C3731</v>
      </c>
      <c r="B48" t="str">
        <f>IFERROR(VLOOKUP($A48,'[5]Study Budget Mapping '!$O$2:$P$532,2,0),"TBA")</f>
        <v>TBA</v>
      </c>
      <c r="D48" s="2" t="s">
        <v>34</v>
      </c>
      <c r="E48" s="2" t="s">
        <v>15</v>
      </c>
      <c r="F48" s="3">
        <v>6624132</v>
      </c>
      <c r="G48" s="3">
        <v>736643.05</v>
      </c>
      <c r="H48" s="4"/>
      <c r="I48" s="4"/>
      <c r="J48" s="4"/>
      <c r="K48" s="4"/>
      <c r="L48" s="4"/>
      <c r="M48" s="4"/>
    </row>
    <row r="49" spans="1:13" ht="15" customHeight="1" x14ac:dyDescent="0.35">
      <c r="A49" t="str">
        <f t="shared" si="0"/>
        <v>P450IM02C3731</v>
      </c>
      <c r="B49" t="str">
        <f>IFERROR(VLOOKUP($A49,'[5]Study Budget Mapping '!$O$2:$P$532,2,0),"TBA")</f>
        <v>TBA</v>
      </c>
      <c r="D49" s="2" t="s">
        <v>34</v>
      </c>
      <c r="E49" s="2" t="s">
        <v>16</v>
      </c>
      <c r="F49" s="3">
        <v>825880</v>
      </c>
      <c r="G49" s="3">
        <v>0</v>
      </c>
      <c r="H49" s="4"/>
      <c r="I49" s="4"/>
      <c r="J49" s="4"/>
      <c r="K49" s="4"/>
      <c r="L49" s="4"/>
      <c r="M49" s="4"/>
    </row>
    <row r="50" spans="1:13" ht="15" customHeight="1" x14ac:dyDescent="0.35">
      <c r="A50" t="str">
        <f t="shared" si="0"/>
        <v>P450IM02C3731</v>
      </c>
      <c r="B50" t="str">
        <f>IFERROR(VLOOKUP($A50,'[5]Study Budget Mapping '!$O$2:$P$532,2,0),"TBA")</f>
        <v>TBA</v>
      </c>
      <c r="D50" s="2" t="s">
        <v>34</v>
      </c>
      <c r="E50" s="2" t="s">
        <v>17</v>
      </c>
      <c r="F50" s="3">
        <v>327000</v>
      </c>
      <c r="G50" s="3">
        <v>0</v>
      </c>
      <c r="H50" s="4"/>
      <c r="I50" s="4"/>
      <c r="J50" s="4"/>
      <c r="K50" s="4"/>
      <c r="L50" s="4"/>
      <c r="M50" s="4"/>
    </row>
    <row r="51" spans="1:13" ht="15" customHeight="1" x14ac:dyDescent="0.35">
      <c r="A51" t="str">
        <f t="shared" si="0"/>
        <v>P450IM02C3731</v>
      </c>
      <c r="B51" t="str">
        <f>IFERROR(VLOOKUP($A51,'[5]Study Budget Mapping '!$O$2:$P$532,2,0),"TBA")</f>
        <v>TBA</v>
      </c>
      <c r="D51" s="2" t="s">
        <v>34</v>
      </c>
      <c r="E51" s="2" t="s">
        <v>28</v>
      </c>
      <c r="F51" s="3">
        <v>330000</v>
      </c>
      <c r="G51" s="3">
        <v>0</v>
      </c>
      <c r="H51" s="4"/>
      <c r="I51" s="4"/>
      <c r="J51" s="4"/>
      <c r="K51" s="4"/>
      <c r="L51" s="4"/>
      <c r="M51" s="4"/>
    </row>
    <row r="52" spans="1:13" ht="15" customHeight="1" x14ac:dyDescent="0.35">
      <c r="A52" t="str">
        <f t="shared" si="0"/>
        <v>P450IM02C3731</v>
      </c>
      <c r="B52" t="str">
        <f>IFERROR(VLOOKUP($A52,'[5]Study Budget Mapping '!$O$2:$P$532,2,0),"TBA")</f>
        <v>TBA</v>
      </c>
      <c r="D52" s="2" t="s">
        <v>34</v>
      </c>
      <c r="E52" s="2" t="s">
        <v>23</v>
      </c>
      <c r="F52" s="3">
        <v>1905139</v>
      </c>
      <c r="G52" s="3">
        <v>0</v>
      </c>
      <c r="H52" s="4"/>
      <c r="I52" s="4"/>
      <c r="J52" s="4"/>
      <c r="K52" s="4"/>
      <c r="L52" s="4"/>
      <c r="M52" s="4"/>
    </row>
    <row r="53" spans="1:13" ht="15" customHeight="1" x14ac:dyDescent="0.35">
      <c r="A53" t="str">
        <f t="shared" si="0"/>
        <v>P450IM02C3732</v>
      </c>
      <c r="B53" t="str">
        <f>IFERROR(VLOOKUP($A53,'[5]Study Budget Mapping '!$O$2:$P$532,2,0),"TBA")</f>
        <v>TBA</v>
      </c>
      <c r="D53" s="2" t="s">
        <v>35</v>
      </c>
      <c r="E53" s="2" t="s">
        <v>13</v>
      </c>
      <c r="F53" s="3">
        <v>3310875</v>
      </c>
      <c r="G53" s="3">
        <v>0</v>
      </c>
      <c r="H53" s="4"/>
      <c r="I53" s="4"/>
      <c r="J53" s="4"/>
      <c r="K53" s="4"/>
      <c r="L53" s="4"/>
      <c r="M53" s="4"/>
    </row>
    <row r="54" spans="1:13" ht="15" customHeight="1" x14ac:dyDescent="0.35">
      <c r="A54" t="str">
        <f t="shared" si="0"/>
        <v>P450IM02C3732</v>
      </c>
      <c r="B54" t="str">
        <f>IFERROR(VLOOKUP($A54,'[5]Study Budget Mapping '!$O$2:$P$532,2,0),"TBA")</f>
        <v>TBA</v>
      </c>
      <c r="D54" s="2" t="s">
        <v>35</v>
      </c>
      <c r="E54" s="2" t="s">
        <v>14</v>
      </c>
      <c r="F54" s="3">
        <v>167063</v>
      </c>
      <c r="G54" s="3">
        <v>0</v>
      </c>
      <c r="H54" s="4"/>
      <c r="I54" s="4"/>
      <c r="J54" s="4"/>
      <c r="K54" s="4"/>
      <c r="L54" s="4"/>
      <c r="M54" s="4"/>
    </row>
    <row r="55" spans="1:13" ht="15" customHeight="1" x14ac:dyDescent="0.35">
      <c r="A55" t="str">
        <f t="shared" si="0"/>
        <v>P450IM02C3732</v>
      </c>
      <c r="B55" t="str">
        <f>IFERROR(VLOOKUP($A55,'[5]Study Budget Mapping '!$O$2:$P$532,2,0),"TBA")</f>
        <v>TBA</v>
      </c>
      <c r="D55" s="2" t="s">
        <v>35</v>
      </c>
      <c r="E55" s="2" t="s">
        <v>31</v>
      </c>
      <c r="F55" s="3">
        <v>11250</v>
      </c>
      <c r="G55" s="3">
        <v>0</v>
      </c>
      <c r="H55" s="4"/>
      <c r="I55" s="4"/>
      <c r="J55" s="4"/>
      <c r="K55" s="4"/>
      <c r="L55" s="4"/>
      <c r="M55" s="4"/>
    </row>
    <row r="56" spans="1:13" ht="15" customHeight="1" x14ac:dyDescent="0.35">
      <c r="A56" t="str">
        <f t="shared" si="0"/>
        <v>P450IM02C3732</v>
      </c>
      <c r="B56" t="str">
        <f>IFERROR(VLOOKUP($A56,'[5]Study Budget Mapping '!$O$2:$P$532,2,0),"TBA")</f>
        <v>TBA</v>
      </c>
      <c r="D56" s="2" t="s">
        <v>35</v>
      </c>
      <c r="E56" s="2" t="s">
        <v>15</v>
      </c>
      <c r="F56" s="3">
        <v>3117156</v>
      </c>
      <c r="G56" s="3">
        <v>338191.57</v>
      </c>
      <c r="H56" s="4"/>
      <c r="I56" s="4"/>
      <c r="J56" s="4"/>
      <c r="K56" s="4"/>
      <c r="L56" s="4"/>
      <c r="M56" s="4"/>
    </row>
    <row r="57" spans="1:13" ht="15" customHeight="1" x14ac:dyDescent="0.35">
      <c r="A57" t="str">
        <f t="shared" si="0"/>
        <v>P450IM02C3732</v>
      </c>
      <c r="B57" t="str">
        <f>IFERROR(VLOOKUP($A57,'[5]Study Budget Mapping '!$O$2:$P$532,2,0),"TBA")</f>
        <v>TBA</v>
      </c>
      <c r="D57" s="2" t="s">
        <v>35</v>
      </c>
      <c r="E57" s="2" t="s">
        <v>16</v>
      </c>
      <c r="F57" s="3">
        <v>595664</v>
      </c>
      <c r="G57" s="3">
        <v>0</v>
      </c>
      <c r="H57" s="4"/>
      <c r="I57" s="4"/>
      <c r="J57" s="4"/>
      <c r="K57" s="4"/>
      <c r="L57" s="4"/>
      <c r="M57" s="4"/>
    </row>
    <row r="58" spans="1:13" ht="15" customHeight="1" x14ac:dyDescent="0.35">
      <c r="A58" t="str">
        <f t="shared" si="0"/>
        <v>P450IM02C3732</v>
      </c>
      <c r="B58" t="str">
        <f>IFERROR(VLOOKUP($A58,'[5]Study Budget Mapping '!$O$2:$P$532,2,0),"TBA")</f>
        <v>TBA</v>
      </c>
      <c r="D58" s="2" t="s">
        <v>35</v>
      </c>
      <c r="E58" s="2" t="s">
        <v>17</v>
      </c>
      <c r="F58" s="3">
        <v>252000</v>
      </c>
      <c r="G58" s="3">
        <v>0</v>
      </c>
      <c r="H58" s="4"/>
      <c r="I58" s="4"/>
      <c r="J58" s="4"/>
      <c r="K58" s="4"/>
      <c r="L58" s="4"/>
      <c r="M58" s="4"/>
    </row>
    <row r="59" spans="1:13" ht="15" customHeight="1" x14ac:dyDescent="0.35">
      <c r="A59" t="str">
        <f t="shared" si="0"/>
        <v>P450IM02C3732</v>
      </c>
      <c r="B59" t="str">
        <f>IFERROR(VLOOKUP($A59,'[5]Study Budget Mapping '!$O$2:$P$532,2,0),"TBA")</f>
        <v>TBA</v>
      </c>
      <c r="D59" s="2" t="s">
        <v>35</v>
      </c>
      <c r="E59" s="2" t="s">
        <v>28</v>
      </c>
      <c r="F59" s="3">
        <v>305500</v>
      </c>
      <c r="G59" s="3">
        <v>0</v>
      </c>
      <c r="H59" s="4"/>
      <c r="I59" s="4"/>
      <c r="J59" s="4"/>
      <c r="K59" s="4"/>
      <c r="L59" s="4"/>
      <c r="M59" s="4"/>
    </row>
    <row r="60" spans="1:13" ht="15" customHeight="1" x14ac:dyDescent="0.35">
      <c r="A60" t="str">
        <f t="shared" si="0"/>
        <v>P450IM02C3732</v>
      </c>
      <c r="B60" t="str">
        <f>IFERROR(VLOOKUP($A60,'[5]Study Budget Mapping '!$O$2:$P$532,2,0),"TBA")</f>
        <v>TBA</v>
      </c>
      <c r="D60" s="2" t="s">
        <v>35</v>
      </c>
      <c r="E60" s="2" t="s">
        <v>23</v>
      </c>
      <c r="F60" s="3">
        <v>2288475</v>
      </c>
      <c r="G60" s="3">
        <v>0</v>
      </c>
      <c r="H60" s="4"/>
      <c r="I60" s="4"/>
      <c r="J60" s="4"/>
      <c r="K60" s="4"/>
      <c r="L60" s="4"/>
      <c r="M60" s="4"/>
    </row>
    <row r="61" spans="1:13" ht="15" customHeight="1" x14ac:dyDescent="0.35">
      <c r="A61" t="str">
        <f t="shared" si="0"/>
        <v>P450IM02C3733</v>
      </c>
      <c r="B61" t="str">
        <f>IFERROR(VLOOKUP($A61,'[5]Study Budget Mapping '!$O$2:$P$532,2,0),"TBA")</f>
        <v>TBA</v>
      </c>
      <c r="D61" s="2" t="s">
        <v>36</v>
      </c>
      <c r="E61" s="2" t="s">
        <v>13</v>
      </c>
      <c r="F61" s="3">
        <v>1933440</v>
      </c>
      <c r="G61" s="3">
        <v>0</v>
      </c>
      <c r="H61" s="4"/>
      <c r="I61" s="4"/>
      <c r="J61" s="4"/>
      <c r="K61" s="4"/>
      <c r="L61" s="4"/>
      <c r="M61" s="4"/>
    </row>
    <row r="62" spans="1:13" ht="15" customHeight="1" x14ac:dyDescent="0.35">
      <c r="A62" t="str">
        <f t="shared" si="0"/>
        <v>P450IM02C3733</v>
      </c>
      <c r="B62" t="str">
        <f>IFERROR(VLOOKUP($A62,'[5]Study Budget Mapping '!$O$2:$P$532,2,0),"TBA")</f>
        <v>TBA</v>
      </c>
      <c r="D62" s="2" t="s">
        <v>36</v>
      </c>
      <c r="E62" s="2" t="s">
        <v>14</v>
      </c>
      <c r="F62" s="3">
        <v>540000</v>
      </c>
      <c r="G62" s="3">
        <v>0</v>
      </c>
      <c r="H62" s="4"/>
      <c r="I62" s="4"/>
      <c r="J62" s="4"/>
      <c r="K62" s="4"/>
      <c r="L62" s="4"/>
      <c r="M62" s="4"/>
    </row>
    <row r="63" spans="1:13" ht="15" customHeight="1" x14ac:dyDescent="0.35">
      <c r="A63" t="str">
        <f t="shared" si="0"/>
        <v>P450IM02C3733</v>
      </c>
      <c r="B63" t="str">
        <f>IFERROR(VLOOKUP($A63,'[5]Study Budget Mapping '!$O$2:$P$532,2,0),"TBA")</f>
        <v>TBA</v>
      </c>
      <c r="D63" s="2" t="s">
        <v>36</v>
      </c>
      <c r="E63" s="2" t="s">
        <v>31</v>
      </c>
      <c r="F63" s="3">
        <v>60000</v>
      </c>
      <c r="G63" s="3">
        <v>0</v>
      </c>
      <c r="H63" s="4"/>
      <c r="I63" s="4"/>
      <c r="J63" s="4"/>
      <c r="K63" s="4"/>
      <c r="L63" s="4"/>
      <c r="M63" s="4"/>
    </row>
    <row r="64" spans="1:13" ht="15" customHeight="1" x14ac:dyDescent="0.35">
      <c r="A64" t="str">
        <f t="shared" si="0"/>
        <v>P450IM02C3733</v>
      </c>
      <c r="B64" t="str">
        <f>IFERROR(VLOOKUP($A64,'[5]Study Budget Mapping '!$O$2:$P$532,2,0),"TBA")</f>
        <v>TBA</v>
      </c>
      <c r="D64" s="2" t="s">
        <v>36</v>
      </c>
      <c r="E64" s="2" t="s">
        <v>15</v>
      </c>
      <c r="F64" s="3">
        <v>5725414</v>
      </c>
      <c r="G64" s="3">
        <v>429787.32</v>
      </c>
      <c r="H64" s="4"/>
      <c r="I64" s="4"/>
      <c r="J64" s="4"/>
      <c r="K64" s="4"/>
      <c r="L64" s="4"/>
      <c r="M64" s="4"/>
    </row>
    <row r="65" spans="1:13" ht="15" customHeight="1" x14ac:dyDescent="0.35">
      <c r="A65" t="str">
        <f t="shared" si="0"/>
        <v>P450IM02C3733</v>
      </c>
      <c r="B65" t="str">
        <f>IFERROR(VLOOKUP($A65,'[5]Study Budget Mapping '!$O$2:$P$532,2,0),"TBA")</f>
        <v>TBA</v>
      </c>
      <c r="D65" s="2" t="s">
        <v>36</v>
      </c>
      <c r="E65" s="2" t="s">
        <v>16</v>
      </c>
      <c r="F65" s="3">
        <v>507291</v>
      </c>
      <c r="G65" s="3">
        <v>0</v>
      </c>
      <c r="H65" s="4"/>
      <c r="I65" s="4"/>
      <c r="J65" s="4"/>
      <c r="K65" s="4"/>
      <c r="L65" s="4"/>
      <c r="M65" s="4"/>
    </row>
    <row r="66" spans="1:13" ht="15" customHeight="1" x14ac:dyDescent="0.35">
      <c r="A66" t="str">
        <f t="shared" si="0"/>
        <v>P450IM02C3733</v>
      </c>
      <c r="B66" t="str">
        <f>IFERROR(VLOOKUP($A66,'[5]Study Budget Mapping '!$O$2:$P$532,2,0),"TBA")</f>
        <v>TBA</v>
      </c>
      <c r="D66" s="2" t="s">
        <v>36</v>
      </c>
      <c r="E66" s="2" t="s">
        <v>17</v>
      </c>
      <c r="F66" s="3">
        <v>340500</v>
      </c>
      <c r="G66" s="3">
        <v>0</v>
      </c>
      <c r="H66" s="4"/>
      <c r="I66" s="4"/>
      <c r="J66" s="4"/>
      <c r="K66" s="4"/>
      <c r="L66" s="4"/>
      <c r="M66" s="4"/>
    </row>
    <row r="67" spans="1:13" ht="15" customHeight="1" x14ac:dyDescent="0.35">
      <c r="A67" t="str">
        <f t="shared" ref="A67:A130" si="1">TRIM(_xlfn.TEXTBEFORE(D67,"-",1))</f>
        <v>P450IM02C3733</v>
      </c>
      <c r="B67" t="str">
        <f>IFERROR(VLOOKUP($A67,'[5]Study Budget Mapping '!$O$2:$P$532,2,0),"TBA")</f>
        <v>TBA</v>
      </c>
      <c r="D67" s="2" t="s">
        <v>36</v>
      </c>
      <c r="E67" s="2" t="s">
        <v>28</v>
      </c>
      <c r="F67" s="3">
        <v>335000</v>
      </c>
      <c r="G67" s="3">
        <v>0</v>
      </c>
      <c r="H67" s="4"/>
      <c r="I67" s="4"/>
      <c r="J67" s="4"/>
      <c r="K67" s="4"/>
      <c r="L67" s="4"/>
      <c r="M67" s="4"/>
    </row>
    <row r="68" spans="1:13" ht="15" customHeight="1" x14ac:dyDescent="0.35">
      <c r="A68" t="str">
        <f t="shared" si="1"/>
        <v>P450IM02C3733</v>
      </c>
      <c r="B68" t="str">
        <f>IFERROR(VLOOKUP($A68,'[5]Study Budget Mapping '!$O$2:$P$532,2,0),"TBA")</f>
        <v>TBA</v>
      </c>
      <c r="D68" s="2" t="s">
        <v>36</v>
      </c>
      <c r="E68" s="2" t="s">
        <v>23</v>
      </c>
      <c r="F68" s="3">
        <v>1866432</v>
      </c>
      <c r="G68" s="3">
        <v>0</v>
      </c>
      <c r="H68" s="4"/>
      <c r="I68" s="4"/>
      <c r="J68" s="4"/>
      <c r="K68" s="4"/>
      <c r="L68" s="4"/>
      <c r="M68" s="4"/>
    </row>
    <row r="69" spans="1:13" ht="15" customHeight="1" x14ac:dyDescent="0.35">
      <c r="A69" t="str">
        <f t="shared" si="1"/>
        <v>P450IM02C3931</v>
      </c>
      <c r="B69" t="str">
        <f>IFERROR(VLOOKUP($A69,'[5]Study Budget Mapping '!$O$2:$P$532,2,0),"TBA")</f>
        <v>TBA</v>
      </c>
      <c r="D69" s="2" t="s">
        <v>37</v>
      </c>
      <c r="E69" s="2" t="s">
        <v>13</v>
      </c>
      <c r="F69" s="3">
        <v>8827200</v>
      </c>
      <c r="G69" s="3">
        <v>0</v>
      </c>
      <c r="H69" s="4"/>
      <c r="I69" s="4"/>
      <c r="J69" s="4"/>
      <c r="K69" s="4"/>
      <c r="L69" s="4"/>
      <c r="M69" s="4"/>
    </row>
    <row r="70" spans="1:13" ht="15" customHeight="1" x14ac:dyDescent="0.35">
      <c r="A70" t="str">
        <f t="shared" si="1"/>
        <v>P450IM02C3931</v>
      </c>
      <c r="B70" t="str">
        <f>IFERROR(VLOOKUP($A70,'[5]Study Budget Mapping '!$O$2:$P$532,2,0),"TBA")</f>
        <v>TBA</v>
      </c>
      <c r="D70" s="2" t="s">
        <v>37</v>
      </c>
      <c r="E70" s="2" t="s">
        <v>14</v>
      </c>
      <c r="F70" s="3">
        <v>1350000</v>
      </c>
      <c r="G70" s="3">
        <v>0</v>
      </c>
      <c r="H70" s="4"/>
      <c r="I70" s="4"/>
      <c r="J70" s="4"/>
      <c r="K70" s="4"/>
      <c r="L70" s="4"/>
      <c r="M70" s="4"/>
    </row>
    <row r="71" spans="1:13" ht="15" customHeight="1" x14ac:dyDescent="0.35">
      <c r="A71" t="str">
        <f t="shared" si="1"/>
        <v>P450IM02C3931</v>
      </c>
      <c r="B71" t="str">
        <f>IFERROR(VLOOKUP($A71,'[5]Study Budget Mapping '!$O$2:$P$532,2,0),"TBA")</f>
        <v>TBA</v>
      </c>
      <c r="D71" s="2" t="s">
        <v>37</v>
      </c>
      <c r="E71" s="2" t="s">
        <v>31</v>
      </c>
      <c r="F71" s="3">
        <v>300000</v>
      </c>
      <c r="G71" s="3">
        <v>0</v>
      </c>
      <c r="H71" s="4"/>
      <c r="I71" s="4"/>
      <c r="J71" s="4"/>
      <c r="K71" s="4"/>
      <c r="L71" s="4"/>
      <c r="M71" s="4"/>
    </row>
    <row r="72" spans="1:13" ht="15" customHeight="1" x14ac:dyDescent="0.35">
      <c r="A72" t="str">
        <f t="shared" si="1"/>
        <v>P450IM02C3931</v>
      </c>
      <c r="B72" t="str">
        <f>IFERROR(VLOOKUP($A72,'[5]Study Budget Mapping '!$O$2:$P$532,2,0),"TBA")</f>
        <v>TBA</v>
      </c>
      <c r="D72" s="2" t="s">
        <v>37</v>
      </c>
      <c r="E72" s="2" t="s">
        <v>15</v>
      </c>
      <c r="F72" s="3">
        <v>8354072</v>
      </c>
      <c r="G72" s="3">
        <v>1065200.8400000001</v>
      </c>
      <c r="H72" s="4"/>
      <c r="I72" s="4"/>
      <c r="J72" s="4"/>
      <c r="K72" s="4"/>
      <c r="L72" s="4"/>
      <c r="M72" s="4"/>
    </row>
    <row r="73" spans="1:13" ht="15" customHeight="1" x14ac:dyDescent="0.35">
      <c r="A73" t="str">
        <f t="shared" si="1"/>
        <v>P450IM02C3931</v>
      </c>
      <c r="B73" t="str">
        <f>IFERROR(VLOOKUP($A73,'[5]Study Budget Mapping '!$O$2:$P$532,2,0),"TBA")</f>
        <v>TBA</v>
      </c>
      <c r="D73" s="2" t="s">
        <v>37</v>
      </c>
      <c r="E73" s="2" t="s">
        <v>16</v>
      </c>
      <c r="F73" s="3">
        <v>1309231</v>
      </c>
      <c r="G73" s="3">
        <v>0</v>
      </c>
      <c r="H73" s="4"/>
      <c r="I73" s="4"/>
      <c r="J73" s="4"/>
      <c r="K73" s="4"/>
      <c r="L73" s="4"/>
      <c r="M73" s="4"/>
    </row>
    <row r="74" spans="1:13" ht="15" customHeight="1" x14ac:dyDescent="0.35">
      <c r="A74" t="str">
        <f t="shared" si="1"/>
        <v>P450IM02C3931</v>
      </c>
      <c r="B74" t="str">
        <f>IFERROR(VLOOKUP($A74,'[5]Study Budget Mapping '!$O$2:$P$532,2,0),"TBA")</f>
        <v>TBA</v>
      </c>
      <c r="D74" s="2" t="s">
        <v>37</v>
      </c>
      <c r="E74" s="2" t="s">
        <v>17</v>
      </c>
      <c r="F74" s="3">
        <v>306000</v>
      </c>
      <c r="G74" s="3">
        <v>0</v>
      </c>
      <c r="H74" s="4"/>
      <c r="I74" s="4"/>
      <c r="J74" s="4"/>
      <c r="K74" s="4"/>
      <c r="L74" s="4"/>
      <c r="M74" s="4"/>
    </row>
    <row r="75" spans="1:13" ht="15" customHeight="1" x14ac:dyDescent="0.35">
      <c r="A75" t="str">
        <f t="shared" si="1"/>
        <v>P450IM02C3931</v>
      </c>
      <c r="B75" t="str">
        <f>IFERROR(VLOOKUP($A75,'[5]Study Budget Mapping '!$O$2:$P$532,2,0),"TBA")</f>
        <v>TBA</v>
      </c>
      <c r="D75" s="2" t="s">
        <v>37</v>
      </c>
      <c r="E75" s="2" t="s">
        <v>28</v>
      </c>
      <c r="F75" s="3">
        <v>510000</v>
      </c>
      <c r="G75" s="3">
        <v>0</v>
      </c>
      <c r="H75" s="4"/>
      <c r="I75" s="4"/>
      <c r="J75" s="4"/>
      <c r="K75" s="4"/>
      <c r="L75" s="4"/>
      <c r="M75" s="4"/>
    </row>
    <row r="76" spans="1:13" ht="15" customHeight="1" x14ac:dyDescent="0.35">
      <c r="A76" t="str">
        <f t="shared" si="1"/>
        <v>P450IM02C3931</v>
      </c>
      <c r="B76" t="str">
        <f>IFERROR(VLOOKUP($A76,'[5]Study Budget Mapping '!$O$2:$P$532,2,0),"TBA")</f>
        <v>TBA</v>
      </c>
      <c r="D76" s="2" t="s">
        <v>37</v>
      </c>
      <c r="E76" s="2" t="s">
        <v>23</v>
      </c>
      <c r="F76" s="3">
        <v>2114584</v>
      </c>
      <c r="G76" s="3">
        <v>0</v>
      </c>
      <c r="H76" s="4"/>
      <c r="I76" s="4"/>
      <c r="J76" s="4"/>
      <c r="K76" s="4"/>
      <c r="L76" s="4"/>
      <c r="M76" s="4"/>
    </row>
    <row r="77" spans="1:13" ht="15" customHeight="1" x14ac:dyDescent="0.35">
      <c r="A77" t="str">
        <f t="shared" si="1"/>
        <v>P450IM02C4611</v>
      </c>
      <c r="B77" t="str">
        <f>IFERROR(VLOOKUP($A77,'[5]Study Budget Mapping '!$O$2:$P$532,2,0),"TBA")</f>
        <v>TBA</v>
      </c>
      <c r="D77" s="2" t="s">
        <v>38</v>
      </c>
      <c r="E77" s="2" t="s">
        <v>15</v>
      </c>
      <c r="F77" s="3">
        <v>0</v>
      </c>
      <c r="G77" s="3">
        <v>87601.91</v>
      </c>
      <c r="H77" s="4"/>
      <c r="I77" s="4"/>
      <c r="J77" s="4"/>
      <c r="K77" s="4"/>
      <c r="L77" s="4"/>
      <c r="M77" s="4"/>
    </row>
    <row r="78" spans="1:13" ht="15" customHeight="1" x14ac:dyDescent="0.35">
      <c r="A78" t="str">
        <f t="shared" si="1"/>
        <v>P450IM02C4612</v>
      </c>
      <c r="B78" t="str">
        <f>IFERROR(VLOOKUP($A78,'[5]Study Budget Mapping '!$O$2:$P$532,2,0),"TBA")</f>
        <v>TBA</v>
      </c>
      <c r="D78" s="2" t="s">
        <v>39</v>
      </c>
      <c r="E78" s="2" t="s">
        <v>13</v>
      </c>
      <c r="F78" s="3">
        <v>800500</v>
      </c>
      <c r="G78" s="3">
        <v>0</v>
      </c>
      <c r="H78" s="4"/>
      <c r="I78" s="4"/>
      <c r="J78" s="4"/>
      <c r="K78" s="4"/>
      <c r="L78" s="4"/>
      <c r="M78" s="4"/>
    </row>
    <row r="79" spans="1:13" ht="15" customHeight="1" x14ac:dyDescent="0.35">
      <c r="A79" t="str">
        <f t="shared" si="1"/>
        <v>P450IM02C4612</v>
      </c>
      <c r="B79" t="str">
        <f>IFERROR(VLOOKUP($A79,'[5]Study Budget Mapping '!$O$2:$P$532,2,0),"TBA")</f>
        <v>TBA</v>
      </c>
      <c r="D79" s="2" t="s">
        <v>39</v>
      </c>
      <c r="E79" s="2" t="s">
        <v>14</v>
      </c>
      <c r="F79" s="3">
        <v>127001</v>
      </c>
      <c r="G79" s="3">
        <v>0</v>
      </c>
      <c r="H79" s="4"/>
      <c r="I79" s="4"/>
      <c r="J79" s="4"/>
      <c r="K79" s="4"/>
      <c r="L79" s="4"/>
      <c r="M79" s="4"/>
    </row>
    <row r="80" spans="1:13" ht="15" customHeight="1" x14ac:dyDescent="0.35">
      <c r="A80" t="str">
        <f t="shared" si="1"/>
        <v>P450IM02C4612</v>
      </c>
      <c r="B80" t="str">
        <f>IFERROR(VLOOKUP($A80,'[5]Study Budget Mapping '!$O$2:$P$532,2,0),"TBA")</f>
        <v>TBA</v>
      </c>
      <c r="D80" s="2" t="s">
        <v>39</v>
      </c>
      <c r="E80" s="2" t="s">
        <v>15</v>
      </c>
      <c r="F80" s="3">
        <v>534199</v>
      </c>
      <c r="G80" s="3">
        <v>2012801.6</v>
      </c>
      <c r="H80" s="4"/>
      <c r="I80" s="4"/>
      <c r="J80" s="4"/>
      <c r="K80" s="4"/>
      <c r="L80" s="4"/>
      <c r="M80" s="4"/>
    </row>
    <row r="81" spans="1:13" ht="15" customHeight="1" x14ac:dyDescent="0.35">
      <c r="A81" t="str">
        <f t="shared" si="1"/>
        <v>P450IM02C4612</v>
      </c>
      <c r="B81" t="str">
        <f>IFERROR(VLOOKUP($A81,'[5]Study Budget Mapping '!$O$2:$P$532,2,0),"TBA")</f>
        <v>TBA</v>
      </c>
      <c r="D81" s="2" t="s">
        <v>39</v>
      </c>
      <c r="E81" s="2" t="s">
        <v>16</v>
      </c>
      <c r="F81" s="3">
        <v>91695</v>
      </c>
      <c r="G81" s="3">
        <v>0</v>
      </c>
      <c r="H81" s="4"/>
      <c r="I81" s="4"/>
      <c r="J81" s="4"/>
      <c r="K81" s="4"/>
      <c r="L81" s="4"/>
      <c r="M81" s="4"/>
    </row>
    <row r="82" spans="1:13" ht="15" customHeight="1" x14ac:dyDescent="0.35">
      <c r="A82" t="str">
        <f t="shared" si="1"/>
        <v>P450IM02C4612</v>
      </c>
      <c r="B82" t="str">
        <f>IFERROR(VLOOKUP($A82,'[5]Study Budget Mapping '!$O$2:$P$532,2,0),"TBA")</f>
        <v>TBA</v>
      </c>
      <c r="D82" s="2" t="s">
        <v>39</v>
      </c>
      <c r="E82" s="2" t="s">
        <v>17</v>
      </c>
      <c r="F82" s="3">
        <v>90190</v>
      </c>
      <c r="G82" s="3">
        <v>0</v>
      </c>
      <c r="H82" s="4"/>
      <c r="I82" s="4"/>
      <c r="J82" s="4"/>
      <c r="K82" s="4"/>
      <c r="L82" s="4"/>
      <c r="M82" s="4"/>
    </row>
    <row r="83" spans="1:13" ht="15" customHeight="1" x14ac:dyDescent="0.35">
      <c r="A83" t="str">
        <f t="shared" si="1"/>
        <v>P450IM02C4612</v>
      </c>
      <c r="B83" t="str">
        <f>IFERROR(VLOOKUP($A83,'[5]Study Budget Mapping '!$O$2:$P$532,2,0),"TBA")</f>
        <v>TBA</v>
      </c>
      <c r="D83" s="2" t="s">
        <v>39</v>
      </c>
      <c r="E83" s="2" t="s">
        <v>28</v>
      </c>
      <c r="F83" s="3">
        <v>304171</v>
      </c>
      <c r="G83" s="3">
        <v>0</v>
      </c>
      <c r="H83" s="4"/>
      <c r="I83" s="4"/>
      <c r="J83" s="4"/>
      <c r="K83" s="4"/>
      <c r="L83" s="4"/>
      <c r="M83" s="4"/>
    </row>
    <row r="84" spans="1:13" ht="15" customHeight="1" x14ac:dyDescent="0.35">
      <c r="A84" t="str">
        <f t="shared" si="1"/>
        <v>P450IM02C4612</v>
      </c>
      <c r="B84" t="str">
        <f>IFERROR(VLOOKUP($A84,'[5]Study Budget Mapping '!$O$2:$P$532,2,0),"TBA")</f>
        <v>TBA</v>
      </c>
      <c r="D84" s="2" t="s">
        <v>39</v>
      </c>
      <c r="E84" s="2" t="s">
        <v>23</v>
      </c>
      <c r="F84" s="3">
        <v>693291</v>
      </c>
      <c r="G84" s="3">
        <v>0</v>
      </c>
      <c r="H84" s="4"/>
      <c r="I84" s="4"/>
      <c r="J84" s="4"/>
      <c r="K84" s="4"/>
      <c r="L84" s="4"/>
      <c r="M84" s="4"/>
    </row>
    <row r="85" spans="1:13" ht="15" customHeight="1" x14ac:dyDescent="0.35">
      <c r="A85" t="str">
        <f t="shared" si="1"/>
        <v>P450IM02C4911</v>
      </c>
      <c r="B85" t="str">
        <f>IFERROR(VLOOKUP($A85,'[5]Study Budget Mapping '!$O$2:$P$532,2,0),"TBA")</f>
        <v>TBA</v>
      </c>
      <c r="D85" s="2" t="s">
        <v>40</v>
      </c>
      <c r="E85" s="2" t="s">
        <v>13</v>
      </c>
      <c r="F85" s="3">
        <v>2768997</v>
      </c>
      <c r="G85" s="3">
        <v>0</v>
      </c>
      <c r="H85" s="4"/>
      <c r="I85" s="4"/>
      <c r="J85" s="4"/>
      <c r="K85" s="4"/>
      <c r="L85" s="4"/>
      <c r="M85" s="4"/>
    </row>
    <row r="86" spans="1:13" ht="15" customHeight="1" x14ac:dyDescent="0.35">
      <c r="A86" t="str">
        <f t="shared" si="1"/>
        <v>P450IM02C4911</v>
      </c>
      <c r="B86" t="str">
        <f>IFERROR(VLOOKUP($A86,'[5]Study Budget Mapping '!$O$2:$P$532,2,0),"TBA")</f>
        <v>TBA</v>
      </c>
      <c r="D86" s="2" t="s">
        <v>40</v>
      </c>
      <c r="E86" s="2" t="s">
        <v>14</v>
      </c>
      <c r="F86" s="3">
        <v>1528869</v>
      </c>
      <c r="G86" s="3">
        <v>0</v>
      </c>
      <c r="H86" s="4"/>
      <c r="I86" s="4"/>
      <c r="J86" s="4"/>
      <c r="K86" s="4"/>
      <c r="L86" s="4"/>
      <c r="M86" s="4"/>
    </row>
    <row r="87" spans="1:13" ht="15" customHeight="1" x14ac:dyDescent="0.35">
      <c r="A87" t="str">
        <f t="shared" si="1"/>
        <v>P450IM02C4911</v>
      </c>
      <c r="B87" t="str">
        <f>IFERROR(VLOOKUP($A87,'[5]Study Budget Mapping '!$O$2:$P$532,2,0),"TBA")</f>
        <v>TBA</v>
      </c>
      <c r="D87" s="2" t="s">
        <v>40</v>
      </c>
      <c r="E87" s="2" t="s">
        <v>15</v>
      </c>
      <c r="F87" s="3">
        <v>7949779</v>
      </c>
      <c r="G87" s="3">
        <v>15948661.35</v>
      </c>
      <c r="H87" s="4"/>
      <c r="I87" s="4"/>
      <c r="J87" s="4"/>
      <c r="K87" s="4"/>
      <c r="L87" s="4"/>
      <c r="M87" s="4"/>
    </row>
    <row r="88" spans="1:13" ht="15" customHeight="1" x14ac:dyDescent="0.35">
      <c r="A88" t="str">
        <f t="shared" si="1"/>
        <v>P450IM02C4911</v>
      </c>
      <c r="B88" t="str">
        <f>IFERROR(VLOOKUP($A88,'[5]Study Budget Mapping '!$O$2:$P$532,2,0),"TBA")</f>
        <v>TBA</v>
      </c>
      <c r="D88" s="2" t="s">
        <v>40</v>
      </c>
      <c r="E88" s="2" t="s">
        <v>16</v>
      </c>
      <c r="F88" s="3">
        <v>2487878</v>
      </c>
      <c r="G88" s="3">
        <v>0</v>
      </c>
      <c r="H88" s="4"/>
      <c r="I88" s="4"/>
      <c r="J88" s="4"/>
      <c r="K88" s="4"/>
      <c r="L88" s="4"/>
      <c r="M88" s="4"/>
    </row>
    <row r="89" spans="1:13" ht="15" customHeight="1" x14ac:dyDescent="0.35">
      <c r="A89" t="str">
        <f t="shared" si="1"/>
        <v>P450IM02C4911</v>
      </c>
      <c r="B89" t="str">
        <f>IFERROR(VLOOKUP($A89,'[5]Study Budget Mapping '!$O$2:$P$532,2,0),"TBA")</f>
        <v>TBA</v>
      </c>
      <c r="D89" s="2" t="s">
        <v>40</v>
      </c>
      <c r="E89" s="2" t="s">
        <v>17</v>
      </c>
      <c r="F89" s="3">
        <v>314408</v>
      </c>
      <c r="G89" s="3">
        <v>0</v>
      </c>
      <c r="H89" s="4"/>
      <c r="I89" s="4"/>
      <c r="J89" s="4"/>
      <c r="K89" s="4"/>
      <c r="L89" s="4"/>
      <c r="M89" s="4"/>
    </row>
    <row r="90" spans="1:13" ht="15" customHeight="1" x14ac:dyDescent="0.35">
      <c r="A90" t="str">
        <f t="shared" si="1"/>
        <v>P450IM02C4911</v>
      </c>
      <c r="B90" t="str">
        <f>IFERROR(VLOOKUP($A90,'[5]Study Budget Mapping '!$O$2:$P$532,2,0),"TBA")</f>
        <v>TBA</v>
      </c>
      <c r="D90" s="2" t="s">
        <v>40</v>
      </c>
      <c r="E90" s="2" t="s">
        <v>28</v>
      </c>
      <c r="F90" s="3">
        <v>700125</v>
      </c>
      <c r="G90" s="3">
        <v>0</v>
      </c>
      <c r="H90" s="4"/>
      <c r="I90" s="4"/>
      <c r="J90" s="4"/>
      <c r="K90" s="4"/>
      <c r="L90" s="4"/>
      <c r="M90" s="4"/>
    </row>
    <row r="91" spans="1:13" ht="15" customHeight="1" x14ac:dyDescent="0.35">
      <c r="A91" t="str">
        <f t="shared" si="1"/>
        <v>P450IM02C4911</v>
      </c>
      <c r="B91" t="str">
        <f>IFERROR(VLOOKUP($A91,'[5]Study Budget Mapping '!$O$2:$P$532,2,0),"TBA")</f>
        <v>TBA</v>
      </c>
      <c r="D91" s="2" t="s">
        <v>40</v>
      </c>
      <c r="E91" s="2" t="s">
        <v>23</v>
      </c>
      <c r="F91" s="3">
        <v>380008</v>
      </c>
      <c r="G91" s="3">
        <v>0</v>
      </c>
      <c r="H91" s="4"/>
      <c r="I91" s="4"/>
      <c r="J91" s="4"/>
      <c r="K91" s="4"/>
      <c r="L91" s="4"/>
      <c r="M91" s="4"/>
    </row>
    <row r="92" spans="1:13" ht="15" customHeight="1" x14ac:dyDescent="0.35">
      <c r="A92" t="str">
        <f t="shared" si="1"/>
        <v>P450IM06C1611</v>
      </c>
      <c r="B92" t="str">
        <f>IFERROR(VLOOKUP($A92,'[5]Study Budget Mapping '!$O$2:$P$532,2,0),"TBA")</f>
        <v>TBA</v>
      </c>
      <c r="D92" s="2" t="s">
        <v>41</v>
      </c>
      <c r="E92" s="2" t="s">
        <v>13</v>
      </c>
      <c r="F92" s="3">
        <v>467008</v>
      </c>
      <c r="G92" s="3">
        <v>0</v>
      </c>
      <c r="H92" s="4"/>
      <c r="I92" s="4"/>
      <c r="J92" s="4"/>
      <c r="K92" s="4"/>
      <c r="L92" s="4"/>
      <c r="M92" s="4"/>
    </row>
    <row r="93" spans="1:13" ht="15" customHeight="1" x14ac:dyDescent="0.35">
      <c r="A93" t="str">
        <f t="shared" si="1"/>
        <v>P450IM06C1611</v>
      </c>
      <c r="B93" t="str">
        <f>IFERROR(VLOOKUP($A93,'[5]Study Budget Mapping '!$O$2:$P$532,2,0),"TBA")</f>
        <v>TBA</v>
      </c>
      <c r="D93" s="2" t="s">
        <v>41</v>
      </c>
      <c r="E93" s="2" t="s">
        <v>19</v>
      </c>
      <c r="F93" s="3">
        <v>10000</v>
      </c>
      <c r="G93" s="3">
        <v>0</v>
      </c>
      <c r="H93" s="4"/>
      <c r="I93" s="4"/>
      <c r="J93" s="4"/>
      <c r="K93" s="4"/>
      <c r="L93" s="4"/>
      <c r="M93" s="4"/>
    </row>
    <row r="94" spans="1:13" ht="15" customHeight="1" x14ac:dyDescent="0.35">
      <c r="A94" t="str">
        <f t="shared" si="1"/>
        <v>P450IM06C1611</v>
      </c>
      <c r="B94" t="str">
        <f>IFERROR(VLOOKUP($A94,'[5]Study Budget Mapping '!$O$2:$P$532,2,0),"TBA")</f>
        <v>TBA</v>
      </c>
      <c r="D94" s="2" t="s">
        <v>41</v>
      </c>
      <c r="E94" s="2" t="s">
        <v>31</v>
      </c>
      <c r="F94" s="3">
        <v>10800</v>
      </c>
      <c r="G94" s="3">
        <v>0</v>
      </c>
      <c r="H94" s="4"/>
      <c r="I94" s="4"/>
      <c r="J94" s="4"/>
      <c r="K94" s="4"/>
      <c r="L94" s="4"/>
      <c r="M94" s="4"/>
    </row>
    <row r="95" spans="1:13" ht="15" customHeight="1" x14ac:dyDescent="0.35">
      <c r="A95" t="str">
        <f t="shared" si="1"/>
        <v>P450IM06C1611</v>
      </c>
      <c r="B95" t="str">
        <f>IFERROR(VLOOKUP($A95,'[5]Study Budget Mapping '!$O$2:$P$532,2,0),"TBA")</f>
        <v>TBA</v>
      </c>
      <c r="D95" s="2" t="s">
        <v>41</v>
      </c>
      <c r="E95" s="2" t="s">
        <v>15</v>
      </c>
      <c r="F95" s="3">
        <v>993809</v>
      </c>
      <c r="G95" s="3">
        <v>0</v>
      </c>
      <c r="H95" s="4"/>
      <c r="I95" s="4"/>
      <c r="J95" s="4"/>
      <c r="K95" s="4"/>
      <c r="L95" s="4"/>
      <c r="M95" s="4"/>
    </row>
    <row r="96" spans="1:13" ht="15" customHeight="1" x14ac:dyDescent="0.35">
      <c r="A96" t="str">
        <f t="shared" si="1"/>
        <v>P450IM06C1611</v>
      </c>
      <c r="B96" t="str">
        <f>IFERROR(VLOOKUP($A96,'[5]Study Budget Mapping '!$O$2:$P$532,2,0),"TBA")</f>
        <v>TBA</v>
      </c>
      <c r="D96" s="2" t="s">
        <v>41</v>
      </c>
      <c r="E96" s="2" t="s">
        <v>28</v>
      </c>
      <c r="F96" s="3">
        <v>150000</v>
      </c>
      <c r="G96" s="3">
        <v>0</v>
      </c>
      <c r="H96" s="4"/>
      <c r="I96" s="4"/>
      <c r="J96" s="4"/>
      <c r="K96" s="4"/>
      <c r="L96" s="4"/>
      <c r="M96" s="4"/>
    </row>
    <row r="97" spans="1:13" ht="15" customHeight="1" x14ac:dyDescent="0.35">
      <c r="A97" t="str">
        <f t="shared" si="1"/>
        <v>P450IM06C1611</v>
      </c>
      <c r="B97" t="str">
        <f>IFERROR(VLOOKUP($A97,'[5]Study Budget Mapping '!$O$2:$P$532,2,0),"TBA")</f>
        <v>TBA</v>
      </c>
      <c r="D97" s="2" t="s">
        <v>41</v>
      </c>
      <c r="E97" s="2" t="s">
        <v>23</v>
      </c>
      <c r="F97" s="3">
        <v>565474</v>
      </c>
      <c r="G97" s="3">
        <v>0</v>
      </c>
      <c r="H97" s="4"/>
      <c r="I97" s="4"/>
      <c r="J97" s="4"/>
      <c r="K97" s="4"/>
      <c r="L97" s="4"/>
      <c r="M97" s="4"/>
    </row>
    <row r="98" spans="1:13" ht="15" customHeight="1" x14ac:dyDescent="0.35">
      <c r="A98" t="str">
        <f t="shared" si="1"/>
        <v>P450IM06C1611</v>
      </c>
      <c r="B98" t="str">
        <f>IFERROR(VLOOKUP($A98,'[5]Study Budget Mapping '!$O$2:$P$532,2,0),"TBA")</f>
        <v>TBA</v>
      </c>
      <c r="D98" s="2" t="s">
        <v>41</v>
      </c>
      <c r="E98" s="2" t="s">
        <v>32</v>
      </c>
      <c r="F98" s="3">
        <v>10000</v>
      </c>
      <c r="G98" s="3">
        <v>0</v>
      </c>
      <c r="H98" s="4"/>
      <c r="I98" s="4"/>
      <c r="J98" s="4"/>
      <c r="K98" s="4"/>
      <c r="L98" s="4"/>
      <c r="M98" s="4"/>
    </row>
    <row r="99" spans="1:13" ht="15" customHeight="1" x14ac:dyDescent="0.35">
      <c r="A99" t="str">
        <f t="shared" si="1"/>
        <v>P450IM06C5411</v>
      </c>
      <c r="B99" t="str">
        <f>IFERROR(VLOOKUP($A99,'[5]Study Budget Mapping '!$O$2:$P$532,2,0),"TBA")</f>
        <v>TBA</v>
      </c>
      <c r="D99" s="2" t="s">
        <v>42</v>
      </c>
      <c r="E99" s="2" t="s">
        <v>15</v>
      </c>
      <c r="F99" s="3">
        <v>0</v>
      </c>
      <c r="G99" s="3">
        <v>20000</v>
      </c>
      <c r="H99" s="4"/>
      <c r="I99" s="4"/>
      <c r="J99" s="4"/>
      <c r="K99" s="4"/>
      <c r="L99" s="4"/>
      <c r="M99" s="4"/>
    </row>
    <row r="100" spans="1:13" ht="15" customHeight="1" x14ac:dyDescent="0.35">
      <c r="A100" t="str">
        <f t="shared" si="1"/>
        <v>P450IM09C5411</v>
      </c>
      <c r="B100" t="str">
        <f>IFERROR(VLOOKUP($A100,'[5]Study Budget Mapping '!$O$2:$P$532,2,0),"TBA")</f>
        <v>TBA</v>
      </c>
      <c r="D100" s="2" t="s">
        <v>43</v>
      </c>
      <c r="E100" s="2" t="s">
        <v>15</v>
      </c>
      <c r="F100" s="3">
        <v>0</v>
      </c>
      <c r="G100" s="3">
        <v>9695</v>
      </c>
      <c r="H100" s="4"/>
      <c r="I100" s="4"/>
      <c r="J100" s="4"/>
      <c r="K100" s="4"/>
      <c r="L100" s="4"/>
      <c r="M100" s="4"/>
    </row>
    <row r="101" spans="1:13" ht="15" customHeight="1" x14ac:dyDescent="0.35">
      <c r="A101" t="str">
        <f t="shared" si="1"/>
        <v>P450IM09C5412</v>
      </c>
      <c r="B101" t="str">
        <f>IFERROR(VLOOKUP($A101,'[5]Study Budget Mapping '!$O$2:$P$532,2,0),"TBA")</f>
        <v>TBA</v>
      </c>
      <c r="D101" s="2" t="s">
        <v>44</v>
      </c>
      <c r="E101" s="2" t="s">
        <v>15</v>
      </c>
      <c r="F101" s="3">
        <v>0</v>
      </c>
      <c r="G101" s="3">
        <v>56005.25</v>
      </c>
      <c r="H101" s="4"/>
      <c r="I101" s="4"/>
      <c r="J101" s="4"/>
      <c r="K101" s="4"/>
      <c r="L101" s="4"/>
      <c r="M101" s="4"/>
    </row>
    <row r="102" spans="1:13" ht="15" customHeight="1" x14ac:dyDescent="0.35">
      <c r="A102" t="str">
        <f t="shared" si="1"/>
        <v>P570OD00C3831</v>
      </c>
      <c r="B102" t="str">
        <f>IFERROR(VLOOKUP($A102,'[5]Study Budget Mapping '!$O$2:$P$532,2,0),"TBA")</f>
        <v>TBA</v>
      </c>
      <c r="D102" s="2" t="s">
        <v>45</v>
      </c>
      <c r="E102" s="2" t="s">
        <v>13</v>
      </c>
      <c r="F102" s="3">
        <v>6060000</v>
      </c>
      <c r="G102" s="3">
        <v>4420000</v>
      </c>
      <c r="H102" s="4"/>
      <c r="I102" s="4"/>
      <c r="J102" s="4"/>
      <c r="K102" s="4"/>
      <c r="L102" s="4"/>
      <c r="M102" s="4"/>
    </row>
    <row r="103" spans="1:13" ht="15" customHeight="1" x14ac:dyDescent="0.35">
      <c r="A103" t="str">
        <f t="shared" si="1"/>
        <v>P570OD00C3831</v>
      </c>
      <c r="B103" t="str">
        <f>IFERROR(VLOOKUP($A103,'[5]Study Budget Mapping '!$O$2:$P$532,2,0),"TBA")</f>
        <v>TBA</v>
      </c>
      <c r="D103" s="2" t="s">
        <v>45</v>
      </c>
      <c r="E103" s="2" t="s">
        <v>14</v>
      </c>
      <c r="F103" s="3">
        <v>380000</v>
      </c>
      <c r="G103" s="3">
        <v>530000</v>
      </c>
      <c r="H103" s="4"/>
      <c r="I103" s="4"/>
      <c r="J103" s="4"/>
      <c r="K103" s="4"/>
      <c r="L103" s="4"/>
      <c r="M103" s="4"/>
    </row>
    <row r="104" spans="1:13" ht="15" customHeight="1" x14ac:dyDescent="0.35">
      <c r="A104" t="str">
        <f t="shared" si="1"/>
        <v>P570OD00C3831</v>
      </c>
      <c r="B104" t="str">
        <f>IFERROR(VLOOKUP($A104,'[5]Study Budget Mapping '!$O$2:$P$532,2,0),"TBA")</f>
        <v>TBA</v>
      </c>
      <c r="D104" s="2" t="s">
        <v>45</v>
      </c>
      <c r="E104" s="2" t="s">
        <v>19</v>
      </c>
      <c r="F104" s="3">
        <v>160000</v>
      </c>
      <c r="G104" s="3">
        <v>100000</v>
      </c>
      <c r="H104" s="4"/>
      <c r="I104" s="4"/>
      <c r="J104" s="4"/>
      <c r="K104" s="4"/>
      <c r="L104" s="4"/>
      <c r="M104" s="4"/>
    </row>
    <row r="105" spans="1:13" ht="15" customHeight="1" x14ac:dyDescent="0.35">
      <c r="A105" t="str">
        <f t="shared" si="1"/>
        <v>P570OD00C3831</v>
      </c>
      <c r="B105" t="str">
        <f>IFERROR(VLOOKUP($A105,'[5]Study Budget Mapping '!$O$2:$P$532,2,0),"TBA")</f>
        <v>TBA</v>
      </c>
      <c r="D105" s="2" t="s">
        <v>45</v>
      </c>
      <c r="E105" s="2" t="s">
        <v>20</v>
      </c>
      <c r="F105" s="3">
        <v>460000</v>
      </c>
      <c r="G105" s="3">
        <v>460000</v>
      </c>
      <c r="H105" s="4"/>
      <c r="I105" s="4"/>
      <c r="J105" s="4"/>
      <c r="K105" s="4"/>
      <c r="L105" s="4"/>
      <c r="M105" s="4"/>
    </row>
    <row r="106" spans="1:13" ht="15" customHeight="1" x14ac:dyDescent="0.35">
      <c r="A106" t="str">
        <f t="shared" si="1"/>
        <v>P570OD00C3831</v>
      </c>
      <c r="B106" t="str">
        <f>IFERROR(VLOOKUP($A106,'[5]Study Budget Mapping '!$O$2:$P$532,2,0),"TBA")</f>
        <v>TBA</v>
      </c>
      <c r="D106" s="2" t="s">
        <v>45</v>
      </c>
      <c r="E106" s="2" t="s">
        <v>31</v>
      </c>
      <c r="F106" s="3">
        <v>1600000</v>
      </c>
      <c r="G106" s="3">
        <v>1545000</v>
      </c>
      <c r="H106" s="4"/>
      <c r="I106" s="4"/>
      <c r="J106" s="4"/>
      <c r="K106" s="4"/>
      <c r="L106" s="4"/>
      <c r="M106" s="4"/>
    </row>
    <row r="107" spans="1:13" ht="15" customHeight="1" x14ac:dyDescent="0.35">
      <c r="A107" t="str">
        <f t="shared" si="1"/>
        <v>P570OD00C3831</v>
      </c>
      <c r="B107" t="str">
        <f>IFERROR(VLOOKUP($A107,'[5]Study Budget Mapping '!$O$2:$P$532,2,0),"TBA")</f>
        <v>TBA</v>
      </c>
      <c r="D107" s="2" t="s">
        <v>45</v>
      </c>
      <c r="E107" s="2" t="s">
        <v>15</v>
      </c>
      <c r="F107" s="3">
        <v>10020000</v>
      </c>
      <c r="G107" s="3">
        <v>11010000</v>
      </c>
      <c r="H107" s="4"/>
      <c r="I107" s="4"/>
      <c r="J107" s="4"/>
      <c r="K107" s="4"/>
      <c r="L107" s="4"/>
      <c r="M107" s="4"/>
    </row>
    <row r="108" spans="1:13" ht="15" customHeight="1" x14ac:dyDescent="0.35">
      <c r="A108" t="str">
        <f t="shared" si="1"/>
        <v>P570OD00C3831</v>
      </c>
      <c r="B108" t="str">
        <f>IFERROR(VLOOKUP($A108,'[5]Study Budget Mapping '!$O$2:$P$532,2,0),"TBA")</f>
        <v>TBA</v>
      </c>
      <c r="D108" s="2" t="s">
        <v>45</v>
      </c>
      <c r="E108" s="2" t="s">
        <v>16</v>
      </c>
      <c r="F108" s="3">
        <v>1460000</v>
      </c>
      <c r="G108" s="3">
        <v>1830000</v>
      </c>
      <c r="H108" s="4"/>
      <c r="I108" s="4"/>
      <c r="J108" s="4"/>
      <c r="K108" s="4"/>
      <c r="L108" s="4"/>
      <c r="M108" s="4"/>
    </row>
    <row r="109" spans="1:13" ht="15" customHeight="1" x14ac:dyDescent="0.35">
      <c r="A109" t="str">
        <f t="shared" si="1"/>
        <v>P570OD00C3831</v>
      </c>
      <c r="B109" t="str">
        <f>IFERROR(VLOOKUP($A109,'[5]Study Budget Mapping '!$O$2:$P$532,2,0),"TBA")</f>
        <v>TBA</v>
      </c>
      <c r="D109" s="2" t="s">
        <v>45</v>
      </c>
      <c r="E109" s="2" t="s">
        <v>17</v>
      </c>
      <c r="F109" s="3">
        <v>340000</v>
      </c>
      <c r="G109" s="3">
        <v>370000</v>
      </c>
      <c r="H109" s="4"/>
      <c r="I109" s="4"/>
      <c r="J109" s="4"/>
      <c r="K109" s="4"/>
      <c r="L109" s="4"/>
      <c r="M109" s="4"/>
    </row>
    <row r="110" spans="1:13" ht="15" customHeight="1" x14ac:dyDescent="0.35">
      <c r="A110" t="str">
        <f t="shared" si="1"/>
        <v>P570OD00C3831</v>
      </c>
      <c r="B110" t="str">
        <f>IFERROR(VLOOKUP($A110,'[5]Study Budget Mapping '!$O$2:$P$532,2,0),"TBA")</f>
        <v>TBA</v>
      </c>
      <c r="D110" s="2" t="s">
        <v>45</v>
      </c>
      <c r="E110" s="2" t="s">
        <v>23</v>
      </c>
      <c r="F110" s="3">
        <v>470000</v>
      </c>
      <c r="G110" s="3">
        <v>710000</v>
      </c>
      <c r="H110" s="4"/>
      <c r="I110" s="4"/>
      <c r="J110" s="4"/>
      <c r="K110" s="4"/>
      <c r="L110" s="4"/>
      <c r="M110" s="4"/>
    </row>
    <row r="111" spans="1:13" ht="15" customHeight="1" x14ac:dyDescent="0.35">
      <c r="A111" t="str">
        <f t="shared" si="1"/>
        <v>P570OD00C3831</v>
      </c>
      <c r="B111" t="str">
        <f>IFERROR(VLOOKUP($A111,'[5]Study Budget Mapping '!$O$2:$P$532,2,0),"TBA")</f>
        <v>TBA</v>
      </c>
      <c r="D111" s="2" t="s">
        <v>45</v>
      </c>
      <c r="E111" s="2" t="s">
        <v>24</v>
      </c>
      <c r="F111" s="3">
        <v>640000</v>
      </c>
      <c r="G111" s="3">
        <v>820000</v>
      </c>
      <c r="H111" s="4"/>
      <c r="I111" s="4"/>
      <c r="J111" s="4"/>
      <c r="K111" s="4"/>
      <c r="L111" s="4"/>
      <c r="M111" s="4"/>
    </row>
    <row r="112" spans="1:13" ht="15" customHeight="1" x14ac:dyDescent="0.35">
      <c r="A112" t="str">
        <f t="shared" si="1"/>
        <v>P570OD00C3931</v>
      </c>
      <c r="B112" t="str">
        <f>IFERROR(VLOOKUP($A112,'[5]Study Budget Mapping '!$O$2:$P$532,2,0),"TBA")</f>
        <v>TBA</v>
      </c>
      <c r="D112" s="2" t="s">
        <v>46</v>
      </c>
      <c r="E112" s="2" t="s">
        <v>13</v>
      </c>
      <c r="F112" s="3">
        <v>3490000</v>
      </c>
      <c r="G112" s="3">
        <v>3490000</v>
      </c>
      <c r="H112" s="4"/>
      <c r="I112" s="4"/>
      <c r="J112" s="4"/>
      <c r="K112" s="4"/>
      <c r="L112" s="4"/>
      <c r="M112" s="4"/>
    </row>
    <row r="113" spans="1:13" ht="15" customHeight="1" x14ac:dyDescent="0.35">
      <c r="A113" t="str">
        <f t="shared" si="1"/>
        <v>P570OD00C3931</v>
      </c>
      <c r="B113" t="str">
        <f>IFERROR(VLOOKUP($A113,'[5]Study Budget Mapping '!$O$2:$P$532,2,0),"TBA")</f>
        <v>TBA</v>
      </c>
      <c r="D113" s="2" t="s">
        <v>46</v>
      </c>
      <c r="E113" s="2" t="s">
        <v>19</v>
      </c>
      <c r="F113" s="3">
        <v>550000</v>
      </c>
      <c r="G113" s="3">
        <v>550000</v>
      </c>
      <c r="H113" s="4"/>
      <c r="I113" s="4"/>
      <c r="J113" s="4"/>
      <c r="K113" s="4"/>
      <c r="L113" s="4"/>
      <c r="M113" s="4"/>
    </row>
    <row r="114" spans="1:13" ht="15" customHeight="1" x14ac:dyDescent="0.35">
      <c r="A114" t="str">
        <f t="shared" si="1"/>
        <v>P570OD00C3931</v>
      </c>
      <c r="B114" t="str">
        <f>IFERROR(VLOOKUP($A114,'[5]Study Budget Mapping '!$O$2:$P$532,2,0),"TBA")</f>
        <v>TBA</v>
      </c>
      <c r="D114" s="2" t="s">
        <v>46</v>
      </c>
      <c r="E114" s="2" t="s">
        <v>15</v>
      </c>
      <c r="F114" s="3">
        <v>3820000</v>
      </c>
      <c r="G114" s="3">
        <v>3820000</v>
      </c>
      <c r="H114" s="4"/>
      <c r="I114" s="4"/>
      <c r="J114" s="4"/>
      <c r="K114" s="4"/>
      <c r="L114" s="4"/>
      <c r="M114" s="4"/>
    </row>
    <row r="115" spans="1:13" ht="15" customHeight="1" x14ac:dyDescent="0.35">
      <c r="A115" t="str">
        <f t="shared" si="1"/>
        <v>P570OD00C3931</v>
      </c>
      <c r="B115" t="str">
        <f>IFERROR(VLOOKUP($A115,'[5]Study Budget Mapping '!$O$2:$P$532,2,0),"TBA")</f>
        <v>TBA</v>
      </c>
      <c r="D115" s="2" t="s">
        <v>46</v>
      </c>
      <c r="E115" s="2" t="s">
        <v>16</v>
      </c>
      <c r="F115" s="3">
        <v>290000</v>
      </c>
      <c r="G115" s="3">
        <v>290000</v>
      </c>
      <c r="H115" s="4"/>
      <c r="I115" s="4"/>
      <c r="J115" s="4"/>
      <c r="K115" s="4"/>
      <c r="L115" s="4"/>
      <c r="M115" s="4"/>
    </row>
    <row r="116" spans="1:13" ht="15" customHeight="1" x14ac:dyDescent="0.35">
      <c r="A116" t="str">
        <f t="shared" si="1"/>
        <v>P570OD00C3931</v>
      </c>
      <c r="B116" t="str">
        <f>IFERROR(VLOOKUP($A116,'[5]Study Budget Mapping '!$O$2:$P$532,2,0),"TBA")</f>
        <v>TBA</v>
      </c>
      <c r="D116" s="2" t="s">
        <v>46</v>
      </c>
      <c r="E116" s="2" t="s">
        <v>23</v>
      </c>
      <c r="F116" s="3">
        <v>200000</v>
      </c>
      <c r="G116" s="3">
        <v>200000</v>
      </c>
      <c r="H116" s="4"/>
      <c r="I116" s="4"/>
      <c r="J116" s="4"/>
      <c r="K116" s="4"/>
      <c r="L116" s="4"/>
      <c r="M116" s="4"/>
    </row>
    <row r="117" spans="1:13" ht="15" customHeight="1" x14ac:dyDescent="0.35">
      <c r="A117" t="str">
        <f t="shared" si="1"/>
        <v>P570OD00C4911</v>
      </c>
      <c r="B117" t="str">
        <f>IFERROR(VLOOKUP($A117,'[5]Study Budget Mapping '!$O$2:$P$532,2,0),"TBA")</f>
        <v>TBA</v>
      </c>
      <c r="D117" s="2" t="s">
        <v>47</v>
      </c>
      <c r="E117" s="2" t="s">
        <v>15</v>
      </c>
      <c r="F117" s="3">
        <v>1000000</v>
      </c>
      <c r="G117" s="3">
        <v>1000000</v>
      </c>
      <c r="H117" s="4"/>
      <c r="I117" s="4"/>
      <c r="J117" s="4"/>
      <c r="K117" s="4"/>
      <c r="L117" s="4"/>
      <c r="M117" s="4"/>
    </row>
    <row r="118" spans="1:13" ht="15" customHeight="1" x14ac:dyDescent="0.35">
      <c r="A118" t="str">
        <f t="shared" si="1"/>
        <v>P570OD07C3711</v>
      </c>
      <c r="B118" t="str">
        <f>IFERROR(VLOOKUP($A118,'[5]Study Budget Mapping '!$O$2:$P$532,2,0),"TBA")</f>
        <v>TBA</v>
      </c>
      <c r="D118" s="2" t="s">
        <v>48</v>
      </c>
      <c r="E118" s="2" t="s">
        <v>13</v>
      </c>
      <c r="F118" s="3">
        <v>17999542</v>
      </c>
      <c r="G118" s="3">
        <v>17999542</v>
      </c>
      <c r="H118" s="4"/>
      <c r="I118" s="4"/>
      <c r="J118" s="4"/>
      <c r="K118" s="4"/>
      <c r="L118" s="4"/>
      <c r="M118" s="4"/>
    </row>
    <row r="119" spans="1:13" ht="15" customHeight="1" x14ac:dyDescent="0.35">
      <c r="A119" t="str">
        <f t="shared" si="1"/>
        <v>P570OD07C3711</v>
      </c>
      <c r="B119" t="str">
        <f>IFERROR(VLOOKUP($A119,'[5]Study Budget Mapping '!$O$2:$P$532,2,0),"TBA")</f>
        <v>TBA</v>
      </c>
      <c r="D119" s="2" t="s">
        <v>48</v>
      </c>
      <c r="E119" s="2" t="s">
        <v>14</v>
      </c>
      <c r="F119" s="3">
        <v>883081.09046320501</v>
      </c>
      <c r="G119" s="3">
        <v>883081.09046320501</v>
      </c>
      <c r="H119" s="4"/>
      <c r="I119" s="4"/>
      <c r="J119" s="4"/>
      <c r="K119" s="4"/>
      <c r="L119" s="4"/>
      <c r="M119" s="4"/>
    </row>
    <row r="120" spans="1:13" ht="15" customHeight="1" x14ac:dyDescent="0.35">
      <c r="A120" t="str">
        <f t="shared" si="1"/>
        <v>P570OD07C3711</v>
      </c>
      <c r="B120" t="str">
        <f>IFERROR(VLOOKUP($A120,'[5]Study Budget Mapping '!$O$2:$P$532,2,0),"TBA")</f>
        <v>TBA</v>
      </c>
      <c r="D120" s="2" t="s">
        <v>48</v>
      </c>
      <c r="E120" s="2" t="s">
        <v>19</v>
      </c>
      <c r="F120" s="3">
        <v>1218325</v>
      </c>
      <c r="G120" s="3">
        <v>1218325</v>
      </c>
      <c r="H120" s="4"/>
      <c r="I120" s="4"/>
      <c r="J120" s="4"/>
      <c r="K120" s="4"/>
      <c r="L120" s="4"/>
      <c r="M120" s="4"/>
    </row>
    <row r="121" spans="1:13" ht="15" customHeight="1" x14ac:dyDescent="0.35">
      <c r="A121" t="str">
        <f t="shared" si="1"/>
        <v>P570OD07C3711</v>
      </c>
      <c r="B121" t="str">
        <f>IFERROR(VLOOKUP($A121,'[5]Study Budget Mapping '!$O$2:$P$532,2,0),"TBA")</f>
        <v>TBA</v>
      </c>
      <c r="D121" s="2" t="s">
        <v>48</v>
      </c>
      <c r="E121" s="2" t="s">
        <v>20</v>
      </c>
      <c r="F121" s="3">
        <v>4320466</v>
      </c>
      <c r="G121" s="3">
        <v>4320466</v>
      </c>
      <c r="H121" s="4"/>
      <c r="I121" s="4"/>
      <c r="J121" s="4"/>
      <c r="K121" s="4"/>
      <c r="L121" s="4"/>
      <c r="M121" s="4"/>
    </row>
    <row r="122" spans="1:13" ht="15" customHeight="1" x14ac:dyDescent="0.35">
      <c r="A122" t="str">
        <f t="shared" si="1"/>
        <v>P570OD07C3711</v>
      </c>
      <c r="B122" t="str">
        <f>IFERROR(VLOOKUP($A122,'[5]Study Budget Mapping '!$O$2:$P$532,2,0),"TBA")</f>
        <v>TBA</v>
      </c>
      <c r="D122" s="2" t="s">
        <v>48</v>
      </c>
      <c r="E122" s="2" t="s">
        <v>15</v>
      </c>
      <c r="F122" s="3">
        <v>36894101.027281903</v>
      </c>
      <c r="G122" s="3">
        <v>36894101.027281903</v>
      </c>
      <c r="H122" s="4"/>
      <c r="I122" s="4"/>
      <c r="J122" s="4"/>
      <c r="K122" s="4"/>
      <c r="L122" s="4"/>
      <c r="M122" s="4"/>
    </row>
    <row r="123" spans="1:13" ht="15" customHeight="1" x14ac:dyDescent="0.35">
      <c r="A123" t="str">
        <f t="shared" si="1"/>
        <v>P570OD07C3711</v>
      </c>
      <c r="B123" t="str">
        <f>IFERROR(VLOOKUP($A123,'[5]Study Budget Mapping '!$O$2:$P$532,2,0),"TBA")</f>
        <v>TBA</v>
      </c>
      <c r="D123" s="2" t="s">
        <v>48</v>
      </c>
      <c r="E123" s="2" t="s">
        <v>16</v>
      </c>
      <c r="F123" s="3">
        <v>5035955.4934530696</v>
      </c>
      <c r="G123" s="3">
        <v>5035955.4934530696</v>
      </c>
      <c r="H123" s="4"/>
      <c r="I123" s="4"/>
      <c r="J123" s="4"/>
      <c r="K123" s="4"/>
      <c r="L123" s="4"/>
      <c r="M123" s="4"/>
    </row>
    <row r="124" spans="1:13" ht="15" customHeight="1" x14ac:dyDescent="0.35">
      <c r="A124" t="str">
        <f t="shared" si="1"/>
        <v>P570OD07C3711</v>
      </c>
      <c r="B124" t="str">
        <f>IFERROR(VLOOKUP($A124,'[5]Study Budget Mapping '!$O$2:$P$532,2,0),"TBA")</f>
        <v>TBA</v>
      </c>
      <c r="D124" s="2" t="s">
        <v>48</v>
      </c>
      <c r="E124" s="2" t="s">
        <v>23</v>
      </c>
      <c r="F124" s="3">
        <v>202885</v>
      </c>
      <c r="G124" s="3">
        <v>202885</v>
      </c>
      <c r="H124" s="4"/>
      <c r="I124" s="4"/>
      <c r="J124" s="4"/>
      <c r="K124" s="4"/>
      <c r="L124" s="4"/>
      <c r="M124" s="4"/>
    </row>
    <row r="125" spans="1:13" ht="15" customHeight="1" x14ac:dyDescent="0.35">
      <c r="A125" t="str">
        <f t="shared" si="1"/>
        <v>P570OD01C4911</v>
      </c>
      <c r="B125" t="str">
        <f>IFERROR(VLOOKUP($A125,'[5]Study Budget Mapping '!$O$2:$P$532,2,0),"TBA")</f>
        <v>TBA</v>
      </c>
      <c r="D125" s="2" t="s">
        <v>49</v>
      </c>
      <c r="E125" s="2" t="s">
        <v>13</v>
      </c>
      <c r="F125" s="3">
        <v>3601500</v>
      </c>
      <c r="G125" s="3">
        <v>0</v>
      </c>
      <c r="H125" s="4"/>
      <c r="I125" s="4"/>
      <c r="J125" s="4"/>
      <c r="K125" s="4"/>
      <c r="L125" s="4"/>
      <c r="M125" s="4"/>
    </row>
    <row r="126" spans="1:13" ht="15" customHeight="1" x14ac:dyDescent="0.35">
      <c r="A126" t="str">
        <f t="shared" si="1"/>
        <v>P570OD01C4911</v>
      </c>
      <c r="B126" t="str">
        <f>IFERROR(VLOOKUP($A126,'[5]Study Budget Mapping '!$O$2:$P$532,2,0),"TBA")</f>
        <v>TBA</v>
      </c>
      <c r="D126" s="2" t="s">
        <v>49</v>
      </c>
      <c r="E126" s="2" t="s">
        <v>14</v>
      </c>
      <c r="F126" s="3">
        <v>240750</v>
      </c>
      <c r="G126" s="3">
        <v>0</v>
      </c>
      <c r="H126" s="4"/>
      <c r="I126" s="4"/>
      <c r="J126" s="4"/>
      <c r="K126" s="4"/>
      <c r="L126" s="4"/>
      <c r="M126" s="4"/>
    </row>
    <row r="127" spans="1:13" ht="15" customHeight="1" x14ac:dyDescent="0.35">
      <c r="A127" t="str">
        <f t="shared" si="1"/>
        <v>P570OD01C4911</v>
      </c>
      <c r="B127" t="str">
        <f>IFERROR(VLOOKUP($A127,'[5]Study Budget Mapping '!$O$2:$P$532,2,0),"TBA")</f>
        <v>TBA</v>
      </c>
      <c r="D127" s="2" t="s">
        <v>49</v>
      </c>
      <c r="E127" s="2" t="s">
        <v>19</v>
      </c>
      <c r="F127" s="3">
        <v>2447670</v>
      </c>
      <c r="G127" s="3">
        <v>0</v>
      </c>
      <c r="H127" s="4"/>
      <c r="I127" s="4"/>
      <c r="J127" s="4"/>
      <c r="K127" s="4"/>
      <c r="L127" s="4"/>
      <c r="M127" s="4"/>
    </row>
    <row r="128" spans="1:13" ht="15" customHeight="1" x14ac:dyDescent="0.35">
      <c r="A128" t="str">
        <f t="shared" si="1"/>
        <v>P570OD01C4911</v>
      </c>
      <c r="B128" t="str">
        <f>IFERROR(VLOOKUP($A128,'[5]Study Budget Mapping '!$O$2:$P$532,2,0),"TBA")</f>
        <v>TBA</v>
      </c>
      <c r="D128" s="2" t="s">
        <v>49</v>
      </c>
      <c r="E128" s="2" t="s">
        <v>15</v>
      </c>
      <c r="F128" s="3">
        <v>7607157</v>
      </c>
      <c r="G128" s="3">
        <v>16242152.699999999</v>
      </c>
      <c r="H128" s="4"/>
      <c r="I128" s="4"/>
      <c r="J128" s="4"/>
      <c r="K128" s="4"/>
      <c r="L128" s="4"/>
      <c r="M128" s="4"/>
    </row>
    <row r="129" spans="1:13" ht="15" customHeight="1" x14ac:dyDescent="0.35">
      <c r="A129" t="str">
        <f t="shared" si="1"/>
        <v>P570OD01C4911</v>
      </c>
      <c r="B129" t="str">
        <f>IFERROR(VLOOKUP($A129,'[5]Study Budget Mapping '!$O$2:$P$532,2,0),"TBA")</f>
        <v>TBA</v>
      </c>
      <c r="D129" s="2" t="s">
        <v>49</v>
      </c>
      <c r="E129" s="2" t="s">
        <v>16</v>
      </c>
      <c r="F129" s="3">
        <v>1520205</v>
      </c>
      <c r="G129" s="3">
        <v>0</v>
      </c>
      <c r="H129" s="4"/>
      <c r="I129" s="4"/>
      <c r="J129" s="4"/>
      <c r="K129" s="4"/>
      <c r="L129" s="4"/>
      <c r="M129" s="4"/>
    </row>
    <row r="130" spans="1:13" ht="15" customHeight="1" x14ac:dyDescent="0.35">
      <c r="A130" t="str">
        <f t="shared" si="1"/>
        <v>P570OD01C4911</v>
      </c>
      <c r="B130" t="str">
        <f>IFERROR(VLOOKUP($A130,'[5]Study Budget Mapping '!$O$2:$P$532,2,0),"TBA")</f>
        <v>TBA</v>
      </c>
      <c r="D130" s="2" t="s">
        <v>49</v>
      </c>
      <c r="E130" s="2" t="s">
        <v>17</v>
      </c>
      <c r="F130" s="3">
        <v>282831</v>
      </c>
      <c r="G130" s="3">
        <v>0</v>
      </c>
      <c r="H130" s="4"/>
      <c r="I130" s="4"/>
      <c r="J130" s="4"/>
      <c r="K130" s="4"/>
      <c r="L130" s="4"/>
      <c r="M130" s="4"/>
    </row>
    <row r="131" spans="1:13" ht="15" customHeight="1" x14ac:dyDescent="0.35">
      <c r="A131" t="str">
        <f t="shared" ref="A131:A194" si="2">TRIM(_xlfn.TEXTBEFORE(D131,"-",1))</f>
        <v>P570OD01C4911</v>
      </c>
      <c r="B131" t="str">
        <f>IFERROR(VLOOKUP($A131,'[5]Study Budget Mapping '!$O$2:$P$532,2,0),"TBA")</f>
        <v>TBA</v>
      </c>
      <c r="D131" s="2" t="s">
        <v>49</v>
      </c>
      <c r="E131" s="2" t="s">
        <v>28</v>
      </c>
      <c r="F131" s="3">
        <v>273800</v>
      </c>
      <c r="G131" s="3">
        <v>0</v>
      </c>
      <c r="H131" s="4"/>
      <c r="I131" s="4"/>
      <c r="J131" s="4"/>
      <c r="K131" s="4"/>
      <c r="L131" s="4"/>
      <c r="M131" s="4"/>
    </row>
    <row r="132" spans="1:13" ht="15" customHeight="1" x14ac:dyDescent="0.35">
      <c r="A132" t="str">
        <f t="shared" si="2"/>
        <v>P570OD01C4911</v>
      </c>
      <c r="B132" t="str">
        <f>IFERROR(VLOOKUP($A132,'[5]Study Budget Mapping '!$O$2:$P$532,2,0),"TBA")</f>
        <v>TBA</v>
      </c>
      <c r="D132" s="2" t="s">
        <v>49</v>
      </c>
      <c r="E132" s="2" t="s">
        <v>23</v>
      </c>
      <c r="F132" s="3">
        <v>536630</v>
      </c>
      <c r="G132" s="3">
        <v>0</v>
      </c>
      <c r="H132" s="4"/>
      <c r="I132" s="4"/>
      <c r="J132" s="4"/>
      <c r="K132" s="4"/>
      <c r="L132" s="4"/>
      <c r="M132" s="4"/>
    </row>
    <row r="133" spans="1:13" ht="15" customHeight="1" x14ac:dyDescent="0.35">
      <c r="A133" t="str">
        <f t="shared" si="2"/>
        <v>P570OD00C5411</v>
      </c>
      <c r="B133" t="str">
        <f>IFERROR(VLOOKUP($A133,'[5]Study Budget Mapping '!$O$2:$P$532,2,0),"TBA")</f>
        <v>TBA</v>
      </c>
      <c r="D133" s="2" t="s">
        <v>50</v>
      </c>
      <c r="E133" s="2" t="s">
        <v>15</v>
      </c>
      <c r="F133" s="3">
        <v>0</v>
      </c>
      <c r="G133" s="3">
        <v>303000</v>
      </c>
      <c r="H133" s="4"/>
      <c r="I133" s="4"/>
      <c r="J133" s="4"/>
      <c r="K133" s="4"/>
      <c r="L133" s="4"/>
      <c r="M133" s="4"/>
    </row>
    <row r="134" spans="1:13" ht="15" customHeight="1" x14ac:dyDescent="0.35">
      <c r="A134" t="str">
        <f t="shared" si="2"/>
        <v>P570OD00C5412</v>
      </c>
      <c r="B134" t="str">
        <f>IFERROR(VLOOKUP($A134,'[5]Study Budget Mapping '!$O$2:$P$532,2,0),"TBA")</f>
        <v>TBA</v>
      </c>
      <c r="D134" s="2" t="s">
        <v>51</v>
      </c>
      <c r="E134" s="2" t="s">
        <v>15</v>
      </c>
      <c r="F134" s="3">
        <v>0</v>
      </c>
      <c r="G134" s="3">
        <v>71500</v>
      </c>
      <c r="H134" s="4"/>
      <c r="I134" s="4"/>
      <c r="J134" s="4"/>
      <c r="K134" s="4"/>
      <c r="L134" s="4"/>
      <c r="M134" s="4"/>
    </row>
    <row r="135" spans="1:13" ht="15" customHeight="1" x14ac:dyDescent="0.35">
      <c r="A135" t="str">
        <f t="shared" si="2"/>
        <v>P570OD00C5611</v>
      </c>
      <c r="B135" t="str">
        <f>IFERROR(VLOOKUP($A135,'[5]Study Budget Mapping '!$O$2:$P$532,2,0),"TBA")</f>
        <v>TBA</v>
      </c>
      <c r="D135" s="2" t="s">
        <v>52</v>
      </c>
      <c r="E135" s="2" t="s">
        <v>15</v>
      </c>
      <c r="F135" s="3">
        <v>0</v>
      </c>
      <c r="G135" s="3">
        <v>418000</v>
      </c>
      <c r="H135" s="4"/>
      <c r="I135" s="4"/>
      <c r="J135" s="4"/>
      <c r="K135" s="4"/>
      <c r="L135" s="4"/>
      <c r="M135" s="4"/>
    </row>
    <row r="136" spans="1:13" ht="15" customHeight="1" x14ac:dyDescent="0.35">
      <c r="A136" t="str">
        <f t="shared" si="2"/>
        <v>P570OD00C5612</v>
      </c>
      <c r="B136" t="str">
        <f>IFERROR(VLOOKUP($A136,'[5]Study Budget Mapping '!$O$2:$P$532,2,0),"TBA")</f>
        <v>TBA</v>
      </c>
      <c r="D136" s="2" t="s">
        <v>53</v>
      </c>
      <c r="E136" s="2" t="s">
        <v>15</v>
      </c>
      <c r="F136" s="3">
        <v>0</v>
      </c>
      <c r="G136" s="3">
        <v>202000</v>
      </c>
      <c r="H136" s="4"/>
      <c r="I136" s="4"/>
      <c r="J136" s="4"/>
      <c r="K136" s="4"/>
      <c r="L136" s="4"/>
      <c r="M136" s="4"/>
    </row>
    <row r="137" spans="1:13" ht="15" customHeight="1" x14ac:dyDescent="0.35">
      <c r="A137" t="str">
        <f t="shared" si="2"/>
        <v>P570OD00C5614</v>
      </c>
      <c r="B137" t="str">
        <f>IFERROR(VLOOKUP($A137,'[5]Study Budget Mapping '!$O$2:$P$532,2,0),"TBA")</f>
        <v>TBA</v>
      </c>
      <c r="D137" s="2" t="s">
        <v>54</v>
      </c>
      <c r="E137" s="2" t="s">
        <v>15</v>
      </c>
      <c r="F137" s="3">
        <v>0</v>
      </c>
      <c r="G137" s="3">
        <v>65000</v>
      </c>
      <c r="H137" s="4"/>
      <c r="I137" s="4"/>
      <c r="J137" s="4"/>
      <c r="K137" s="4"/>
      <c r="L137" s="4"/>
      <c r="M137" s="4"/>
    </row>
    <row r="138" spans="1:13" ht="15" customHeight="1" x14ac:dyDescent="0.35">
      <c r="A138" t="str">
        <f t="shared" si="2"/>
        <v>P570OD00C5615</v>
      </c>
      <c r="B138" t="str">
        <f>IFERROR(VLOOKUP($A138,'[5]Study Budget Mapping '!$O$2:$P$532,2,0),"TBA")</f>
        <v>TBA</v>
      </c>
      <c r="D138" s="2" t="s">
        <v>55</v>
      </c>
      <c r="E138" s="2" t="s">
        <v>15</v>
      </c>
      <c r="F138" s="3">
        <v>0</v>
      </c>
      <c r="G138" s="3">
        <v>76000</v>
      </c>
      <c r="H138" s="4"/>
      <c r="I138" s="4"/>
      <c r="J138" s="4"/>
      <c r="K138" s="4"/>
      <c r="L138" s="4"/>
      <c r="M138" s="4"/>
    </row>
    <row r="139" spans="1:13" ht="15" customHeight="1" x14ac:dyDescent="0.35">
      <c r="A139" t="str">
        <f t="shared" si="2"/>
        <v>P570OD00C5618</v>
      </c>
      <c r="B139" t="str">
        <f>IFERROR(VLOOKUP($A139,'[5]Study Budget Mapping '!$O$2:$P$532,2,0),"TBA")</f>
        <v>TBA</v>
      </c>
      <c r="D139" s="2" t="s">
        <v>56</v>
      </c>
      <c r="E139" s="2" t="s">
        <v>15</v>
      </c>
      <c r="F139" s="3">
        <v>0</v>
      </c>
      <c r="G139" s="3">
        <v>49000</v>
      </c>
      <c r="H139" s="4"/>
      <c r="I139" s="4"/>
      <c r="J139" s="4"/>
      <c r="K139" s="4"/>
      <c r="L139" s="4"/>
      <c r="M139" s="4"/>
    </row>
    <row r="140" spans="1:13" ht="15" customHeight="1" x14ac:dyDescent="0.35">
      <c r="A140" t="str">
        <f t="shared" si="2"/>
        <v>P570OD01C1211</v>
      </c>
      <c r="B140" t="str">
        <f>IFERROR(VLOOKUP($A140,'[5]Study Budget Mapping '!$O$2:$P$532,2,0),"TBA")</f>
        <v>TBA</v>
      </c>
      <c r="D140" s="2" t="s">
        <v>57</v>
      </c>
      <c r="E140" s="2" t="s">
        <v>13</v>
      </c>
      <c r="F140" s="3">
        <v>1008680</v>
      </c>
      <c r="G140" s="3">
        <v>0</v>
      </c>
      <c r="H140" s="4"/>
      <c r="I140" s="4"/>
      <c r="J140" s="4"/>
      <c r="K140" s="4"/>
      <c r="L140" s="4"/>
      <c r="M140" s="4"/>
    </row>
    <row r="141" spans="1:13" ht="15" customHeight="1" x14ac:dyDescent="0.35">
      <c r="A141" t="str">
        <f t="shared" si="2"/>
        <v>P570OD01C1211</v>
      </c>
      <c r="B141" t="str">
        <f>IFERROR(VLOOKUP($A141,'[5]Study Budget Mapping '!$O$2:$P$532,2,0),"TBA")</f>
        <v>TBA</v>
      </c>
      <c r="D141" s="2" t="s">
        <v>57</v>
      </c>
      <c r="E141" s="2" t="s">
        <v>14</v>
      </c>
      <c r="F141" s="3">
        <v>71179</v>
      </c>
      <c r="G141" s="3">
        <v>0</v>
      </c>
      <c r="H141" s="4"/>
      <c r="I141" s="4"/>
      <c r="J141" s="4"/>
      <c r="K141" s="4"/>
      <c r="L141" s="4"/>
      <c r="M141" s="4"/>
    </row>
    <row r="142" spans="1:13" ht="15" customHeight="1" x14ac:dyDescent="0.35">
      <c r="A142" t="str">
        <f t="shared" si="2"/>
        <v>P570OD01C1211</v>
      </c>
      <c r="B142" t="str">
        <f>IFERROR(VLOOKUP($A142,'[5]Study Budget Mapping '!$O$2:$P$532,2,0),"TBA")</f>
        <v>TBA</v>
      </c>
      <c r="D142" s="2" t="s">
        <v>57</v>
      </c>
      <c r="E142" s="2" t="s">
        <v>19</v>
      </c>
      <c r="F142" s="3">
        <v>80000</v>
      </c>
      <c r="G142" s="3">
        <v>0</v>
      </c>
      <c r="H142" s="4"/>
      <c r="I142" s="4"/>
      <c r="J142" s="4"/>
      <c r="K142" s="4"/>
      <c r="L142" s="4"/>
      <c r="M142" s="4"/>
    </row>
    <row r="143" spans="1:13" ht="15" customHeight="1" x14ac:dyDescent="0.35">
      <c r="A143" t="str">
        <f t="shared" si="2"/>
        <v>P570OD01C1211</v>
      </c>
      <c r="B143" t="str">
        <f>IFERROR(VLOOKUP($A143,'[5]Study Budget Mapping '!$O$2:$P$532,2,0),"TBA")</f>
        <v>TBA</v>
      </c>
      <c r="D143" s="2" t="s">
        <v>57</v>
      </c>
      <c r="E143" s="2" t="s">
        <v>20</v>
      </c>
      <c r="F143" s="3">
        <v>199529</v>
      </c>
      <c r="G143" s="3">
        <v>0</v>
      </c>
      <c r="H143" s="4"/>
      <c r="I143" s="4"/>
      <c r="J143" s="4"/>
      <c r="K143" s="4"/>
      <c r="L143" s="4"/>
      <c r="M143" s="4"/>
    </row>
    <row r="144" spans="1:13" ht="15" customHeight="1" x14ac:dyDescent="0.35">
      <c r="A144" t="str">
        <f t="shared" si="2"/>
        <v>P570OD01C1211</v>
      </c>
      <c r="B144" t="str">
        <f>IFERROR(VLOOKUP($A144,'[5]Study Budget Mapping '!$O$2:$P$532,2,0),"TBA")</f>
        <v>TBA</v>
      </c>
      <c r="D144" s="2" t="s">
        <v>57</v>
      </c>
      <c r="E144" s="2" t="s">
        <v>31</v>
      </c>
      <c r="F144" s="3">
        <v>22000</v>
      </c>
      <c r="G144" s="3">
        <v>0</v>
      </c>
      <c r="H144" s="4"/>
      <c r="I144" s="4"/>
      <c r="J144" s="4"/>
      <c r="K144" s="4"/>
      <c r="L144" s="4"/>
      <c r="M144" s="4"/>
    </row>
    <row r="145" spans="1:13" ht="15" customHeight="1" x14ac:dyDescent="0.35">
      <c r="A145" t="str">
        <f t="shared" si="2"/>
        <v>P570OD01C1211</v>
      </c>
      <c r="B145" t="str">
        <f>IFERROR(VLOOKUP($A145,'[5]Study Budget Mapping '!$O$2:$P$532,2,0),"TBA")</f>
        <v>TBA</v>
      </c>
      <c r="D145" s="2" t="s">
        <v>57</v>
      </c>
      <c r="E145" s="2" t="s">
        <v>15</v>
      </c>
      <c r="F145" s="3">
        <v>2038768</v>
      </c>
      <c r="G145" s="3">
        <v>116778</v>
      </c>
      <c r="H145" s="4"/>
      <c r="I145" s="4"/>
      <c r="J145" s="4"/>
      <c r="K145" s="4"/>
      <c r="L145" s="4"/>
      <c r="M145" s="4"/>
    </row>
    <row r="146" spans="1:13" ht="15" customHeight="1" x14ac:dyDescent="0.35">
      <c r="A146" t="str">
        <f t="shared" si="2"/>
        <v>P570OD01C1211</v>
      </c>
      <c r="B146" t="str">
        <f>IFERROR(VLOOKUP($A146,'[5]Study Budget Mapping '!$O$2:$P$532,2,0),"TBA")</f>
        <v>TBA</v>
      </c>
      <c r="D146" s="2" t="s">
        <v>57</v>
      </c>
      <c r="E146" s="2" t="s">
        <v>16</v>
      </c>
      <c r="F146" s="3">
        <v>251982</v>
      </c>
      <c r="G146" s="3">
        <v>0</v>
      </c>
      <c r="H146" s="4"/>
      <c r="I146" s="4"/>
      <c r="J146" s="4"/>
      <c r="K146" s="4"/>
      <c r="L146" s="4"/>
      <c r="M146" s="4"/>
    </row>
    <row r="147" spans="1:13" ht="15" customHeight="1" x14ac:dyDescent="0.35">
      <c r="A147" t="str">
        <f t="shared" si="2"/>
        <v>P570OD01C1211</v>
      </c>
      <c r="B147" t="str">
        <f>IFERROR(VLOOKUP($A147,'[5]Study Budget Mapping '!$O$2:$P$532,2,0),"TBA")</f>
        <v>TBA</v>
      </c>
      <c r="D147" s="2" t="s">
        <v>57</v>
      </c>
      <c r="E147" s="2" t="s">
        <v>28</v>
      </c>
      <c r="F147" s="3">
        <v>205000</v>
      </c>
      <c r="G147" s="3">
        <v>0</v>
      </c>
      <c r="H147" s="4"/>
      <c r="I147" s="4"/>
      <c r="J147" s="4"/>
      <c r="K147" s="4"/>
      <c r="L147" s="4"/>
      <c r="M147" s="4"/>
    </row>
    <row r="148" spans="1:13" ht="15" customHeight="1" x14ac:dyDescent="0.35">
      <c r="A148" t="str">
        <f t="shared" si="2"/>
        <v>P570OD01C1211</v>
      </c>
      <c r="B148" t="str">
        <f>IFERROR(VLOOKUP($A148,'[5]Study Budget Mapping '!$O$2:$P$532,2,0),"TBA")</f>
        <v>TBA</v>
      </c>
      <c r="D148" s="2" t="s">
        <v>57</v>
      </c>
      <c r="E148" s="2" t="s">
        <v>23</v>
      </c>
      <c r="F148" s="3">
        <v>640034</v>
      </c>
      <c r="G148" s="3">
        <v>0</v>
      </c>
      <c r="H148" s="4"/>
      <c r="I148" s="4"/>
      <c r="J148" s="4"/>
      <c r="K148" s="4"/>
      <c r="L148" s="4"/>
      <c r="M148" s="4"/>
    </row>
    <row r="149" spans="1:13" ht="15" customHeight="1" x14ac:dyDescent="0.35">
      <c r="A149" t="str">
        <f t="shared" si="2"/>
        <v>P570OD01C1211</v>
      </c>
      <c r="B149" t="str">
        <f>IFERROR(VLOOKUP($A149,'[5]Study Budget Mapping '!$O$2:$P$532,2,0),"TBA")</f>
        <v>TBA</v>
      </c>
      <c r="D149" s="2" t="s">
        <v>57</v>
      </c>
      <c r="E149" s="2" t="s">
        <v>32</v>
      </c>
      <c r="F149" s="3">
        <v>114200</v>
      </c>
      <c r="G149" s="3">
        <v>0</v>
      </c>
      <c r="H149" s="4"/>
      <c r="I149" s="4"/>
      <c r="J149" s="4"/>
      <c r="K149" s="4"/>
      <c r="L149" s="4"/>
      <c r="M149" s="4"/>
    </row>
    <row r="150" spans="1:13" ht="15" customHeight="1" x14ac:dyDescent="0.35">
      <c r="A150" t="str">
        <f t="shared" si="2"/>
        <v>P570OD01C2511</v>
      </c>
      <c r="B150" t="str">
        <f>IFERROR(VLOOKUP($A150,'[5]Study Budget Mapping '!$O$2:$P$532,2,0),"TBA")</f>
        <v>TBA</v>
      </c>
      <c r="D150" s="2" t="s">
        <v>58</v>
      </c>
      <c r="E150" s="2" t="s">
        <v>13</v>
      </c>
      <c r="F150" s="3">
        <v>2633363</v>
      </c>
      <c r="G150" s="3">
        <v>0</v>
      </c>
      <c r="H150" s="4"/>
      <c r="I150" s="4"/>
      <c r="J150" s="4"/>
      <c r="K150" s="4"/>
      <c r="L150" s="4"/>
      <c r="M150" s="4"/>
    </row>
    <row r="151" spans="1:13" ht="15" customHeight="1" x14ac:dyDescent="0.35">
      <c r="A151" t="str">
        <f t="shared" si="2"/>
        <v>P570OD01C2511</v>
      </c>
      <c r="B151" t="str">
        <f>IFERROR(VLOOKUP($A151,'[5]Study Budget Mapping '!$O$2:$P$532,2,0),"TBA")</f>
        <v>TBA</v>
      </c>
      <c r="D151" s="2" t="s">
        <v>58</v>
      </c>
      <c r="E151" s="2" t="s">
        <v>14</v>
      </c>
      <c r="F151" s="3">
        <v>95823</v>
      </c>
      <c r="G151" s="3">
        <v>0</v>
      </c>
      <c r="H151" s="4"/>
      <c r="I151" s="4"/>
      <c r="J151" s="4"/>
      <c r="K151" s="4"/>
      <c r="L151" s="4"/>
      <c r="M151" s="4"/>
    </row>
    <row r="152" spans="1:13" ht="15" customHeight="1" x14ac:dyDescent="0.35">
      <c r="A152" t="str">
        <f t="shared" si="2"/>
        <v>P570OD01C2511</v>
      </c>
      <c r="B152" t="str">
        <f>IFERROR(VLOOKUP($A152,'[5]Study Budget Mapping '!$O$2:$P$532,2,0),"TBA")</f>
        <v>TBA</v>
      </c>
      <c r="D152" s="2" t="s">
        <v>58</v>
      </c>
      <c r="E152" s="2" t="s">
        <v>19</v>
      </c>
      <c r="F152" s="3">
        <v>267000</v>
      </c>
      <c r="G152" s="3">
        <v>0</v>
      </c>
      <c r="H152" s="4"/>
      <c r="I152" s="4"/>
      <c r="J152" s="4"/>
      <c r="K152" s="4"/>
      <c r="L152" s="4"/>
      <c r="M152" s="4"/>
    </row>
    <row r="153" spans="1:13" ht="15" customHeight="1" x14ac:dyDescent="0.35">
      <c r="A153" t="str">
        <f t="shared" si="2"/>
        <v>P570OD01C2511</v>
      </c>
      <c r="B153" t="str">
        <f>IFERROR(VLOOKUP($A153,'[5]Study Budget Mapping '!$O$2:$P$532,2,0),"TBA")</f>
        <v>TBA</v>
      </c>
      <c r="D153" s="2" t="s">
        <v>58</v>
      </c>
      <c r="E153" s="2" t="s">
        <v>20</v>
      </c>
      <c r="F153" s="3">
        <v>1012000</v>
      </c>
      <c r="G153" s="3">
        <v>0</v>
      </c>
      <c r="H153" s="4"/>
      <c r="I153" s="4"/>
      <c r="J153" s="4"/>
      <c r="K153" s="4"/>
      <c r="L153" s="4"/>
      <c r="M153" s="4"/>
    </row>
    <row r="154" spans="1:13" ht="15" customHeight="1" x14ac:dyDescent="0.35">
      <c r="A154" t="str">
        <f t="shared" si="2"/>
        <v>P570OD01C2511</v>
      </c>
      <c r="B154" t="str">
        <f>IFERROR(VLOOKUP($A154,'[5]Study Budget Mapping '!$O$2:$P$532,2,0),"TBA")</f>
        <v>TBA</v>
      </c>
      <c r="D154" s="2" t="s">
        <v>58</v>
      </c>
      <c r="E154" s="2" t="s">
        <v>31</v>
      </c>
      <c r="F154" s="3">
        <v>7500</v>
      </c>
      <c r="G154" s="3">
        <v>0</v>
      </c>
      <c r="H154" s="4"/>
      <c r="I154" s="4"/>
      <c r="J154" s="4"/>
      <c r="K154" s="4"/>
      <c r="L154" s="4"/>
      <c r="M154" s="4"/>
    </row>
    <row r="155" spans="1:13" ht="15" customHeight="1" x14ac:dyDescent="0.35">
      <c r="A155" t="str">
        <f t="shared" si="2"/>
        <v>P570OD01C2511</v>
      </c>
      <c r="B155" t="str">
        <f>IFERROR(VLOOKUP($A155,'[5]Study Budget Mapping '!$O$2:$P$532,2,0),"TBA")</f>
        <v>TBA</v>
      </c>
      <c r="D155" s="2" t="s">
        <v>58</v>
      </c>
      <c r="E155" s="2" t="s">
        <v>15</v>
      </c>
      <c r="F155" s="3">
        <v>3533260</v>
      </c>
      <c r="G155" s="3">
        <v>0</v>
      </c>
      <c r="H155" s="4"/>
      <c r="I155" s="4"/>
      <c r="J155" s="4"/>
      <c r="K155" s="4"/>
      <c r="L155" s="4"/>
      <c r="M155" s="4"/>
    </row>
    <row r="156" spans="1:13" ht="15" customHeight="1" x14ac:dyDescent="0.35">
      <c r="A156" t="str">
        <f t="shared" si="2"/>
        <v>P570OD01C2511</v>
      </c>
      <c r="B156" t="str">
        <f>IFERROR(VLOOKUP($A156,'[5]Study Budget Mapping '!$O$2:$P$532,2,0),"TBA")</f>
        <v>TBA</v>
      </c>
      <c r="D156" s="2" t="s">
        <v>58</v>
      </c>
      <c r="E156" s="2" t="s">
        <v>16</v>
      </c>
      <c r="F156" s="3">
        <v>458450</v>
      </c>
      <c r="G156" s="3">
        <v>0</v>
      </c>
      <c r="H156" s="4"/>
      <c r="I156" s="4"/>
      <c r="J156" s="4"/>
      <c r="K156" s="4"/>
      <c r="L156" s="4"/>
      <c r="M156" s="4"/>
    </row>
    <row r="157" spans="1:13" ht="15" customHeight="1" x14ac:dyDescent="0.35">
      <c r="A157" t="str">
        <f t="shared" si="2"/>
        <v>P570OD01C2511</v>
      </c>
      <c r="B157" t="str">
        <f>IFERROR(VLOOKUP($A157,'[5]Study Budget Mapping '!$O$2:$P$532,2,0),"TBA")</f>
        <v>TBA</v>
      </c>
      <c r="D157" s="2" t="s">
        <v>58</v>
      </c>
      <c r="E157" s="2" t="s">
        <v>17</v>
      </c>
      <c r="F157" s="3">
        <v>75000</v>
      </c>
      <c r="G157" s="3">
        <v>0</v>
      </c>
      <c r="H157" s="4"/>
      <c r="I157" s="4"/>
      <c r="J157" s="4"/>
      <c r="K157" s="4"/>
      <c r="L157" s="4"/>
      <c r="M157" s="4"/>
    </row>
    <row r="158" spans="1:13" ht="15" customHeight="1" x14ac:dyDescent="0.35">
      <c r="A158" t="str">
        <f t="shared" si="2"/>
        <v>P570OD01C2511</v>
      </c>
      <c r="B158" t="str">
        <f>IFERROR(VLOOKUP($A158,'[5]Study Budget Mapping '!$O$2:$P$532,2,0),"TBA")</f>
        <v>TBA</v>
      </c>
      <c r="D158" s="2" t="s">
        <v>58</v>
      </c>
      <c r="E158" s="2" t="s">
        <v>28</v>
      </c>
      <c r="F158" s="3">
        <v>150000</v>
      </c>
      <c r="G158" s="3">
        <v>0</v>
      </c>
      <c r="H158" s="4"/>
      <c r="I158" s="4"/>
      <c r="J158" s="4"/>
      <c r="K158" s="4"/>
      <c r="L158" s="4"/>
      <c r="M158" s="4"/>
    </row>
    <row r="159" spans="1:13" ht="15" customHeight="1" x14ac:dyDescent="0.35">
      <c r="A159" t="str">
        <f t="shared" si="2"/>
        <v>P570OD01C2511</v>
      </c>
      <c r="B159" t="str">
        <f>IFERROR(VLOOKUP($A159,'[5]Study Budget Mapping '!$O$2:$P$532,2,0),"TBA")</f>
        <v>TBA</v>
      </c>
      <c r="D159" s="2" t="s">
        <v>58</v>
      </c>
      <c r="E159" s="2" t="s">
        <v>23</v>
      </c>
      <c r="F159" s="3">
        <v>995538</v>
      </c>
      <c r="G159" s="3">
        <v>0</v>
      </c>
      <c r="H159" s="4"/>
      <c r="I159" s="4"/>
      <c r="J159" s="4"/>
      <c r="K159" s="4"/>
      <c r="L159" s="4"/>
      <c r="M159" s="4"/>
    </row>
    <row r="160" spans="1:13" ht="15" customHeight="1" x14ac:dyDescent="0.35">
      <c r="A160" t="str">
        <f t="shared" si="2"/>
        <v>P570OD01C2511</v>
      </c>
      <c r="B160" t="str">
        <f>IFERROR(VLOOKUP($A160,'[5]Study Budget Mapping '!$O$2:$P$532,2,0),"TBA")</f>
        <v>TBA</v>
      </c>
      <c r="D160" s="2" t="s">
        <v>58</v>
      </c>
      <c r="E160" s="2" t="s">
        <v>32</v>
      </c>
      <c r="F160" s="3">
        <v>20000</v>
      </c>
      <c r="G160" s="3">
        <v>0</v>
      </c>
      <c r="H160" s="4"/>
      <c r="I160" s="4"/>
      <c r="J160" s="4"/>
      <c r="K160" s="4"/>
      <c r="L160" s="4"/>
      <c r="M160" s="4"/>
    </row>
    <row r="161" spans="1:13" ht="15" customHeight="1" x14ac:dyDescent="0.35">
      <c r="A161" t="str">
        <f t="shared" si="2"/>
        <v>P570OD01C2911</v>
      </c>
      <c r="B161" t="str">
        <f>IFERROR(VLOOKUP($A161,'[5]Study Budget Mapping '!$O$2:$P$532,2,0),"TBA")</f>
        <v>TBA</v>
      </c>
      <c r="D161" s="2" t="s">
        <v>59</v>
      </c>
      <c r="E161" s="2" t="s">
        <v>13</v>
      </c>
      <c r="F161" s="3">
        <v>2946898</v>
      </c>
      <c r="G161" s="3">
        <v>0</v>
      </c>
      <c r="H161" s="4"/>
      <c r="I161" s="4"/>
      <c r="J161" s="4"/>
      <c r="K161" s="4"/>
      <c r="L161" s="4"/>
      <c r="M161" s="4"/>
    </row>
    <row r="162" spans="1:13" ht="15" customHeight="1" x14ac:dyDescent="0.35">
      <c r="A162" t="str">
        <f t="shared" si="2"/>
        <v>P570OD01C2911</v>
      </c>
      <c r="B162" t="str">
        <f>IFERROR(VLOOKUP($A162,'[5]Study Budget Mapping '!$O$2:$P$532,2,0),"TBA")</f>
        <v>TBA</v>
      </c>
      <c r="D162" s="2" t="s">
        <v>59</v>
      </c>
      <c r="E162" s="2" t="s">
        <v>14</v>
      </c>
      <c r="F162" s="3">
        <v>160000</v>
      </c>
      <c r="G162" s="3">
        <v>0</v>
      </c>
      <c r="H162" s="4"/>
      <c r="I162" s="4"/>
      <c r="J162" s="4"/>
      <c r="K162" s="4"/>
      <c r="L162" s="4"/>
      <c r="M162" s="4"/>
    </row>
    <row r="163" spans="1:13" ht="15" customHeight="1" x14ac:dyDescent="0.35">
      <c r="A163" t="str">
        <f t="shared" si="2"/>
        <v>P570OD01C2911</v>
      </c>
      <c r="B163" t="str">
        <f>IFERROR(VLOOKUP($A163,'[5]Study Budget Mapping '!$O$2:$P$532,2,0),"TBA")</f>
        <v>TBA</v>
      </c>
      <c r="D163" s="2" t="s">
        <v>59</v>
      </c>
      <c r="E163" s="2" t="s">
        <v>31</v>
      </c>
      <c r="F163" s="3">
        <v>8300</v>
      </c>
      <c r="G163" s="3">
        <v>0</v>
      </c>
      <c r="H163" s="4"/>
      <c r="I163" s="4"/>
      <c r="J163" s="4"/>
      <c r="K163" s="4"/>
      <c r="L163" s="4"/>
      <c r="M163" s="4"/>
    </row>
    <row r="164" spans="1:13" ht="15" customHeight="1" x14ac:dyDescent="0.35">
      <c r="A164" t="str">
        <f t="shared" si="2"/>
        <v>P570OD01C2911</v>
      </c>
      <c r="B164" t="str">
        <f>IFERROR(VLOOKUP($A164,'[5]Study Budget Mapping '!$O$2:$P$532,2,0),"TBA")</f>
        <v>TBA</v>
      </c>
      <c r="D164" s="2" t="s">
        <v>59</v>
      </c>
      <c r="E164" s="2" t="s">
        <v>15</v>
      </c>
      <c r="F164" s="3">
        <v>4753000</v>
      </c>
      <c r="G164" s="3">
        <v>164747.93</v>
      </c>
      <c r="H164" s="4"/>
      <c r="I164" s="4"/>
      <c r="J164" s="4"/>
      <c r="K164" s="4"/>
      <c r="L164" s="4"/>
      <c r="M164" s="4"/>
    </row>
    <row r="165" spans="1:13" ht="15" customHeight="1" x14ac:dyDescent="0.35">
      <c r="A165" t="str">
        <f t="shared" si="2"/>
        <v>P570OD01C2911</v>
      </c>
      <c r="B165" t="str">
        <f>IFERROR(VLOOKUP($A165,'[5]Study Budget Mapping '!$O$2:$P$532,2,0),"TBA")</f>
        <v>TBA</v>
      </c>
      <c r="D165" s="2" t="s">
        <v>59</v>
      </c>
      <c r="E165" s="2" t="s">
        <v>28</v>
      </c>
      <c r="F165" s="3">
        <v>350000</v>
      </c>
      <c r="G165" s="3">
        <v>0</v>
      </c>
      <c r="H165" s="4"/>
      <c r="I165" s="4"/>
      <c r="J165" s="4"/>
      <c r="K165" s="4"/>
      <c r="L165" s="4"/>
      <c r="M165" s="4"/>
    </row>
    <row r="166" spans="1:13" ht="15" customHeight="1" x14ac:dyDescent="0.35">
      <c r="A166" t="str">
        <f t="shared" si="2"/>
        <v>P570OD01C2911</v>
      </c>
      <c r="B166" t="str">
        <f>IFERROR(VLOOKUP($A166,'[5]Study Budget Mapping '!$O$2:$P$532,2,0),"TBA")</f>
        <v>TBA</v>
      </c>
      <c r="D166" s="2" t="s">
        <v>59</v>
      </c>
      <c r="E166" s="2" t="s">
        <v>23</v>
      </c>
      <c r="F166" s="3">
        <v>1370151</v>
      </c>
      <c r="G166" s="3">
        <v>0</v>
      </c>
      <c r="H166" s="4"/>
      <c r="I166" s="4"/>
      <c r="J166" s="4"/>
      <c r="K166" s="4"/>
      <c r="L166" s="4"/>
      <c r="M166" s="4"/>
    </row>
    <row r="167" spans="1:13" ht="15" customHeight="1" x14ac:dyDescent="0.35">
      <c r="A167" t="str">
        <f t="shared" si="2"/>
        <v>P570OD01C3831</v>
      </c>
      <c r="B167" t="str">
        <f>IFERROR(VLOOKUP($A167,'[5]Study Budget Mapping '!$O$2:$P$532,2,0),"TBA")</f>
        <v>TBA</v>
      </c>
      <c r="D167" s="2" t="s">
        <v>60</v>
      </c>
      <c r="E167" s="2" t="s">
        <v>13</v>
      </c>
      <c r="F167" s="3">
        <v>56460000</v>
      </c>
      <c r="G167" s="3">
        <v>0</v>
      </c>
      <c r="H167" s="4"/>
      <c r="I167" s="4"/>
      <c r="J167" s="4"/>
      <c r="K167" s="4"/>
      <c r="L167" s="4"/>
      <c r="M167" s="4"/>
    </row>
    <row r="168" spans="1:13" ht="15" customHeight="1" x14ac:dyDescent="0.35">
      <c r="A168" t="str">
        <f t="shared" si="2"/>
        <v>P570OD01C3831</v>
      </c>
      <c r="B168" t="str">
        <f>IFERROR(VLOOKUP($A168,'[5]Study Budget Mapping '!$O$2:$P$532,2,0),"TBA")</f>
        <v>TBA</v>
      </c>
      <c r="D168" s="2" t="s">
        <v>60</v>
      </c>
      <c r="E168" s="2" t="s">
        <v>14</v>
      </c>
      <c r="F168" s="3">
        <v>1843283</v>
      </c>
      <c r="G168" s="3">
        <v>0</v>
      </c>
      <c r="H168" s="4"/>
      <c r="I168" s="4"/>
      <c r="J168" s="4"/>
      <c r="K168" s="4"/>
      <c r="L168" s="4"/>
      <c r="M168" s="4"/>
    </row>
    <row r="169" spans="1:13" ht="15" customHeight="1" x14ac:dyDescent="0.35">
      <c r="A169" t="str">
        <f t="shared" si="2"/>
        <v>P570OD01C3831</v>
      </c>
      <c r="B169" t="str">
        <f>IFERROR(VLOOKUP($A169,'[5]Study Budget Mapping '!$O$2:$P$532,2,0),"TBA")</f>
        <v>TBA</v>
      </c>
      <c r="D169" s="2" t="s">
        <v>60</v>
      </c>
      <c r="E169" s="2" t="s">
        <v>19</v>
      </c>
      <c r="F169" s="3">
        <v>2648161</v>
      </c>
      <c r="G169" s="3">
        <v>0</v>
      </c>
      <c r="H169" s="4"/>
      <c r="I169" s="4"/>
      <c r="J169" s="4"/>
      <c r="K169" s="4"/>
      <c r="L169" s="4"/>
      <c r="M169" s="4"/>
    </row>
    <row r="170" spans="1:13" ht="15" customHeight="1" x14ac:dyDescent="0.35">
      <c r="A170" t="str">
        <f t="shared" si="2"/>
        <v>P570OD01C3831</v>
      </c>
      <c r="B170" t="str">
        <f>IFERROR(VLOOKUP($A170,'[5]Study Budget Mapping '!$O$2:$P$532,2,0),"TBA")</f>
        <v>TBA</v>
      </c>
      <c r="D170" s="2" t="s">
        <v>60</v>
      </c>
      <c r="E170" s="2" t="s">
        <v>20</v>
      </c>
      <c r="F170" s="3">
        <v>8800000</v>
      </c>
      <c r="G170" s="3">
        <v>0</v>
      </c>
      <c r="H170" s="4"/>
      <c r="I170" s="4"/>
      <c r="J170" s="4"/>
      <c r="K170" s="4"/>
      <c r="L170" s="4"/>
      <c r="M170" s="4"/>
    </row>
    <row r="171" spans="1:13" ht="15" customHeight="1" x14ac:dyDescent="0.35">
      <c r="A171" t="str">
        <f t="shared" si="2"/>
        <v>P570OD01C3831</v>
      </c>
      <c r="B171" t="str">
        <f>IFERROR(VLOOKUP($A171,'[5]Study Budget Mapping '!$O$2:$P$532,2,0),"TBA")</f>
        <v>TBA</v>
      </c>
      <c r="D171" s="2" t="s">
        <v>60</v>
      </c>
      <c r="E171" s="2" t="s">
        <v>31</v>
      </c>
      <c r="F171" s="3">
        <v>2034000</v>
      </c>
      <c r="G171" s="3">
        <v>0</v>
      </c>
      <c r="H171" s="4"/>
      <c r="I171" s="4"/>
      <c r="J171" s="4"/>
      <c r="K171" s="4"/>
      <c r="L171" s="4"/>
      <c r="M171" s="4"/>
    </row>
    <row r="172" spans="1:13" ht="15" customHeight="1" x14ac:dyDescent="0.35">
      <c r="A172" t="str">
        <f t="shared" si="2"/>
        <v>P570OD01C3831</v>
      </c>
      <c r="B172" t="str">
        <f>IFERROR(VLOOKUP($A172,'[5]Study Budget Mapping '!$O$2:$P$532,2,0),"TBA")</f>
        <v>TBA</v>
      </c>
      <c r="D172" s="2" t="s">
        <v>60</v>
      </c>
      <c r="E172" s="2" t="s">
        <v>15</v>
      </c>
      <c r="F172" s="3">
        <v>42033872</v>
      </c>
      <c r="G172" s="3">
        <v>6076379.6170676481</v>
      </c>
      <c r="H172" s="4"/>
      <c r="I172" s="4"/>
      <c r="J172" s="4"/>
      <c r="K172" s="4"/>
      <c r="L172" s="4"/>
      <c r="M172" s="4"/>
    </row>
    <row r="173" spans="1:13" ht="15" customHeight="1" x14ac:dyDescent="0.35">
      <c r="A173" t="str">
        <f t="shared" si="2"/>
        <v>P570OD01C3831</v>
      </c>
      <c r="B173" t="str">
        <f>IFERROR(VLOOKUP($A173,'[5]Study Budget Mapping '!$O$2:$P$532,2,0),"TBA")</f>
        <v>TBA</v>
      </c>
      <c r="D173" s="2" t="s">
        <v>60</v>
      </c>
      <c r="E173" s="2" t="s">
        <v>17</v>
      </c>
      <c r="F173" s="3">
        <v>500000</v>
      </c>
      <c r="G173" s="3">
        <v>0</v>
      </c>
      <c r="H173" s="4"/>
      <c r="I173" s="4"/>
      <c r="J173" s="4"/>
      <c r="K173" s="4"/>
      <c r="L173" s="4"/>
      <c r="M173" s="4"/>
    </row>
    <row r="174" spans="1:13" ht="15" customHeight="1" x14ac:dyDescent="0.35">
      <c r="A174" t="str">
        <f t="shared" si="2"/>
        <v>P570OD01C3831</v>
      </c>
      <c r="B174" t="str">
        <f>IFERROR(VLOOKUP($A174,'[5]Study Budget Mapping '!$O$2:$P$532,2,0),"TBA")</f>
        <v>TBA</v>
      </c>
      <c r="D174" s="2" t="s">
        <v>60</v>
      </c>
      <c r="E174" s="2" t="s">
        <v>28</v>
      </c>
      <c r="F174" s="3">
        <v>1627425</v>
      </c>
      <c r="G174" s="3">
        <v>0</v>
      </c>
      <c r="H174" s="4"/>
      <c r="I174" s="4"/>
      <c r="J174" s="4"/>
      <c r="K174" s="4"/>
      <c r="L174" s="4"/>
      <c r="M174" s="4"/>
    </row>
    <row r="175" spans="1:13" ht="15" customHeight="1" x14ac:dyDescent="0.35">
      <c r="A175" t="str">
        <f t="shared" si="2"/>
        <v>P570OD01C3831</v>
      </c>
      <c r="B175" t="str">
        <f>IFERROR(VLOOKUP($A175,'[5]Study Budget Mapping '!$O$2:$P$532,2,0),"TBA")</f>
        <v>TBA</v>
      </c>
      <c r="D175" s="2" t="s">
        <v>60</v>
      </c>
      <c r="E175" s="2" t="s">
        <v>23</v>
      </c>
      <c r="F175" s="3">
        <v>22007938</v>
      </c>
      <c r="G175" s="3">
        <v>0</v>
      </c>
      <c r="H175" s="4"/>
      <c r="I175" s="4"/>
      <c r="J175" s="4"/>
      <c r="K175" s="4"/>
      <c r="L175" s="4"/>
      <c r="M175" s="4"/>
    </row>
    <row r="176" spans="1:13" ht="15" customHeight="1" x14ac:dyDescent="0.35">
      <c r="A176" t="str">
        <f t="shared" si="2"/>
        <v>P570OD01C3831</v>
      </c>
      <c r="B176" t="str">
        <f>IFERROR(VLOOKUP($A176,'[5]Study Budget Mapping '!$O$2:$P$532,2,0),"TBA")</f>
        <v>TBA</v>
      </c>
      <c r="D176" s="2" t="s">
        <v>60</v>
      </c>
      <c r="E176" s="2" t="s">
        <v>24</v>
      </c>
      <c r="F176" s="3">
        <v>10</v>
      </c>
      <c r="G176" s="3">
        <v>0</v>
      </c>
      <c r="H176" s="4"/>
      <c r="I176" s="4"/>
      <c r="J176" s="4"/>
      <c r="K176" s="4"/>
      <c r="L176" s="4"/>
      <c r="M176" s="4"/>
    </row>
    <row r="177" spans="1:13" ht="15" customHeight="1" x14ac:dyDescent="0.35">
      <c r="A177" t="str">
        <f t="shared" si="2"/>
        <v>P570OD01C3931</v>
      </c>
      <c r="B177" t="str">
        <f>IFERROR(VLOOKUP($A177,'[5]Study Budget Mapping '!$O$2:$P$532,2,0),"TBA")</f>
        <v>TBA</v>
      </c>
      <c r="D177" s="2" t="s">
        <v>61</v>
      </c>
      <c r="E177" s="2" t="s">
        <v>13</v>
      </c>
      <c r="F177" s="3">
        <v>1685063</v>
      </c>
      <c r="G177" s="3">
        <v>0</v>
      </c>
      <c r="H177" s="4"/>
      <c r="I177" s="4"/>
      <c r="J177" s="4"/>
      <c r="K177" s="4"/>
      <c r="L177" s="4"/>
      <c r="M177" s="4"/>
    </row>
    <row r="178" spans="1:13" ht="15" customHeight="1" x14ac:dyDescent="0.35">
      <c r="A178" t="str">
        <f t="shared" si="2"/>
        <v>P570OD01C3931</v>
      </c>
      <c r="B178" t="str">
        <f>IFERROR(VLOOKUP($A178,'[5]Study Budget Mapping '!$O$2:$P$532,2,0),"TBA")</f>
        <v>TBA</v>
      </c>
      <c r="D178" s="2" t="s">
        <v>61</v>
      </c>
      <c r="E178" s="2" t="s">
        <v>31</v>
      </c>
      <c r="F178" s="3">
        <v>40500</v>
      </c>
      <c r="G178" s="3">
        <v>0</v>
      </c>
      <c r="H178" s="4"/>
      <c r="I178" s="4"/>
      <c r="J178" s="4"/>
      <c r="K178" s="4"/>
      <c r="L178" s="4"/>
      <c r="M178" s="4"/>
    </row>
    <row r="179" spans="1:13" ht="15" customHeight="1" x14ac:dyDescent="0.35">
      <c r="A179" t="str">
        <f t="shared" si="2"/>
        <v>P570OD01C3931</v>
      </c>
      <c r="B179" t="str">
        <f>IFERROR(VLOOKUP($A179,'[5]Study Budget Mapping '!$O$2:$P$532,2,0),"TBA")</f>
        <v>TBA</v>
      </c>
      <c r="D179" s="2" t="s">
        <v>61</v>
      </c>
      <c r="E179" s="2" t="s">
        <v>15</v>
      </c>
      <c r="F179" s="3">
        <v>2514650</v>
      </c>
      <c r="G179" s="3">
        <v>13326726.130000001</v>
      </c>
      <c r="H179" s="4"/>
      <c r="I179" s="4"/>
      <c r="J179" s="4"/>
      <c r="K179" s="4"/>
      <c r="L179" s="4"/>
      <c r="M179" s="4"/>
    </row>
    <row r="180" spans="1:13" ht="15" customHeight="1" x14ac:dyDescent="0.35">
      <c r="A180" t="str">
        <f t="shared" si="2"/>
        <v>P570OD01C3931</v>
      </c>
      <c r="B180" t="str">
        <f>IFERROR(VLOOKUP($A180,'[5]Study Budget Mapping '!$O$2:$P$532,2,0),"TBA")</f>
        <v>TBA</v>
      </c>
      <c r="D180" s="2" t="s">
        <v>61</v>
      </c>
      <c r="E180" s="2" t="s">
        <v>17</v>
      </c>
      <c r="F180" s="3">
        <v>264767</v>
      </c>
      <c r="G180" s="3">
        <v>0</v>
      </c>
      <c r="H180" s="4"/>
      <c r="I180" s="4"/>
      <c r="J180" s="4"/>
      <c r="K180" s="4"/>
      <c r="L180" s="4"/>
      <c r="M180" s="4"/>
    </row>
    <row r="181" spans="1:13" ht="15" customHeight="1" x14ac:dyDescent="0.35">
      <c r="A181" t="str">
        <f t="shared" si="2"/>
        <v>P570OD01C3931</v>
      </c>
      <c r="B181" t="str">
        <f>IFERROR(VLOOKUP($A181,'[5]Study Budget Mapping '!$O$2:$P$532,2,0),"TBA")</f>
        <v>TBA</v>
      </c>
      <c r="D181" s="2" t="s">
        <v>61</v>
      </c>
      <c r="E181" s="2" t="s">
        <v>28</v>
      </c>
      <c r="F181" s="3">
        <v>798663</v>
      </c>
      <c r="G181" s="3">
        <v>0</v>
      </c>
      <c r="H181" s="4"/>
      <c r="I181" s="4"/>
      <c r="J181" s="4"/>
      <c r="K181" s="4"/>
      <c r="L181" s="4"/>
      <c r="M181" s="4"/>
    </row>
    <row r="182" spans="1:13" ht="15" customHeight="1" x14ac:dyDescent="0.35">
      <c r="A182" t="str">
        <f t="shared" si="2"/>
        <v>P570OD01C3931</v>
      </c>
      <c r="B182" t="str">
        <f>IFERROR(VLOOKUP($A182,'[5]Study Budget Mapping '!$O$2:$P$532,2,0),"TBA")</f>
        <v>TBA</v>
      </c>
      <c r="D182" s="2" t="s">
        <v>61</v>
      </c>
      <c r="E182" s="2" t="s">
        <v>23</v>
      </c>
      <c r="F182" s="3">
        <v>309974</v>
      </c>
      <c r="G182" s="3">
        <v>0</v>
      </c>
      <c r="H182" s="4"/>
      <c r="I182" s="4"/>
      <c r="J182" s="4"/>
      <c r="K182" s="4"/>
      <c r="L182" s="4"/>
      <c r="M182" s="4"/>
    </row>
    <row r="183" spans="1:13" ht="15" customHeight="1" x14ac:dyDescent="0.35">
      <c r="A183" t="str">
        <f t="shared" si="2"/>
        <v>P570OD01C5611</v>
      </c>
      <c r="B183" t="str">
        <f>IFERROR(VLOOKUP($A183,'[5]Study Budget Mapping '!$O$2:$P$532,2,0),"TBA")</f>
        <v>TBA</v>
      </c>
      <c r="D183" s="2" t="s">
        <v>62</v>
      </c>
      <c r="E183" s="2" t="s">
        <v>15</v>
      </c>
      <c r="F183" s="3">
        <v>0</v>
      </c>
      <c r="G183" s="3">
        <v>345000</v>
      </c>
      <c r="H183" s="4"/>
      <c r="I183" s="4"/>
      <c r="J183" s="4"/>
      <c r="K183" s="4"/>
      <c r="L183" s="4"/>
      <c r="M183" s="4"/>
    </row>
    <row r="184" spans="1:13" ht="15" customHeight="1" x14ac:dyDescent="0.35">
      <c r="A184" t="str">
        <f t="shared" si="2"/>
        <v>P570OD01C5612</v>
      </c>
      <c r="B184" t="str">
        <f>IFERROR(VLOOKUP($A184,'[5]Study Budget Mapping '!$O$2:$P$532,2,0),"TBA")</f>
        <v>TBA</v>
      </c>
      <c r="D184" s="2" t="s">
        <v>63</v>
      </c>
      <c r="E184" s="2" t="s">
        <v>15</v>
      </c>
      <c r="F184" s="3">
        <v>0</v>
      </c>
      <c r="G184" s="3">
        <v>300000</v>
      </c>
      <c r="H184" s="4"/>
      <c r="I184" s="4"/>
      <c r="J184" s="4"/>
      <c r="K184" s="4"/>
      <c r="L184" s="4"/>
      <c r="M184" s="4"/>
    </row>
    <row r="185" spans="1:13" ht="15" customHeight="1" x14ac:dyDescent="0.35">
      <c r="A185" t="str">
        <f t="shared" si="2"/>
        <v>P570OD01C5613</v>
      </c>
      <c r="B185" t="str">
        <f>IFERROR(VLOOKUP($A185,'[5]Study Budget Mapping '!$O$2:$P$532,2,0),"TBA")</f>
        <v>TBA</v>
      </c>
      <c r="D185" s="2" t="s">
        <v>64</v>
      </c>
      <c r="E185" s="2" t="s">
        <v>15</v>
      </c>
      <c r="F185" s="3">
        <v>0</v>
      </c>
      <c r="G185" s="3">
        <v>513860</v>
      </c>
      <c r="H185" s="4"/>
      <c r="I185" s="4"/>
      <c r="J185" s="4"/>
      <c r="K185" s="4"/>
      <c r="L185" s="4"/>
      <c r="M185" s="4"/>
    </row>
    <row r="186" spans="1:13" ht="15" customHeight="1" x14ac:dyDescent="0.35">
      <c r="A186" t="str">
        <f t="shared" si="2"/>
        <v>P570OD01C5614</v>
      </c>
      <c r="B186" t="str">
        <f>IFERROR(VLOOKUP($A186,'[5]Study Budget Mapping '!$O$2:$P$532,2,0),"TBA")</f>
        <v>TBA</v>
      </c>
      <c r="D186" s="2" t="s">
        <v>65</v>
      </c>
      <c r="E186" s="2" t="s">
        <v>15</v>
      </c>
      <c r="F186" s="3">
        <v>0</v>
      </c>
      <c r="G186" s="3">
        <v>485967.5</v>
      </c>
      <c r="H186" s="4"/>
      <c r="I186" s="4"/>
      <c r="J186" s="4"/>
      <c r="K186" s="4"/>
      <c r="L186" s="4"/>
      <c r="M186" s="4"/>
    </row>
    <row r="187" spans="1:13" ht="15" customHeight="1" x14ac:dyDescent="0.35">
      <c r="A187" t="str">
        <f t="shared" si="2"/>
        <v>P570OD01C5615</v>
      </c>
      <c r="B187" t="str">
        <f>IFERROR(VLOOKUP($A187,'[5]Study Budget Mapping '!$O$2:$P$532,2,0),"TBA")</f>
        <v>TBA</v>
      </c>
      <c r="D187" s="2" t="s">
        <v>66</v>
      </c>
      <c r="E187" s="2" t="s">
        <v>15</v>
      </c>
      <c r="F187" s="3">
        <v>0</v>
      </c>
      <c r="G187" s="3">
        <v>37500</v>
      </c>
      <c r="H187" s="4"/>
      <c r="I187" s="4"/>
      <c r="J187" s="4"/>
      <c r="K187" s="4"/>
      <c r="L187" s="4"/>
      <c r="M187" s="4"/>
    </row>
    <row r="188" spans="1:13" ht="15" customHeight="1" x14ac:dyDescent="0.35">
      <c r="A188" t="str">
        <f t="shared" si="2"/>
        <v>P570OD01C5616</v>
      </c>
      <c r="B188" t="str">
        <f>IFERROR(VLOOKUP($A188,'[5]Study Budget Mapping '!$O$2:$P$532,2,0),"TBA")</f>
        <v>TBA</v>
      </c>
      <c r="D188" s="2" t="s">
        <v>67</v>
      </c>
      <c r="E188" s="2" t="s">
        <v>15</v>
      </c>
      <c r="F188" s="3">
        <v>0</v>
      </c>
      <c r="G188" s="3">
        <v>324610</v>
      </c>
      <c r="H188" s="4"/>
      <c r="I188" s="4"/>
      <c r="J188" s="4"/>
      <c r="K188" s="4"/>
      <c r="L188" s="4"/>
      <c r="M188" s="4"/>
    </row>
    <row r="189" spans="1:13" ht="15" customHeight="1" x14ac:dyDescent="0.35">
      <c r="A189" t="str">
        <f t="shared" si="2"/>
        <v>P570OD01C5618</v>
      </c>
      <c r="B189" t="str">
        <f>IFERROR(VLOOKUP($A189,'[5]Study Budget Mapping '!$O$2:$P$532,2,0),"TBA")</f>
        <v>TBA</v>
      </c>
      <c r="D189" s="2" t="s">
        <v>68</v>
      </c>
      <c r="E189" s="2" t="s">
        <v>15</v>
      </c>
      <c r="F189" s="3">
        <v>0</v>
      </c>
      <c r="G189" s="3">
        <v>703000</v>
      </c>
      <c r="H189" s="4"/>
      <c r="I189" s="4"/>
      <c r="J189" s="4"/>
      <c r="K189" s="4"/>
      <c r="L189" s="4"/>
      <c r="M189" s="4"/>
    </row>
    <row r="190" spans="1:13" ht="15" customHeight="1" x14ac:dyDescent="0.35">
      <c r="A190" t="str">
        <f t="shared" si="2"/>
        <v>P570OD01C5619</v>
      </c>
      <c r="B190" t="str">
        <f>IFERROR(VLOOKUP($A190,'[5]Study Budget Mapping '!$O$2:$P$532,2,0),"TBA")</f>
        <v>TBA</v>
      </c>
      <c r="D190" s="2" t="s">
        <v>69</v>
      </c>
      <c r="E190" s="2" t="s">
        <v>15</v>
      </c>
      <c r="F190" s="3">
        <v>0</v>
      </c>
      <c r="G190" s="3">
        <v>58375</v>
      </c>
      <c r="H190" s="4"/>
      <c r="I190" s="4"/>
      <c r="J190" s="4"/>
      <c r="K190" s="4"/>
      <c r="L190" s="4"/>
      <c r="M190" s="4"/>
    </row>
    <row r="191" spans="1:13" ht="15" customHeight="1" x14ac:dyDescent="0.35">
      <c r="A191" t="str">
        <f t="shared" si="2"/>
        <v>P570OD01C5621</v>
      </c>
      <c r="B191" t="str">
        <f>IFERROR(VLOOKUP($A191,'[5]Study Budget Mapping '!$O$2:$P$532,2,0),"TBA")</f>
        <v>TBA</v>
      </c>
      <c r="D191" s="2" t="s">
        <v>70</v>
      </c>
      <c r="E191" s="2" t="s">
        <v>15</v>
      </c>
      <c r="F191" s="3">
        <v>0</v>
      </c>
      <c r="G191" s="3">
        <v>98776</v>
      </c>
      <c r="H191" s="4"/>
      <c r="I191" s="4"/>
      <c r="J191" s="4"/>
      <c r="K191" s="4"/>
      <c r="L191" s="4"/>
      <c r="M191" s="4"/>
    </row>
    <row r="192" spans="1:13" ht="15" customHeight="1" x14ac:dyDescent="0.35">
      <c r="A192" t="str">
        <f t="shared" si="2"/>
        <v>P570OD02C2531</v>
      </c>
      <c r="B192" t="str">
        <f>IFERROR(VLOOKUP($A192,'[5]Study Budget Mapping '!$O$2:$P$532,2,0),"TBA")</f>
        <v>TBA</v>
      </c>
      <c r="D192" s="2" t="s">
        <v>71</v>
      </c>
      <c r="E192" s="2" t="s">
        <v>13</v>
      </c>
      <c r="F192" s="3">
        <v>5357000</v>
      </c>
      <c r="G192" s="3">
        <v>0</v>
      </c>
      <c r="H192" s="4"/>
      <c r="I192" s="4"/>
      <c r="J192" s="4"/>
      <c r="K192" s="4"/>
      <c r="L192" s="4"/>
      <c r="M192" s="4"/>
    </row>
    <row r="193" spans="1:13" ht="15" customHeight="1" x14ac:dyDescent="0.35">
      <c r="A193" t="str">
        <f t="shared" si="2"/>
        <v>P570OD02C2531</v>
      </c>
      <c r="B193" t="str">
        <f>IFERROR(VLOOKUP($A193,'[5]Study Budget Mapping '!$O$2:$P$532,2,0),"TBA")</f>
        <v>TBA</v>
      </c>
      <c r="D193" s="2" t="s">
        <v>71</v>
      </c>
      <c r="E193" s="2" t="s">
        <v>14</v>
      </c>
      <c r="F193" s="3">
        <v>346000</v>
      </c>
      <c r="G193" s="3">
        <v>0</v>
      </c>
      <c r="H193" s="4"/>
      <c r="I193" s="4"/>
      <c r="J193" s="4"/>
      <c r="K193" s="4"/>
      <c r="L193" s="4"/>
      <c r="M193" s="4"/>
    </row>
    <row r="194" spans="1:13" ht="15" customHeight="1" x14ac:dyDescent="0.35">
      <c r="A194" t="str">
        <f t="shared" si="2"/>
        <v>P570OD02C2531</v>
      </c>
      <c r="B194" t="str">
        <f>IFERROR(VLOOKUP($A194,'[5]Study Budget Mapping '!$O$2:$P$532,2,0),"TBA")</f>
        <v>TBA</v>
      </c>
      <c r="D194" s="2" t="s">
        <v>71</v>
      </c>
      <c r="E194" s="2" t="s">
        <v>19</v>
      </c>
      <c r="F194" s="3">
        <v>264000</v>
      </c>
      <c r="G194" s="3">
        <v>0</v>
      </c>
      <c r="H194" s="4"/>
      <c r="I194" s="4"/>
      <c r="J194" s="4"/>
      <c r="K194" s="4"/>
      <c r="L194" s="4"/>
      <c r="M194" s="4"/>
    </row>
    <row r="195" spans="1:13" ht="15" customHeight="1" x14ac:dyDescent="0.35">
      <c r="A195" t="str">
        <f t="shared" ref="A195:A258" si="3">TRIM(_xlfn.TEXTBEFORE(D195,"-",1))</f>
        <v>P570OD02C2531</v>
      </c>
      <c r="B195" t="str">
        <f>IFERROR(VLOOKUP($A195,'[5]Study Budget Mapping '!$O$2:$P$532,2,0),"TBA")</f>
        <v>TBA</v>
      </c>
      <c r="D195" s="2" t="s">
        <v>71</v>
      </c>
      <c r="E195" s="2" t="s">
        <v>31</v>
      </c>
      <c r="F195" s="3">
        <v>190000</v>
      </c>
      <c r="G195" s="3">
        <v>0</v>
      </c>
      <c r="H195" s="4"/>
      <c r="I195" s="4"/>
      <c r="J195" s="4"/>
      <c r="K195" s="4"/>
      <c r="L195" s="4"/>
      <c r="M195" s="4"/>
    </row>
    <row r="196" spans="1:13" ht="15" customHeight="1" x14ac:dyDescent="0.35">
      <c r="A196" t="str">
        <f t="shared" si="3"/>
        <v>P570OD02C2531</v>
      </c>
      <c r="B196" t="str">
        <f>IFERROR(VLOOKUP($A196,'[5]Study Budget Mapping '!$O$2:$P$532,2,0),"TBA")</f>
        <v>TBA</v>
      </c>
      <c r="D196" s="2" t="s">
        <v>71</v>
      </c>
      <c r="E196" s="2" t="s">
        <v>15</v>
      </c>
      <c r="F196" s="3">
        <v>9172000</v>
      </c>
      <c r="G196" s="3">
        <v>337576.64</v>
      </c>
      <c r="H196" s="4"/>
      <c r="I196" s="4"/>
      <c r="J196" s="4"/>
      <c r="K196" s="4"/>
      <c r="L196" s="4"/>
      <c r="M196" s="4"/>
    </row>
    <row r="197" spans="1:13" ht="15" customHeight="1" x14ac:dyDescent="0.35">
      <c r="A197" t="str">
        <f t="shared" si="3"/>
        <v>P570OD02C2531</v>
      </c>
      <c r="B197" t="str">
        <f>IFERROR(VLOOKUP($A197,'[5]Study Budget Mapping '!$O$2:$P$532,2,0),"TBA")</f>
        <v>TBA</v>
      </c>
      <c r="D197" s="2" t="s">
        <v>71</v>
      </c>
      <c r="E197" s="2" t="s">
        <v>16</v>
      </c>
      <c r="F197" s="3">
        <v>1282000</v>
      </c>
      <c r="G197" s="3">
        <v>0</v>
      </c>
      <c r="H197" s="4"/>
      <c r="I197" s="4"/>
      <c r="J197" s="4"/>
      <c r="K197" s="4"/>
      <c r="L197" s="4"/>
      <c r="M197" s="4"/>
    </row>
    <row r="198" spans="1:13" ht="15" customHeight="1" x14ac:dyDescent="0.35">
      <c r="A198" t="str">
        <f t="shared" si="3"/>
        <v>P570OD02C2531</v>
      </c>
      <c r="B198" t="str">
        <f>IFERROR(VLOOKUP($A198,'[5]Study Budget Mapping '!$O$2:$P$532,2,0),"TBA")</f>
        <v>TBA</v>
      </c>
      <c r="D198" s="2" t="s">
        <v>71</v>
      </c>
      <c r="E198" s="2" t="s">
        <v>17</v>
      </c>
      <c r="F198" s="3">
        <v>126000</v>
      </c>
      <c r="G198" s="3">
        <v>0</v>
      </c>
      <c r="H198" s="4"/>
      <c r="I198" s="4"/>
      <c r="J198" s="4"/>
      <c r="K198" s="4"/>
      <c r="L198" s="4"/>
      <c r="M198" s="4"/>
    </row>
    <row r="199" spans="1:13" ht="15" customHeight="1" x14ac:dyDescent="0.35">
      <c r="A199" t="str">
        <f t="shared" si="3"/>
        <v>P570OD02C2531</v>
      </c>
      <c r="B199" t="str">
        <f>IFERROR(VLOOKUP($A199,'[5]Study Budget Mapping '!$O$2:$P$532,2,0),"TBA")</f>
        <v>TBA</v>
      </c>
      <c r="D199" s="2" t="s">
        <v>71</v>
      </c>
      <c r="E199" s="2" t="s">
        <v>28</v>
      </c>
      <c r="F199" s="3">
        <v>449000</v>
      </c>
      <c r="G199" s="3">
        <v>0</v>
      </c>
      <c r="H199" s="4"/>
      <c r="I199" s="4"/>
      <c r="J199" s="4"/>
      <c r="K199" s="4"/>
      <c r="L199" s="4"/>
      <c r="M199" s="4"/>
    </row>
    <row r="200" spans="1:13" ht="15" customHeight="1" x14ac:dyDescent="0.35">
      <c r="A200" t="str">
        <f t="shared" si="3"/>
        <v>P570OD02C2531</v>
      </c>
      <c r="B200" t="str">
        <f>IFERROR(VLOOKUP($A200,'[5]Study Budget Mapping '!$O$2:$P$532,2,0),"TBA")</f>
        <v>TBA</v>
      </c>
      <c r="D200" s="2" t="s">
        <v>71</v>
      </c>
      <c r="E200" s="2" t="s">
        <v>23</v>
      </c>
      <c r="F200" s="3">
        <v>1355750</v>
      </c>
      <c r="G200" s="3">
        <v>0</v>
      </c>
      <c r="H200" s="4"/>
      <c r="I200" s="4"/>
      <c r="J200" s="4"/>
      <c r="K200" s="4"/>
      <c r="L200" s="4"/>
      <c r="M200" s="4"/>
    </row>
    <row r="201" spans="1:13" ht="15" customHeight="1" x14ac:dyDescent="0.35">
      <c r="A201" t="str">
        <f t="shared" si="3"/>
        <v>P570OD02C3831</v>
      </c>
      <c r="B201" t="str">
        <f>IFERROR(VLOOKUP($A201,'[5]Study Budget Mapping '!$O$2:$P$532,2,0),"TBA")</f>
        <v>TBA</v>
      </c>
      <c r="D201" s="2" t="s">
        <v>72</v>
      </c>
      <c r="E201" s="2" t="s">
        <v>13</v>
      </c>
      <c r="F201" s="3">
        <v>22201900</v>
      </c>
      <c r="G201" s="3">
        <v>0</v>
      </c>
      <c r="H201" s="4"/>
      <c r="I201" s="4"/>
      <c r="J201" s="4"/>
      <c r="K201" s="4"/>
      <c r="L201" s="4"/>
      <c r="M201" s="4"/>
    </row>
    <row r="202" spans="1:13" ht="15" customHeight="1" x14ac:dyDescent="0.35">
      <c r="A202" t="str">
        <f t="shared" si="3"/>
        <v>P570OD02C3831</v>
      </c>
      <c r="B202" t="str">
        <f>IFERROR(VLOOKUP($A202,'[5]Study Budget Mapping '!$O$2:$P$532,2,0),"TBA")</f>
        <v>TBA</v>
      </c>
      <c r="D202" s="2" t="s">
        <v>72</v>
      </c>
      <c r="E202" s="2" t="s">
        <v>14</v>
      </c>
      <c r="F202" s="3">
        <v>600000</v>
      </c>
      <c r="G202" s="3">
        <v>0</v>
      </c>
      <c r="H202" s="4"/>
      <c r="I202" s="4"/>
      <c r="J202" s="4"/>
      <c r="K202" s="4"/>
      <c r="L202" s="4"/>
      <c r="M202" s="4"/>
    </row>
    <row r="203" spans="1:13" ht="15" customHeight="1" x14ac:dyDescent="0.35">
      <c r="A203" t="str">
        <f t="shared" si="3"/>
        <v>P570OD02C3831</v>
      </c>
      <c r="B203" t="str">
        <f>IFERROR(VLOOKUP($A203,'[5]Study Budget Mapping '!$O$2:$P$532,2,0),"TBA")</f>
        <v>TBA</v>
      </c>
      <c r="D203" s="2" t="s">
        <v>72</v>
      </c>
      <c r="E203" s="2" t="s">
        <v>19</v>
      </c>
      <c r="F203" s="3">
        <v>382704</v>
      </c>
      <c r="G203" s="3">
        <v>0</v>
      </c>
      <c r="H203" s="4"/>
      <c r="I203" s="4"/>
      <c r="J203" s="4"/>
      <c r="K203" s="4"/>
      <c r="L203" s="4"/>
      <c r="M203" s="4"/>
    </row>
    <row r="204" spans="1:13" ht="15" customHeight="1" x14ac:dyDescent="0.35">
      <c r="A204" t="str">
        <f t="shared" si="3"/>
        <v>P570OD02C3831</v>
      </c>
      <c r="B204" t="str">
        <f>IFERROR(VLOOKUP($A204,'[5]Study Budget Mapping '!$O$2:$P$532,2,0),"TBA")</f>
        <v>TBA</v>
      </c>
      <c r="D204" s="2" t="s">
        <v>72</v>
      </c>
      <c r="E204" s="2" t="s">
        <v>20</v>
      </c>
      <c r="F204" s="3">
        <v>4716800</v>
      </c>
      <c r="G204" s="3">
        <v>0</v>
      </c>
      <c r="H204" s="4"/>
      <c r="I204" s="4"/>
      <c r="J204" s="4"/>
      <c r="K204" s="4"/>
      <c r="L204" s="4"/>
      <c r="M204" s="4"/>
    </row>
    <row r="205" spans="1:13" ht="15" customHeight="1" x14ac:dyDescent="0.35">
      <c r="A205" t="str">
        <f t="shared" si="3"/>
        <v>P570OD02C3831</v>
      </c>
      <c r="B205" t="str">
        <f>IFERROR(VLOOKUP($A205,'[5]Study Budget Mapping '!$O$2:$P$532,2,0),"TBA")</f>
        <v>TBA</v>
      </c>
      <c r="D205" s="2" t="s">
        <v>72</v>
      </c>
      <c r="E205" s="2" t="s">
        <v>31</v>
      </c>
      <c r="F205" s="3">
        <v>328032</v>
      </c>
      <c r="G205" s="3">
        <v>0</v>
      </c>
      <c r="H205" s="4"/>
      <c r="I205" s="4"/>
      <c r="J205" s="4"/>
      <c r="K205" s="4"/>
      <c r="L205" s="4"/>
      <c r="M205" s="4"/>
    </row>
    <row r="206" spans="1:13" ht="15" customHeight="1" x14ac:dyDescent="0.35">
      <c r="A206" t="str">
        <f t="shared" si="3"/>
        <v>P570OD02C3831</v>
      </c>
      <c r="B206" t="str">
        <f>IFERROR(VLOOKUP($A206,'[5]Study Budget Mapping '!$O$2:$P$532,2,0),"TBA")</f>
        <v>TBA</v>
      </c>
      <c r="D206" s="2" t="s">
        <v>72</v>
      </c>
      <c r="E206" s="2" t="s">
        <v>15</v>
      </c>
      <c r="F206" s="3">
        <v>44929564</v>
      </c>
      <c r="G206" s="3">
        <v>79534644.967235029</v>
      </c>
      <c r="H206" s="4"/>
      <c r="I206" s="4"/>
      <c r="J206" s="4"/>
      <c r="K206" s="4"/>
      <c r="L206" s="4"/>
      <c r="M206" s="4"/>
    </row>
    <row r="207" spans="1:13" ht="15" customHeight="1" x14ac:dyDescent="0.35">
      <c r="A207" t="str">
        <f t="shared" si="3"/>
        <v>P570OD02C3831</v>
      </c>
      <c r="B207" t="str">
        <f>IFERROR(VLOOKUP($A207,'[5]Study Budget Mapping '!$O$2:$P$532,2,0),"TBA")</f>
        <v>TBA</v>
      </c>
      <c r="D207" s="2" t="s">
        <v>72</v>
      </c>
      <c r="E207" s="2" t="s">
        <v>22</v>
      </c>
      <c r="F207" s="3">
        <v>1000000</v>
      </c>
      <c r="G207" s="3">
        <v>0</v>
      </c>
      <c r="H207" s="4"/>
      <c r="I207" s="4"/>
      <c r="J207" s="4"/>
      <c r="K207" s="4"/>
      <c r="L207" s="4"/>
      <c r="M207" s="4"/>
    </row>
    <row r="208" spans="1:13" ht="15" customHeight="1" x14ac:dyDescent="0.35">
      <c r="A208" t="str">
        <f t="shared" si="3"/>
        <v>P570OD02C3831</v>
      </c>
      <c r="B208" t="str">
        <f>IFERROR(VLOOKUP($A208,'[5]Study Budget Mapping '!$O$2:$P$532,2,0),"TBA")</f>
        <v>TBA</v>
      </c>
      <c r="D208" s="2" t="s">
        <v>72</v>
      </c>
      <c r="E208" s="2" t="s">
        <v>16</v>
      </c>
      <c r="F208" s="3">
        <v>3285344</v>
      </c>
      <c r="G208" s="3">
        <v>0</v>
      </c>
      <c r="H208" s="4"/>
      <c r="I208" s="4"/>
      <c r="J208" s="4"/>
      <c r="K208" s="4"/>
      <c r="L208" s="4"/>
      <c r="M208" s="4"/>
    </row>
    <row r="209" spans="1:13" ht="15" customHeight="1" x14ac:dyDescent="0.35">
      <c r="A209" t="str">
        <f t="shared" si="3"/>
        <v>P570OD02C3831</v>
      </c>
      <c r="B209" t="str">
        <f>IFERROR(VLOOKUP($A209,'[5]Study Budget Mapping '!$O$2:$P$532,2,0),"TBA")</f>
        <v>TBA</v>
      </c>
      <c r="D209" s="2" t="s">
        <v>72</v>
      </c>
      <c r="E209" s="2" t="s">
        <v>17</v>
      </c>
      <c r="F209" s="3">
        <v>680000</v>
      </c>
      <c r="G209" s="3">
        <v>0</v>
      </c>
      <c r="H209" s="4"/>
      <c r="I209" s="4"/>
      <c r="J209" s="4"/>
      <c r="K209" s="4"/>
      <c r="L209" s="4"/>
      <c r="M209" s="4"/>
    </row>
    <row r="210" spans="1:13" ht="15" customHeight="1" x14ac:dyDescent="0.35">
      <c r="A210" t="str">
        <f t="shared" si="3"/>
        <v>P570OD02C3831</v>
      </c>
      <c r="B210" t="str">
        <f>IFERROR(VLOOKUP($A210,'[5]Study Budget Mapping '!$O$2:$P$532,2,0),"TBA")</f>
        <v>TBA</v>
      </c>
      <c r="D210" s="2" t="s">
        <v>72</v>
      </c>
      <c r="E210" s="2" t="s">
        <v>28</v>
      </c>
      <c r="F210" s="3">
        <v>1000000</v>
      </c>
      <c r="G210" s="3">
        <v>0</v>
      </c>
      <c r="H210" s="4"/>
      <c r="I210" s="4"/>
      <c r="J210" s="4"/>
      <c r="K210" s="4"/>
      <c r="L210" s="4"/>
      <c r="M210" s="4"/>
    </row>
    <row r="211" spans="1:13" ht="15" customHeight="1" x14ac:dyDescent="0.35">
      <c r="A211" t="str">
        <f t="shared" si="3"/>
        <v>P570OD02C3831</v>
      </c>
      <c r="B211" t="str">
        <f>IFERROR(VLOOKUP($A211,'[5]Study Budget Mapping '!$O$2:$P$532,2,0),"TBA")</f>
        <v>TBA</v>
      </c>
      <c r="D211" s="2" t="s">
        <v>72</v>
      </c>
      <c r="E211" s="2" t="s">
        <v>23</v>
      </c>
      <c r="F211" s="3">
        <v>9118620</v>
      </c>
      <c r="G211" s="3">
        <v>0</v>
      </c>
      <c r="H211" s="4"/>
      <c r="I211" s="4"/>
      <c r="J211" s="4"/>
      <c r="K211" s="4"/>
      <c r="L211" s="4"/>
      <c r="M211" s="4"/>
    </row>
    <row r="212" spans="1:13" ht="15" customHeight="1" x14ac:dyDescent="0.35">
      <c r="A212" t="str">
        <f t="shared" si="3"/>
        <v>P570OD02C5612</v>
      </c>
      <c r="B212" t="str">
        <f>IFERROR(VLOOKUP($A212,'[5]Study Budget Mapping '!$O$2:$P$532,2,0),"TBA")</f>
        <v>TBA</v>
      </c>
      <c r="D212" s="2" t="s">
        <v>73</v>
      </c>
      <c r="E212" s="2" t="s">
        <v>15</v>
      </c>
      <c r="F212" s="3">
        <v>0</v>
      </c>
      <c r="G212" s="3">
        <v>45000</v>
      </c>
      <c r="H212" s="4"/>
      <c r="I212" s="4"/>
      <c r="J212" s="4"/>
      <c r="K212" s="4"/>
      <c r="L212" s="4"/>
      <c r="M212" s="4"/>
    </row>
    <row r="213" spans="1:13" ht="15" customHeight="1" x14ac:dyDescent="0.35">
      <c r="A213" t="str">
        <f t="shared" si="3"/>
        <v>P570OD02C5613</v>
      </c>
      <c r="B213" t="str">
        <f>IFERROR(VLOOKUP($A213,'[5]Study Budget Mapping '!$O$2:$P$532,2,0),"TBA")</f>
        <v>TBA</v>
      </c>
      <c r="D213" s="2" t="s">
        <v>74</v>
      </c>
      <c r="E213" s="2" t="s">
        <v>15</v>
      </c>
      <c r="F213" s="3">
        <v>0</v>
      </c>
      <c r="G213" s="3">
        <v>463700</v>
      </c>
      <c r="H213" s="4"/>
      <c r="I213" s="4"/>
      <c r="J213" s="4"/>
      <c r="K213" s="4"/>
      <c r="L213" s="4"/>
      <c r="M213" s="4"/>
    </row>
    <row r="214" spans="1:13" ht="15" customHeight="1" x14ac:dyDescent="0.35">
      <c r="A214" t="str">
        <f t="shared" si="3"/>
        <v>P570OD03C3731</v>
      </c>
      <c r="B214" t="str">
        <f>IFERROR(VLOOKUP($A214,'[5]Study Budget Mapping '!$O$2:$P$532,2,0),"TBA")</f>
        <v>TBA</v>
      </c>
      <c r="D214" s="2" t="s">
        <v>75</v>
      </c>
      <c r="E214" s="2" t="s">
        <v>13</v>
      </c>
      <c r="F214" s="3">
        <v>4060000</v>
      </c>
      <c r="G214" s="3">
        <v>0</v>
      </c>
      <c r="H214" s="4"/>
      <c r="I214" s="4"/>
      <c r="J214" s="4"/>
      <c r="K214" s="4"/>
      <c r="L214" s="4"/>
      <c r="M214" s="4"/>
    </row>
    <row r="215" spans="1:13" ht="15" customHeight="1" x14ac:dyDescent="0.35">
      <c r="A215" t="str">
        <f t="shared" si="3"/>
        <v>P570OD03C3731</v>
      </c>
      <c r="B215" t="str">
        <f>IFERROR(VLOOKUP($A215,'[5]Study Budget Mapping '!$O$2:$P$532,2,0),"TBA")</f>
        <v>TBA</v>
      </c>
      <c r="D215" s="2" t="s">
        <v>75</v>
      </c>
      <c r="E215" s="2" t="s">
        <v>14</v>
      </c>
      <c r="F215" s="3">
        <v>273649</v>
      </c>
      <c r="G215" s="3">
        <v>0</v>
      </c>
      <c r="H215" s="4"/>
      <c r="I215" s="4"/>
      <c r="J215" s="4"/>
      <c r="K215" s="4"/>
      <c r="L215" s="4"/>
      <c r="M215" s="4"/>
    </row>
    <row r="216" spans="1:13" ht="15" customHeight="1" x14ac:dyDescent="0.35">
      <c r="A216" t="str">
        <f t="shared" si="3"/>
        <v>P570OD03C3731</v>
      </c>
      <c r="B216" t="str">
        <f>IFERROR(VLOOKUP($A216,'[5]Study Budget Mapping '!$O$2:$P$532,2,0),"TBA")</f>
        <v>TBA</v>
      </c>
      <c r="D216" s="2" t="s">
        <v>75</v>
      </c>
      <c r="E216" s="2" t="s">
        <v>19</v>
      </c>
      <c r="F216" s="3">
        <v>390000</v>
      </c>
      <c r="G216" s="3">
        <v>0</v>
      </c>
      <c r="H216" s="4"/>
      <c r="I216" s="4"/>
      <c r="J216" s="4"/>
      <c r="K216" s="4"/>
      <c r="L216" s="4"/>
      <c r="M216" s="4"/>
    </row>
    <row r="217" spans="1:13" ht="15" customHeight="1" x14ac:dyDescent="0.35">
      <c r="A217" t="str">
        <f t="shared" si="3"/>
        <v>P570OD03C3731</v>
      </c>
      <c r="B217" t="str">
        <f>IFERROR(VLOOKUP($A217,'[5]Study Budget Mapping '!$O$2:$P$532,2,0),"TBA")</f>
        <v>TBA</v>
      </c>
      <c r="D217" s="2" t="s">
        <v>75</v>
      </c>
      <c r="E217" s="2" t="s">
        <v>20</v>
      </c>
      <c r="F217" s="3">
        <v>881000</v>
      </c>
      <c r="G217" s="3">
        <v>0</v>
      </c>
      <c r="H217" s="4"/>
      <c r="I217" s="4"/>
      <c r="J217" s="4"/>
      <c r="K217" s="4"/>
      <c r="L217" s="4"/>
      <c r="M217" s="4"/>
    </row>
    <row r="218" spans="1:13" ht="15" customHeight="1" x14ac:dyDescent="0.35">
      <c r="A218" t="str">
        <f t="shared" si="3"/>
        <v>P570OD03C3731</v>
      </c>
      <c r="B218" t="str">
        <f>IFERROR(VLOOKUP($A218,'[5]Study Budget Mapping '!$O$2:$P$532,2,0),"TBA")</f>
        <v>TBA</v>
      </c>
      <c r="D218" s="2" t="s">
        <v>75</v>
      </c>
      <c r="E218" s="2" t="s">
        <v>31</v>
      </c>
      <c r="F218" s="3">
        <v>212438</v>
      </c>
      <c r="G218" s="3">
        <v>0</v>
      </c>
      <c r="H218" s="4"/>
      <c r="I218" s="4"/>
      <c r="J218" s="4"/>
      <c r="K218" s="4"/>
      <c r="L218" s="4"/>
      <c r="M218" s="4"/>
    </row>
    <row r="219" spans="1:13" ht="15" customHeight="1" x14ac:dyDescent="0.35">
      <c r="A219" t="str">
        <f t="shared" si="3"/>
        <v>P570OD03C3731</v>
      </c>
      <c r="B219" t="str">
        <f>IFERROR(VLOOKUP($A219,'[5]Study Budget Mapping '!$O$2:$P$532,2,0),"TBA")</f>
        <v>TBA</v>
      </c>
      <c r="D219" s="2" t="s">
        <v>75</v>
      </c>
      <c r="E219" s="2" t="s">
        <v>15</v>
      </c>
      <c r="F219" s="3">
        <v>9540821</v>
      </c>
      <c r="G219" s="3">
        <v>22876215.43</v>
      </c>
      <c r="H219" s="4"/>
      <c r="I219" s="4"/>
      <c r="J219" s="4"/>
      <c r="K219" s="4"/>
      <c r="L219" s="4"/>
      <c r="M219" s="4"/>
    </row>
    <row r="220" spans="1:13" ht="15" customHeight="1" x14ac:dyDescent="0.35">
      <c r="A220" t="str">
        <f t="shared" si="3"/>
        <v>P570OD03C3731</v>
      </c>
      <c r="B220" t="str">
        <f>IFERROR(VLOOKUP($A220,'[5]Study Budget Mapping '!$O$2:$P$532,2,0),"TBA")</f>
        <v>TBA</v>
      </c>
      <c r="D220" s="2" t="s">
        <v>75</v>
      </c>
      <c r="E220" s="2" t="s">
        <v>16</v>
      </c>
      <c r="F220" s="3">
        <v>903883</v>
      </c>
      <c r="G220" s="3">
        <v>0</v>
      </c>
      <c r="H220" s="4"/>
      <c r="I220" s="4"/>
      <c r="J220" s="4"/>
      <c r="K220" s="4"/>
      <c r="L220" s="4"/>
      <c r="M220" s="4"/>
    </row>
    <row r="221" spans="1:13" ht="15" customHeight="1" x14ac:dyDescent="0.35">
      <c r="A221" t="str">
        <f t="shared" si="3"/>
        <v>P570OD03C3731</v>
      </c>
      <c r="B221" t="str">
        <f>IFERROR(VLOOKUP($A221,'[5]Study Budget Mapping '!$O$2:$P$532,2,0),"TBA")</f>
        <v>TBA</v>
      </c>
      <c r="D221" s="2" t="s">
        <v>75</v>
      </c>
      <c r="E221" s="2" t="s">
        <v>17</v>
      </c>
      <c r="F221" s="3">
        <v>300000</v>
      </c>
      <c r="G221" s="3">
        <v>0</v>
      </c>
      <c r="H221" s="4"/>
      <c r="I221" s="4"/>
      <c r="J221" s="4"/>
      <c r="K221" s="4"/>
      <c r="L221" s="4"/>
      <c r="M221" s="4"/>
    </row>
    <row r="222" spans="1:13" ht="15" customHeight="1" x14ac:dyDescent="0.35">
      <c r="A222" t="str">
        <f t="shared" si="3"/>
        <v>P570OD03C3731</v>
      </c>
      <c r="B222" t="str">
        <f>IFERROR(VLOOKUP($A222,'[5]Study Budget Mapping '!$O$2:$P$532,2,0),"TBA")</f>
        <v>TBA</v>
      </c>
      <c r="D222" s="2" t="s">
        <v>75</v>
      </c>
      <c r="E222" s="2" t="s">
        <v>28</v>
      </c>
      <c r="F222" s="3">
        <v>400000</v>
      </c>
      <c r="G222" s="3">
        <v>0</v>
      </c>
      <c r="H222" s="4"/>
      <c r="I222" s="4"/>
      <c r="J222" s="4"/>
      <c r="K222" s="4"/>
      <c r="L222" s="4"/>
      <c r="M222" s="4"/>
    </row>
    <row r="223" spans="1:13" ht="15" customHeight="1" x14ac:dyDescent="0.35">
      <c r="A223" t="str">
        <f t="shared" si="3"/>
        <v>P570OD03C3731</v>
      </c>
      <c r="B223" t="str">
        <f>IFERROR(VLOOKUP($A223,'[5]Study Budget Mapping '!$O$2:$P$532,2,0),"TBA")</f>
        <v>TBA</v>
      </c>
      <c r="D223" s="2" t="s">
        <v>75</v>
      </c>
      <c r="E223" s="2" t="s">
        <v>23</v>
      </c>
      <c r="F223" s="3">
        <v>2941622</v>
      </c>
      <c r="G223" s="3">
        <v>0</v>
      </c>
      <c r="H223" s="4"/>
      <c r="I223" s="4"/>
      <c r="J223" s="4"/>
      <c r="K223" s="4"/>
      <c r="L223" s="4"/>
      <c r="M223" s="4"/>
    </row>
    <row r="224" spans="1:13" ht="15" customHeight="1" x14ac:dyDescent="0.35">
      <c r="A224" t="str">
        <f t="shared" si="3"/>
        <v>P570OD06C3731</v>
      </c>
      <c r="B224" t="str">
        <f>IFERROR(VLOOKUP($A224,'[5]Study Budget Mapping '!$O$2:$P$532,2,0),"TBA")</f>
        <v>TBA</v>
      </c>
      <c r="D224" s="2" t="s">
        <v>76</v>
      </c>
      <c r="E224" s="2" t="s">
        <v>13</v>
      </c>
      <c r="F224" s="3">
        <v>5347835</v>
      </c>
      <c r="G224" s="3">
        <v>0</v>
      </c>
      <c r="H224" s="4"/>
      <c r="I224" s="4"/>
      <c r="J224" s="4"/>
      <c r="K224" s="4"/>
      <c r="L224" s="4"/>
      <c r="M224" s="4"/>
    </row>
    <row r="225" spans="1:13" ht="15" customHeight="1" x14ac:dyDescent="0.35">
      <c r="A225" t="str">
        <f t="shared" si="3"/>
        <v>P570OD06C3731</v>
      </c>
      <c r="B225" t="str">
        <f>IFERROR(VLOOKUP($A225,'[5]Study Budget Mapping '!$O$2:$P$532,2,0),"TBA")</f>
        <v>TBA</v>
      </c>
      <c r="D225" s="2" t="s">
        <v>76</v>
      </c>
      <c r="E225" s="2" t="s">
        <v>14</v>
      </c>
      <c r="F225" s="3">
        <v>199495.38</v>
      </c>
      <c r="G225" s="3">
        <v>0</v>
      </c>
      <c r="H225" s="4"/>
      <c r="I225" s="4"/>
      <c r="J225" s="4"/>
      <c r="K225" s="4"/>
      <c r="L225" s="4"/>
      <c r="M225" s="4"/>
    </row>
    <row r="226" spans="1:13" ht="15" customHeight="1" x14ac:dyDescent="0.35">
      <c r="A226" t="str">
        <f t="shared" si="3"/>
        <v>P570OD06C3731</v>
      </c>
      <c r="B226" t="str">
        <f>IFERROR(VLOOKUP($A226,'[5]Study Budget Mapping '!$O$2:$P$532,2,0),"TBA")</f>
        <v>TBA</v>
      </c>
      <c r="D226" s="2" t="s">
        <v>76</v>
      </c>
      <c r="E226" s="2" t="s">
        <v>19</v>
      </c>
      <c r="F226" s="3">
        <v>321660</v>
      </c>
      <c r="G226" s="3">
        <v>0</v>
      </c>
      <c r="H226" s="4"/>
      <c r="I226" s="4"/>
      <c r="J226" s="4"/>
      <c r="K226" s="4"/>
      <c r="L226" s="4"/>
      <c r="M226" s="4"/>
    </row>
    <row r="227" spans="1:13" ht="15" customHeight="1" x14ac:dyDescent="0.35">
      <c r="A227" t="str">
        <f t="shared" si="3"/>
        <v>P570OD06C3731</v>
      </c>
      <c r="B227" t="str">
        <f>IFERROR(VLOOKUP($A227,'[5]Study Budget Mapping '!$O$2:$P$532,2,0),"TBA")</f>
        <v>TBA</v>
      </c>
      <c r="D227" s="2" t="s">
        <v>76</v>
      </c>
      <c r="E227" s="2" t="s">
        <v>20</v>
      </c>
      <c r="F227" s="3">
        <v>1640330</v>
      </c>
      <c r="G227" s="3">
        <v>0</v>
      </c>
      <c r="H227" s="4"/>
      <c r="I227" s="4"/>
      <c r="J227" s="4"/>
      <c r="K227" s="4"/>
      <c r="L227" s="4"/>
      <c r="M227" s="4"/>
    </row>
    <row r="228" spans="1:13" ht="15" customHeight="1" x14ac:dyDescent="0.35">
      <c r="A228" t="str">
        <f t="shared" si="3"/>
        <v>P570OD06C3731</v>
      </c>
      <c r="B228" t="str">
        <f>IFERROR(VLOOKUP($A228,'[5]Study Budget Mapping '!$O$2:$P$532,2,0),"TBA")</f>
        <v>TBA</v>
      </c>
      <c r="D228" s="2" t="s">
        <v>76</v>
      </c>
      <c r="E228" s="2" t="s">
        <v>15</v>
      </c>
      <c r="F228" s="3">
        <v>10836821.619999999</v>
      </c>
      <c r="G228" s="3">
        <v>27869973.219999999</v>
      </c>
      <c r="H228" s="4"/>
      <c r="I228" s="4"/>
      <c r="J228" s="4"/>
      <c r="K228" s="4"/>
      <c r="L228" s="4"/>
      <c r="M228" s="4"/>
    </row>
    <row r="229" spans="1:13" ht="15" customHeight="1" x14ac:dyDescent="0.35">
      <c r="A229" t="str">
        <f t="shared" si="3"/>
        <v>P570OD06C3731</v>
      </c>
      <c r="B229" t="str">
        <f>IFERROR(VLOOKUP($A229,'[5]Study Budget Mapping '!$O$2:$P$532,2,0),"TBA")</f>
        <v>TBA</v>
      </c>
      <c r="D229" s="2" t="s">
        <v>76</v>
      </c>
      <c r="E229" s="2" t="s">
        <v>16</v>
      </c>
      <c r="F229" s="3">
        <v>3037407</v>
      </c>
      <c r="G229" s="3">
        <v>0</v>
      </c>
      <c r="H229" s="4"/>
      <c r="I229" s="4"/>
      <c r="J229" s="4"/>
      <c r="K229" s="4"/>
      <c r="L229" s="4"/>
      <c r="M229" s="4"/>
    </row>
    <row r="230" spans="1:13" ht="15" customHeight="1" x14ac:dyDescent="0.35">
      <c r="A230" t="str">
        <f t="shared" si="3"/>
        <v>P570OD06C3731</v>
      </c>
      <c r="B230" t="str">
        <f>IFERROR(VLOOKUP($A230,'[5]Study Budget Mapping '!$O$2:$P$532,2,0),"TBA")</f>
        <v>TBA</v>
      </c>
      <c r="D230" s="2" t="s">
        <v>76</v>
      </c>
      <c r="E230" s="2" t="s">
        <v>28</v>
      </c>
      <c r="F230" s="3">
        <v>587076</v>
      </c>
      <c r="G230" s="3">
        <v>0</v>
      </c>
      <c r="H230" s="4"/>
      <c r="I230" s="4"/>
      <c r="J230" s="4"/>
      <c r="K230" s="4"/>
      <c r="L230" s="4"/>
      <c r="M230" s="4"/>
    </row>
    <row r="231" spans="1:13" ht="15" customHeight="1" x14ac:dyDescent="0.35">
      <c r="A231" t="str">
        <f t="shared" si="3"/>
        <v>P570OD06C3731</v>
      </c>
      <c r="B231" t="str">
        <f>IFERROR(VLOOKUP($A231,'[5]Study Budget Mapping '!$O$2:$P$532,2,0),"TBA")</f>
        <v>TBA</v>
      </c>
      <c r="D231" s="2" t="s">
        <v>76</v>
      </c>
      <c r="E231" s="2" t="s">
        <v>23</v>
      </c>
      <c r="F231" s="3">
        <v>5119901</v>
      </c>
      <c r="G231" s="3">
        <v>0</v>
      </c>
      <c r="H231" s="4"/>
      <c r="I231" s="4"/>
      <c r="J231" s="4"/>
      <c r="K231" s="4"/>
      <c r="L231" s="4"/>
      <c r="M231" s="4"/>
    </row>
    <row r="232" spans="1:13" ht="15" customHeight="1" x14ac:dyDescent="0.35">
      <c r="A232" t="str">
        <f t="shared" si="3"/>
        <v>P570ST01C1231</v>
      </c>
      <c r="B232" t="str">
        <f>IFERROR(VLOOKUP($A232,'[5]Study Budget Mapping '!$O$2:$P$532,2,0),"TBA")</f>
        <v>TBA</v>
      </c>
      <c r="D232" s="2" t="s">
        <v>77</v>
      </c>
      <c r="E232" s="2" t="s">
        <v>13</v>
      </c>
      <c r="F232" s="3">
        <v>2604000</v>
      </c>
      <c r="G232" s="3">
        <v>0</v>
      </c>
      <c r="H232" s="4"/>
      <c r="I232" s="4"/>
      <c r="J232" s="4"/>
      <c r="K232" s="4"/>
      <c r="L232" s="4"/>
      <c r="M232" s="4"/>
    </row>
    <row r="233" spans="1:13" ht="15" customHeight="1" x14ac:dyDescent="0.35">
      <c r="A233" t="str">
        <f t="shared" si="3"/>
        <v>P570ST01C1231</v>
      </c>
      <c r="B233" t="str">
        <f>IFERROR(VLOOKUP($A233,'[5]Study Budget Mapping '!$O$2:$P$532,2,0),"TBA")</f>
        <v>TBA</v>
      </c>
      <c r="D233" s="2" t="s">
        <v>77</v>
      </c>
      <c r="E233" s="2" t="s">
        <v>14</v>
      </c>
      <c r="F233" s="3">
        <v>86400</v>
      </c>
      <c r="G233" s="3">
        <v>0</v>
      </c>
      <c r="H233" s="4"/>
      <c r="I233" s="4"/>
      <c r="J233" s="4"/>
      <c r="K233" s="4"/>
      <c r="L233" s="4"/>
      <c r="M233" s="4"/>
    </row>
    <row r="234" spans="1:13" ht="15" customHeight="1" x14ac:dyDescent="0.35">
      <c r="A234" t="str">
        <f t="shared" si="3"/>
        <v>P570ST01C1231</v>
      </c>
      <c r="B234" t="str">
        <f>IFERROR(VLOOKUP($A234,'[5]Study Budget Mapping '!$O$2:$P$532,2,0),"TBA")</f>
        <v>TBA</v>
      </c>
      <c r="D234" s="2" t="s">
        <v>77</v>
      </c>
      <c r="E234" s="2" t="s">
        <v>31</v>
      </c>
      <c r="F234" s="3">
        <v>1795000</v>
      </c>
      <c r="G234" s="3">
        <v>0</v>
      </c>
      <c r="H234" s="4"/>
      <c r="I234" s="4"/>
      <c r="J234" s="4"/>
      <c r="K234" s="4"/>
      <c r="L234" s="4"/>
      <c r="M234" s="4"/>
    </row>
    <row r="235" spans="1:13" ht="15" customHeight="1" x14ac:dyDescent="0.35">
      <c r="A235" t="str">
        <f t="shared" si="3"/>
        <v>P570ST01C1231</v>
      </c>
      <c r="B235" t="str">
        <f>IFERROR(VLOOKUP($A235,'[5]Study Budget Mapping '!$O$2:$P$532,2,0),"TBA")</f>
        <v>TBA</v>
      </c>
      <c r="D235" s="2" t="s">
        <v>77</v>
      </c>
      <c r="E235" s="2" t="s">
        <v>15</v>
      </c>
      <c r="F235" s="3">
        <v>2611000</v>
      </c>
      <c r="G235" s="3">
        <v>1731511.3</v>
      </c>
      <c r="H235" s="4"/>
      <c r="I235" s="4"/>
      <c r="J235" s="4"/>
      <c r="K235" s="4"/>
      <c r="L235" s="4"/>
      <c r="M235" s="4"/>
    </row>
    <row r="236" spans="1:13" ht="15" customHeight="1" x14ac:dyDescent="0.35">
      <c r="A236" t="str">
        <f t="shared" si="3"/>
        <v>P570ST01C1231</v>
      </c>
      <c r="B236" t="str">
        <f>IFERROR(VLOOKUP($A236,'[5]Study Budget Mapping '!$O$2:$P$532,2,0),"TBA")</f>
        <v>TBA</v>
      </c>
      <c r="D236" s="2" t="s">
        <v>77</v>
      </c>
      <c r="E236" s="2" t="s">
        <v>16</v>
      </c>
      <c r="F236" s="3">
        <v>601000</v>
      </c>
      <c r="G236" s="3">
        <v>0</v>
      </c>
      <c r="H236" s="4"/>
      <c r="I236" s="4"/>
      <c r="J236" s="4"/>
      <c r="K236" s="4"/>
      <c r="L236" s="4"/>
      <c r="M236" s="4"/>
    </row>
    <row r="237" spans="1:13" ht="15" customHeight="1" x14ac:dyDescent="0.35">
      <c r="A237" t="str">
        <f t="shared" si="3"/>
        <v>P570ST01C1231</v>
      </c>
      <c r="B237" t="str">
        <f>IFERROR(VLOOKUP($A237,'[5]Study Budget Mapping '!$O$2:$P$532,2,0),"TBA")</f>
        <v>TBA</v>
      </c>
      <c r="D237" s="2" t="s">
        <v>77</v>
      </c>
      <c r="E237" s="2" t="s">
        <v>23</v>
      </c>
      <c r="F237" s="3">
        <v>739230</v>
      </c>
      <c r="G237" s="3">
        <v>0</v>
      </c>
      <c r="H237" s="4"/>
      <c r="I237" s="4"/>
      <c r="J237" s="4"/>
      <c r="K237" s="4"/>
      <c r="L237" s="4"/>
      <c r="M237" s="4"/>
    </row>
    <row r="238" spans="1:13" ht="15" customHeight="1" x14ac:dyDescent="0.35">
      <c r="A238" t="str">
        <f t="shared" si="3"/>
        <v>P570ST01C1231</v>
      </c>
      <c r="B238" t="str">
        <f>IFERROR(VLOOKUP($A238,'[5]Study Budget Mapping '!$O$2:$P$532,2,0),"TBA")</f>
        <v>TBA</v>
      </c>
      <c r="D238" s="2" t="s">
        <v>77</v>
      </c>
      <c r="E238" s="2" t="s">
        <v>32</v>
      </c>
      <c r="F238" s="3">
        <v>90000</v>
      </c>
      <c r="G238" s="3">
        <v>0</v>
      </c>
      <c r="H238" s="4"/>
      <c r="I238" s="4"/>
      <c r="J238" s="4"/>
      <c r="K238" s="4"/>
      <c r="L238" s="4"/>
      <c r="M238" s="4"/>
    </row>
    <row r="239" spans="1:13" ht="15" customHeight="1" x14ac:dyDescent="0.35">
      <c r="A239" t="str">
        <f t="shared" si="3"/>
        <v>P571OD01C2911</v>
      </c>
      <c r="B239" t="str">
        <f>IFERROR(VLOOKUP($A239,'[5]Study Budget Mapping '!$O$2:$P$532,2,0),"TBA")</f>
        <v>TBA</v>
      </c>
      <c r="D239" s="2" t="s">
        <v>78</v>
      </c>
      <c r="E239" s="2" t="s">
        <v>13</v>
      </c>
      <c r="F239" s="3">
        <v>3440000</v>
      </c>
      <c r="G239" s="3">
        <v>4450000</v>
      </c>
      <c r="H239" s="4"/>
      <c r="I239" s="4"/>
      <c r="J239" s="4"/>
      <c r="K239" s="4"/>
      <c r="L239" s="4"/>
      <c r="M239" s="4"/>
    </row>
    <row r="240" spans="1:13" ht="15" customHeight="1" x14ac:dyDescent="0.35">
      <c r="A240" t="str">
        <f t="shared" si="3"/>
        <v>P571OD01C2911</v>
      </c>
      <c r="B240" t="str">
        <f>IFERROR(VLOOKUP($A240,'[5]Study Budget Mapping '!$O$2:$P$532,2,0),"TBA")</f>
        <v>TBA</v>
      </c>
      <c r="D240" s="2" t="s">
        <v>78</v>
      </c>
      <c r="E240" s="2" t="s">
        <v>14</v>
      </c>
      <c r="F240" s="3">
        <v>240000</v>
      </c>
      <c r="G240" s="3">
        <v>290000</v>
      </c>
      <c r="H240" s="4"/>
      <c r="I240" s="4"/>
      <c r="J240" s="4"/>
      <c r="K240" s="4"/>
      <c r="L240" s="4"/>
      <c r="M240" s="4"/>
    </row>
    <row r="241" spans="1:13" ht="15" customHeight="1" x14ac:dyDescent="0.35">
      <c r="A241" t="str">
        <f t="shared" si="3"/>
        <v>P571OD01C2911</v>
      </c>
      <c r="B241" t="str">
        <f>IFERROR(VLOOKUP($A241,'[5]Study Budget Mapping '!$O$2:$P$532,2,0),"TBA")</f>
        <v>TBA</v>
      </c>
      <c r="D241" s="2" t="s">
        <v>78</v>
      </c>
      <c r="E241" s="2" t="s">
        <v>19</v>
      </c>
      <c r="F241" s="3">
        <v>1121000</v>
      </c>
      <c r="G241" s="3">
        <v>1660000</v>
      </c>
      <c r="H241" s="4"/>
      <c r="I241" s="4"/>
      <c r="J241" s="4"/>
      <c r="K241" s="4"/>
      <c r="L241" s="4"/>
      <c r="M241" s="4"/>
    </row>
    <row r="242" spans="1:13" ht="15" customHeight="1" x14ac:dyDescent="0.35">
      <c r="A242" t="str">
        <f t="shared" si="3"/>
        <v>P571OD01C2911</v>
      </c>
      <c r="B242" t="str">
        <f>IFERROR(VLOOKUP($A242,'[5]Study Budget Mapping '!$O$2:$P$532,2,0),"TBA")</f>
        <v>TBA</v>
      </c>
      <c r="D242" s="2" t="s">
        <v>78</v>
      </c>
      <c r="E242" s="2" t="s">
        <v>20</v>
      </c>
      <c r="F242" s="3">
        <v>720000</v>
      </c>
      <c r="G242" s="3">
        <v>780000</v>
      </c>
      <c r="H242" s="4"/>
      <c r="I242" s="4"/>
      <c r="J242" s="4"/>
      <c r="K242" s="4"/>
      <c r="L242" s="4"/>
      <c r="M242" s="4"/>
    </row>
    <row r="243" spans="1:13" ht="15" customHeight="1" x14ac:dyDescent="0.35">
      <c r="A243" t="str">
        <f t="shared" si="3"/>
        <v>P571OD01C2911</v>
      </c>
      <c r="B243" t="str">
        <f>IFERROR(VLOOKUP($A243,'[5]Study Budget Mapping '!$O$2:$P$532,2,0),"TBA")</f>
        <v>TBA</v>
      </c>
      <c r="D243" s="2" t="s">
        <v>78</v>
      </c>
      <c r="E243" s="2" t="s">
        <v>15</v>
      </c>
      <c r="F243" s="3">
        <v>4890000</v>
      </c>
      <c r="G243" s="3">
        <v>5220000</v>
      </c>
      <c r="H243" s="4"/>
      <c r="I243" s="4"/>
      <c r="J243" s="4"/>
      <c r="K243" s="4"/>
      <c r="L243" s="4"/>
      <c r="M243" s="4"/>
    </row>
    <row r="244" spans="1:13" ht="15" customHeight="1" x14ac:dyDescent="0.35">
      <c r="A244" t="str">
        <f t="shared" si="3"/>
        <v>P571OD01C2911</v>
      </c>
      <c r="B244" t="str">
        <f>IFERROR(VLOOKUP($A244,'[5]Study Budget Mapping '!$O$2:$P$532,2,0),"TBA")</f>
        <v>TBA</v>
      </c>
      <c r="D244" s="2" t="s">
        <v>78</v>
      </c>
      <c r="E244" s="2" t="s">
        <v>16</v>
      </c>
      <c r="F244" s="3">
        <v>920000</v>
      </c>
      <c r="G244" s="3">
        <v>1060000</v>
      </c>
      <c r="H244" s="4"/>
      <c r="I244" s="4"/>
      <c r="J244" s="4"/>
      <c r="K244" s="4"/>
      <c r="L244" s="4"/>
      <c r="M244" s="4"/>
    </row>
    <row r="245" spans="1:13" ht="15" customHeight="1" x14ac:dyDescent="0.35">
      <c r="A245" t="str">
        <f t="shared" si="3"/>
        <v>P571OD01C2911</v>
      </c>
      <c r="B245" t="str">
        <f>IFERROR(VLOOKUP($A245,'[5]Study Budget Mapping '!$O$2:$P$532,2,0),"TBA")</f>
        <v>TBA</v>
      </c>
      <c r="D245" s="2" t="s">
        <v>78</v>
      </c>
      <c r="E245" s="2" t="s">
        <v>17</v>
      </c>
      <c r="F245" s="3">
        <v>270000</v>
      </c>
      <c r="G245" s="3">
        <v>310000</v>
      </c>
      <c r="H245" s="4"/>
      <c r="I245" s="4"/>
      <c r="J245" s="4"/>
      <c r="K245" s="4"/>
      <c r="L245" s="4"/>
      <c r="M245" s="4"/>
    </row>
    <row r="246" spans="1:13" ht="15" customHeight="1" x14ac:dyDescent="0.35">
      <c r="A246" t="str">
        <f t="shared" si="3"/>
        <v>P571OD01C2911</v>
      </c>
      <c r="B246" t="str">
        <f>IFERROR(VLOOKUP($A246,'[5]Study Budget Mapping '!$O$2:$P$532,2,0),"TBA")</f>
        <v>TBA</v>
      </c>
      <c r="D246" s="2" t="s">
        <v>78</v>
      </c>
      <c r="E246" s="2" t="s">
        <v>23</v>
      </c>
      <c r="F246" s="3">
        <v>230000</v>
      </c>
      <c r="G246" s="3">
        <v>230000</v>
      </c>
      <c r="H246" s="4"/>
      <c r="I246" s="4"/>
      <c r="J246" s="4"/>
      <c r="K246" s="4"/>
      <c r="L246" s="4"/>
      <c r="M246" s="4"/>
    </row>
    <row r="247" spans="1:13" ht="15" customHeight="1" x14ac:dyDescent="0.35">
      <c r="A247" t="str">
        <f t="shared" si="3"/>
        <v>P571OD01C2911</v>
      </c>
      <c r="B247" t="str">
        <f>IFERROR(VLOOKUP($A247,'[5]Study Budget Mapping '!$O$2:$P$532,2,0),"TBA")</f>
        <v>TBA</v>
      </c>
      <c r="D247" s="2" t="s">
        <v>78</v>
      </c>
      <c r="E247" s="2" t="s">
        <v>24</v>
      </c>
      <c r="F247" s="3">
        <v>322000</v>
      </c>
      <c r="G247" s="3">
        <v>380000</v>
      </c>
      <c r="H247" s="4"/>
      <c r="I247" s="4"/>
      <c r="J247" s="4"/>
      <c r="K247" s="4"/>
      <c r="L247" s="4"/>
      <c r="M247" s="4"/>
    </row>
    <row r="248" spans="1:13" ht="15" customHeight="1" x14ac:dyDescent="0.35">
      <c r="A248" t="str">
        <f t="shared" si="3"/>
        <v>P571OD02C3731</v>
      </c>
      <c r="B248" t="str">
        <f>IFERROR(VLOOKUP($A248,'[5]Study Budget Mapping '!$O$2:$P$532,2,0),"TBA")</f>
        <v>TBA</v>
      </c>
      <c r="D248" s="2" t="s">
        <v>79</v>
      </c>
      <c r="E248" s="2" t="s">
        <v>13</v>
      </c>
      <c r="F248" s="3">
        <v>40530000</v>
      </c>
      <c r="G248" s="3">
        <v>62850000</v>
      </c>
      <c r="H248" s="4"/>
      <c r="I248" s="4"/>
      <c r="J248" s="4"/>
      <c r="K248" s="4"/>
      <c r="L248" s="4"/>
      <c r="M248" s="4"/>
    </row>
    <row r="249" spans="1:13" ht="15" customHeight="1" x14ac:dyDescent="0.35">
      <c r="A249" t="str">
        <f t="shared" si="3"/>
        <v>P571OD02C3731</v>
      </c>
      <c r="B249" t="str">
        <f>IFERROR(VLOOKUP($A249,'[5]Study Budget Mapping '!$O$2:$P$532,2,0),"TBA")</f>
        <v>TBA</v>
      </c>
      <c r="D249" s="2" t="s">
        <v>79</v>
      </c>
      <c r="E249" s="2" t="s">
        <v>14</v>
      </c>
      <c r="F249" s="3">
        <v>1760000</v>
      </c>
      <c r="G249" s="3">
        <v>2011000</v>
      </c>
      <c r="H249" s="4"/>
      <c r="I249" s="4"/>
      <c r="J249" s="4"/>
      <c r="K249" s="4"/>
      <c r="L249" s="4"/>
      <c r="M249" s="4"/>
    </row>
    <row r="250" spans="1:13" ht="15" customHeight="1" x14ac:dyDescent="0.35">
      <c r="A250" t="str">
        <f t="shared" si="3"/>
        <v>P571OD02C3731</v>
      </c>
      <c r="B250" t="str">
        <f>IFERROR(VLOOKUP($A250,'[5]Study Budget Mapping '!$O$2:$P$532,2,0),"TBA")</f>
        <v>TBA</v>
      </c>
      <c r="D250" s="2" t="s">
        <v>79</v>
      </c>
      <c r="E250" s="2" t="s">
        <v>19</v>
      </c>
      <c r="F250" s="3">
        <v>5350000</v>
      </c>
      <c r="G250" s="3">
        <v>7580000</v>
      </c>
      <c r="H250" s="4"/>
      <c r="I250" s="4"/>
      <c r="J250" s="4"/>
      <c r="K250" s="4"/>
      <c r="L250" s="4"/>
      <c r="M250" s="4"/>
    </row>
    <row r="251" spans="1:13" ht="15" customHeight="1" x14ac:dyDescent="0.35">
      <c r="A251" t="str">
        <f t="shared" si="3"/>
        <v>P571OD02C3731</v>
      </c>
      <c r="B251" t="str">
        <f>IFERROR(VLOOKUP($A251,'[5]Study Budget Mapping '!$O$2:$P$532,2,0),"TBA")</f>
        <v>TBA</v>
      </c>
      <c r="D251" s="2" t="s">
        <v>79</v>
      </c>
      <c r="E251" s="2" t="s">
        <v>20</v>
      </c>
      <c r="F251" s="3">
        <v>4990000</v>
      </c>
      <c r="G251" s="3">
        <v>7520000</v>
      </c>
      <c r="H251" s="4"/>
      <c r="I251" s="4"/>
      <c r="J251" s="4"/>
      <c r="K251" s="4"/>
      <c r="L251" s="4"/>
      <c r="M251" s="4"/>
    </row>
    <row r="252" spans="1:13" ht="15" customHeight="1" x14ac:dyDescent="0.35">
      <c r="A252" t="str">
        <f t="shared" si="3"/>
        <v>P571OD02C3731</v>
      </c>
      <c r="B252" t="str">
        <f>IFERROR(VLOOKUP($A252,'[5]Study Budget Mapping '!$O$2:$P$532,2,0),"TBA")</f>
        <v>TBA</v>
      </c>
      <c r="D252" s="2" t="s">
        <v>79</v>
      </c>
      <c r="E252" s="2" t="s">
        <v>15</v>
      </c>
      <c r="F252" s="3">
        <v>36140000</v>
      </c>
      <c r="G252" s="3">
        <v>37121000</v>
      </c>
      <c r="H252" s="4"/>
      <c r="I252" s="4"/>
      <c r="J252" s="4"/>
      <c r="K252" s="4"/>
      <c r="L252" s="4"/>
      <c r="M252" s="4"/>
    </row>
    <row r="253" spans="1:13" ht="15" customHeight="1" x14ac:dyDescent="0.35">
      <c r="A253" t="str">
        <f t="shared" si="3"/>
        <v>P571OD02C3731</v>
      </c>
      <c r="B253" t="str">
        <f>IFERROR(VLOOKUP($A253,'[5]Study Budget Mapping '!$O$2:$P$532,2,0),"TBA")</f>
        <v>TBA</v>
      </c>
      <c r="D253" s="2" t="s">
        <v>79</v>
      </c>
      <c r="E253" s="2" t="s">
        <v>16</v>
      </c>
      <c r="F253" s="3">
        <v>1660000</v>
      </c>
      <c r="G253" s="3">
        <v>2881000</v>
      </c>
      <c r="H253" s="4"/>
      <c r="I253" s="4"/>
      <c r="J253" s="4"/>
      <c r="K253" s="4"/>
      <c r="L253" s="4"/>
      <c r="M253" s="4"/>
    </row>
    <row r="254" spans="1:13" ht="15" customHeight="1" x14ac:dyDescent="0.35">
      <c r="A254" t="str">
        <f t="shared" si="3"/>
        <v>P571OD02C3731</v>
      </c>
      <c r="B254" t="str">
        <f>IFERROR(VLOOKUP($A254,'[5]Study Budget Mapping '!$O$2:$P$532,2,0),"TBA")</f>
        <v>TBA</v>
      </c>
      <c r="D254" s="2" t="s">
        <v>79</v>
      </c>
      <c r="E254" s="2" t="s">
        <v>17</v>
      </c>
      <c r="F254" s="3">
        <v>330000</v>
      </c>
      <c r="G254" s="3">
        <v>860000</v>
      </c>
      <c r="H254" s="4"/>
      <c r="I254" s="4"/>
      <c r="J254" s="4"/>
      <c r="K254" s="4"/>
      <c r="L254" s="4"/>
      <c r="M254" s="4"/>
    </row>
    <row r="255" spans="1:13" ht="15" customHeight="1" x14ac:dyDescent="0.35">
      <c r="A255" t="str">
        <f t="shared" si="3"/>
        <v>P571OD02C3731</v>
      </c>
      <c r="B255" t="str">
        <f>IFERROR(VLOOKUP($A255,'[5]Study Budget Mapping '!$O$2:$P$532,2,0),"TBA")</f>
        <v>TBA</v>
      </c>
      <c r="D255" s="2" t="s">
        <v>79</v>
      </c>
      <c r="E255" s="2" t="s">
        <v>23</v>
      </c>
      <c r="F255" s="3">
        <v>230000</v>
      </c>
      <c r="G255" s="3">
        <v>200000</v>
      </c>
      <c r="H255" s="4"/>
      <c r="I255" s="4"/>
      <c r="J255" s="4"/>
      <c r="K255" s="4"/>
      <c r="L255" s="4"/>
      <c r="M255" s="4"/>
    </row>
    <row r="256" spans="1:13" ht="15" customHeight="1" x14ac:dyDescent="0.35">
      <c r="A256" t="str">
        <f t="shared" si="3"/>
        <v>P571OD02C3731</v>
      </c>
      <c r="B256" t="str">
        <f>IFERROR(VLOOKUP($A256,'[5]Study Budget Mapping '!$O$2:$P$532,2,0),"TBA")</f>
        <v>TBA</v>
      </c>
      <c r="D256" s="2" t="s">
        <v>79</v>
      </c>
      <c r="E256" s="2" t="s">
        <v>24</v>
      </c>
      <c r="F256" s="3">
        <v>960000</v>
      </c>
      <c r="G256" s="3">
        <v>3800000</v>
      </c>
      <c r="H256" s="4"/>
      <c r="I256" s="4"/>
      <c r="J256" s="4"/>
      <c r="K256" s="4"/>
      <c r="L256" s="4"/>
      <c r="M256" s="4"/>
    </row>
    <row r="257" spans="1:13" ht="15" customHeight="1" x14ac:dyDescent="0.35">
      <c r="A257" t="str">
        <f t="shared" si="3"/>
        <v>P571OD00C3111</v>
      </c>
      <c r="B257" t="str">
        <f>IFERROR(VLOOKUP($A257,'[5]Study Budget Mapping '!$O$2:$P$532,2,0),"TBA")</f>
        <v>TBA</v>
      </c>
      <c r="D257" s="2" t="s">
        <v>80</v>
      </c>
      <c r="E257" s="2" t="s">
        <v>13</v>
      </c>
      <c r="F257" s="3">
        <v>350000</v>
      </c>
      <c r="G257" s="3">
        <v>350000</v>
      </c>
      <c r="H257" s="4"/>
      <c r="I257" s="4"/>
      <c r="J257" s="4"/>
      <c r="K257" s="4"/>
      <c r="L257" s="4"/>
      <c r="M257" s="4"/>
    </row>
    <row r="258" spans="1:13" ht="15" customHeight="1" x14ac:dyDescent="0.35">
      <c r="A258" t="str">
        <f t="shared" si="3"/>
        <v>P571OD00C3111</v>
      </c>
      <c r="B258" t="str">
        <f>IFERROR(VLOOKUP($A258,'[5]Study Budget Mapping '!$O$2:$P$532,2,0),"TBA")</f>
        <v>TBA</v>
      </c>
      <c r="D258" s="2" t="s">
        <v>80</v>
      </c>
      <c r="E258" s="2" t="s">
        <v>22</v>
      </c>
      <c r="F258" s="3">
        <v>530000</v>
      </c>
      <c r="G258" s="3">
        <v>530000</v>
      </c>
      <c r="H258" s="4"/>
      <c r="I258" s="4"/>
      <c r="J258" s="4"/>
      <c r="K258" s="4"/>
      <c r="L258" s="4"/>
      <c r="M258" s="4"/>
    </row>
    <row r="259" spans="1:13" ht="15" customHeight="1" x14ac:dyDescent="0.35">
      <c r="A259" t="str">
        <f t="shared" ref="A259:A322" si="4">TRIM(_xlfn.TEXTBEFORE(D259,"-",1))</f>
        <v>P571OD00C3111</v>
      </c>
      <c r="B259" t="str">
        <f>IFERROR(VLOOKUP($A259,'[5]Study Budget Mapping '!$O$2:$P$532,2,0),"TBA")</f>
        <v>TBA</v>
      </c>
      <c r="D259" s="2" t="s">
        <v>80</v>
      </c>
      <c r="E259" s="2" t="s">
        <v>16</v>
      </c>
      <c r="F259" s="3">
        <v>70000</v>
      </c>
      <c r="G259" s="3">
        <v>70000</v>
      </c>
      <c r="H259" s="4"/>
      <c r="I259" s="4"/>
      <c r="J259" s="4"/>
      <c r="K259" s="4"/>
      <c r="L259" s="4"/>
      <c r="M259" s="4"/>
    </row>
    <row r="260" spans="1:13" ht="15" customHeight="1" x14ac:dyDescent="0.35">
      <c r="A260" t="str">
        <f t="shared" si="4"/>
        <v>P571OD00C3111</v>
      </c>
      <c r="B260" t="str">
        <f>IFERROR(VLOOKUP($A260,'[5]Study Budget Mapping '!$O$2:$P$532,2,0),"TBA")</f>
        <v>TBA</v>
      </c>
      <c r="D260" s="2" t="s">
        <v>80</v>
      </c>
      <c r="E260" s="2" t="s">
        <v>17</v>
      </c>
      <c r="F260" s="3">
        <v>235000</v>
      </c>
      <c r="G260" s="3">
        <v>235000</v>
      </c>
      <c r="H260" s="4"/>
      <c r="I260" s="4"/>
      <c r="J260" s="4"/>
      <c r="K260" s="4"/>
      <c r="L260" s="4"/>
      <c r="M260" s="4"/>
    </row>
    <row r="261" spans="1:13" ht="15" customHeight="1" x14ac:dyDescent="0.35">
      <c r="A261" t="str">
        <f t="shared" si="4"/>
        <v>P571OD00C3111</v>
      </c>
      <c r="B261" t="str">
        <f>IFERROR(VLOOKUP($A261,'[5]Study Budget Mapping '!$O$2:$P$532,2,0),"TBA")</f>
        <v>TBA</v>
      </c>
      <c r="D261" s="2" t="s">
        <v>80</v>
      </c>
      <c r="E261" s="2" t="s">
        <v>24</v>
      </c>
      <c r="F261" s="3">
        <v>80000</v>
      </c>
      <c r="G261" s="3">
        <v>80000</v>
      </c>
      <c r="H261" s="4"/>
      <c r="I261" s="4"/>
      <c r="J261" s="4"/>
      <c r="K261" s="4"/>
      <c r="L261" s="4"/>
      <c r="M261" s="4"/>
    </row>
    <row r="262" spans="1:13" ht="15" customHeight="1" x14ac:dyDescent="0.35">
      <c r="A262" t="str">
        <f t="shared" si="4"/>
        <v>P571OD09C3231</v>
      </c>
      <c r="B262" t="str">
        <f>IFERROR(VLOOKUP($A262,'[5]Study Budget Mapping '!$O$2:$P$532,2,0),"TBA")</f>
        <v>TBA</v>
      </c>
      <c r="D262" s="2" t="s">
        <v>81</v>
      </c>
      <c r="E262" s="2" t="s">
        <v>13</v>
      </c>
      <c r="F262" s="3">
        <v>49490000</v>
      </c>
      <c r="G262" s="3">
        <v>49490000</v>
      </c>
      <c r="H262" s="4"/>
      <c r="I262" s="4"/>
      <c r="J262" s="4"/>
      <c r="K262" s="4"/>
      <c r="L262" s="4"/>
      <c r="M262" s="4"/>
    </row>
    <row r="263" spans="1:13" ht="15" customHeight="1" x14ac:dyDescent="0.35">
      <c r="A263" t="str">
        <f t="shared" si="4"/>
        <v>P571OD09C3231</v>
      </c>
      <c r="B263" t="str">
        <f>IFERROR(VLOOKUP($A263,'[5]Study Budget Mapping '!$O$2:$P$532,2,0),"TBA")</f>
        <v>TBA</v>
      </c>
      <c r="D263" s="2" t="s">
        <v>81</v>
      </c>
      <c r="E263" s="2" t="s">
        <v>14</v>
      </c>
      <c r="F263" s="3">
        <v>2045000</v>
      </c>
      <c r="G263" s="3">
        <v>2045000</v>
      </c>
      <c r="H263" s="4"/>
      <c r="I263" s="4"/>
      <c r="J263" s="4"/>
      <c r="K263" s="4"/>
      <c r="L263" s="4"/>
      <c r="M263" s="4"/>
    </row>
    <row r="264" spans="1:13" ht="15" customHeight="1" x14ac:dyDescent="0.35">
      <c r="A264" t="str">
        <f t="shared" si="4"/>
        <v>P571OD09C3231</v>
      </c>
      <c r="B264" t="str">
        <f>IFERROR(VLOOKUP($A264,'[5]Study Budget Mapping '!$O$2:$P$532,2,0),"TBA")</f>
        <v>TBA</v>
      </c>
      <c r="D264" s="2" t="s">
        <v>81</v>
      </c>
      <c r="E264" s="2" t="s">
        <v>19</v>
      </c>
      <c r="F264" s="3">
        <v>5620000</v>
      </c>
      <c r="G264" s="3">
        <v>5620000</v>
      </c>
      <c r="H264" s="4"/>
      <c r="I264" s="4"/>
      <c r="J264" s="4"/>
      <c r="K264" s="4"/>
      <c r="L264" s="4"/>
      <c r="M264" s="4"/>
    </row>
    <row r="265" spans="1:13" ht="15" customHeight="1" x14ac:dyDescent="0.35">
      <c r="A265" t="str">
        <f t="shared" si="4"/>
        <v>P571OD09C3231</v>
      </c>
      <c r="B265" t="str">
        <f>IFERROR(VLOOKUP($A265,'[5]Study Budget Mapping '!$O$2:$P$532,2,0),"TBA")</f>
        <v>TBA</v>
      </c>
      <c r="D265" s="2" t="s">
        <v>81</v>
      </c>
      <c r="E265" s="2" t="s">
        <v>20</v>
      </c>
      <c r="F265" s="3">
        <v>2815000</v>
      </c>
      <c r="G265" s="3">
        <v>2815000</v>
      </c>
      <c r="H265" s="4"/>
      <c r="I265" s="4"/>
      <c r="J265" s="4"/>
      <c r="K265" s="4"/>
      <c r="L265" s="4"/>
      <c r="M265" s="4"/>
    </row>
    <row r="266" spans="1:13" ht="15" customHeight="1" x14ac:dyDescent="0.35">
      <c r="A266" t="str">
        <f t="shared" si="4"/>
        <v>P571OD09C3231</v>
      </c>
      <c r="B266" t="str">
        <f>IFERROR(VLOOKUP($A266,'[5]Study Budget Mapping '!$O$2:$P$532,2,0),"TBA")</f>
        <v>TBA</v>
      </c>
      <c r="D266" s="2" t="s">
        <v>81</v>
      </c>
      <c r="E266" s="2" t="s">
        <v>21</v>
      </c>
      <c r="F266" s="3">
        <v>9840000</v>
      </c>
      <c r="G266" s="3">
        <v>9840000</v>
      </c>
      <c r="H266" s="4"/>
      <c r="I266" s="4"/>
      <c r="J266" s="4"/>
      <c r="K266" s="4"/>
      <c r="L266" s="4"/>
      <c r="M266" s="4"/>
    </row>
    <row r="267" spans="1:13" ht="15" customHeight="1" x14ac:dyDescent="0.35">
      <c r="A267" t="str">
        <f t="shared" si="4"/>
        <v>P571OD09C3231</v>
      </c>
      <c r="B267" t="str">
        <f>IFERROR(VLOOKUP($A267,'[5]Study Budget Mapping '!$O$2:$P$532,2,0),"TBA")</f>
        <v>TBA</v>
      </c>
      <c r="D267" s="2" t="s">
        <v>81</v>
      </c>
      <c r="E267" s="2" t="s">
        <v>15</v>
      </c>
      <c r="F267" s="3">
        <v>25990000</v>
      </c>
      <c r="G267" s="3">
        <v>25990000</v>
      </c>
      <c r="H267" s="4"/>
      <c r="I267" s="4"/>
      <c r="J267" s="4"/>
      <c r="K267" s="4"/>
      <c r="L267" s="4"/>
      <c r="M267" s="4"/>
    </row>
    <row r="268" spans="1:13" ht="15" customHeight="1" x14ac:dyDescent="0.35">
      <c r="A268" t="str">
        <f t="shared" si="4"/>
        <v>P571OD09C3231</v>
      </c>
      <c r="B268" t="str">
        <f>IFERROR(VLOOKUP($A268,'[5]Study Budget Mapping '!$O$2:$P$532,2,0),"TBA")</f>
        <v>TBA</v>
      </c>
      <c r="D268" s="2" t="s">
        <v>81</v>
      </c>
      <c r="E268" s="2" t="s">
        <v>22</v>
      </c>
      <c r="F268" s="3">
        <v>1295000</v>
      </c>
      <c r="G268" s="3">
        <v>1295000</v>
      </c>
      <c r="H268" s="4"/>
      <c r="I268" s="4"/>
      <c r="J268" s="4"/>
      <c r="K268" s="4"/>
      <c r="L268" s="4"/>
      <c r="M268" s="4"/>
    </row>
    <row r="269" spans="1:13" ht="15" customHeight="1" x14ac:dyDescent="0.35">
      <c r="A269" t="str">
        <f t="shared" si="4"/>
        <v>P571OD09C3231</v>
      </c>
      <c r="B269" t="str">
        <f>IFERROR(VLOOKUP($A269,'[5]Study Budget Mapping '!$O$2:$P$532,2,0),"TBA")</f>
        <v>TBA</v>
      </c>
      <c r="D269" s="2" t="s">
        <v>81</v>
      </c>
      <c r="E269" s="2" t="s">
        <v>16</v>
      </c>
      <c r="F269" s="3">
        <v>3220000</v>
      </c>
      <c r="G269" s="3">
        <v>3220000</v>
      </c>
      <c r="H269" s="4"/>
      <c r="I269" s="4"/>
      <c r="J269" s="4"/>
      <c r="K269" s="4"/>
      <c r="L269" s="4"/>
      <c r="M269" s="4"/>
    </row>
    <row r="270" spans="1:13" ht="15" customHeight="1" x14ac:dyDescent="0.35">
      <c r="A270" t="str">
        <f t="shared" si="4"/>
        <v>P571OD09C3231</v>
      </c>
      <c r="B270" t="str">
        <f>IFERROR(VLOOKUP($A270,'[5]Study Budget Mapping '!$O$2:$P$532,2,0),"TBA")</f>
        <v>TBA</v>
      </c>
      <c r="D270" s="2" t="s">
        <v>81</v>
      </c>
      <c r="E270" s="2" t="s">
        <v>17</v>
      </c>
      <c r="F270" s="3">
        <v>390000</v>
      </c>
      <c r="G270" s="3">
        <v>390000</v>
      </c>
      <c r="H270" s="4"/>
      <c r="I270" s="4"/>
      <c r="J270" s="4"/>
      <c r="K270" s="4"/>
      <c r="L270" s="4"/>
      <c r="M270" s="4"/>
    </row>
    <row r="271" spans="1:13" ht="15" customHeight="1" x14ac:dyDescent="0.35">
      <c r="A271" t="str">
        <f t="shared" si="4"/>
        <v>P571OD09C3231</v>
      </c>
      <c r="B271" t="str">
        <f>IFERROR(VLOOKUP($A271,'[5]Study Budget Mapping '!$O$2:$P$532,2,0),"TBA")</f>
        <v>TBA</v>
      </c>
      <c r="D271" s="2" t="s">
        <v>81</v>
      </c>
      <c r="E271" s="2" t="s">
        <v>23</v>
      </c>
      <c r="F271" s="3">
        <v>1095000</v>
      </c>
      <c r="G271" s="3">
        <v>1095000</v>
      </c>
      <c r="H271" s="4"/>
      <c r="I271" s="4"/>
      <c r="J271" s="4"/>
      <c r="K271" s="4"/>
      <c r="L271" s="4"/>
      <c r="M271" s="4"/>
    </row>
    <row r="272" spans="1:13" ht="15" customHeight="1" x14ac:dyDescent="0.35">
      <c r="A272" t="str">
        <f t="shared" si="4"/>
        <v>P571OD09C3231</v>
      </c>
      <c r="B272" t="str">
        <f>IFERROR(VLOOKUP($A272,'[5]Study Budget Mapping '!$O$2:$P$532,2,0),"TBA")</f>
        <v>TBA</v>
      </c>
      <c r="D272" s="2" t="s">
        <v>81</v>
      </c>
      <c r="E272" s="2" t="s">
        <v>24</v>
      </c>
      <c r="F272" s="3">
        <v>2310000</v>
      </c>
      <c r="G272" s="3">
        <v>2310000</v>
      </c>
      <c r="H272" s="4"/>
      <c r="I272" s="4"/>
      <c r="J272" s="4"/>
      <c r="K272" s="4"/>
      <c r="L272" s="4"/>
      <c r="M272" s="4"/>
    </row>
    <row r="273" spans="1:13" ht="15" customHeight="1" x14ac:dyDescent="0.35">
      <c r="A273" t="str">
        <f t="shared" si="4"/>
        <v>P571OD01C4611</v>
      </c>
      <c r="B273" t="str">
        <f>IFERROR(VLOOKUP($A273,'[5]Study Budget Mapping '!$O$2:$P$532,2,0),"TBA")</f>
        <v>TBA</v>
      </c>
      <c r="D273" s="2" t="s">
        <v>82</v>
      </c>
      <c r="E273" s="2" t="s">
        <v>15</v>
      </c>
      <c r="F273" s="3">
        <v>7500000</v>
      </c>
      <c r="G273" s="3">
        <v>7500000</v>
      </c>
      <c r="H273" s="4"/>
      <c r="I273" s="4"/>
      <c r="J273" s="4"/>
      <c r="K273" s="4"/>
      <c r="L273" s="4"/>
      <c r="M273" s="4"/>
    </row>
    <row r="274" spans="1:13" ht="15" customHeight="1" x14ac:dyDescent="0.35">
      <c r="A274" t="str">
        <f t="shared" si="4"/>
        <v>P571OD01C3211</v>
      </c>
      <c r="B274" t="str">
        <f>IFERROR(VLOOKUP($A274,'[5]Study Budget Mapping '!$O$2:$P$532,2,0),"TBA")</f>
        <v>TBA</v>
      </c>
      <c r="D274" s="2" t="s">
        <v>83</v>
      </c>
      <c r="E274" s="2" t="s">
        <v>13</v>
      </c>
      <c r="F274" s="3">
        <v>38060000</v>
      </c>
      <c r="G274" s="3">
        <v>103400000</v>
      </c>
      <c r="H274" s="4"/>
      <c r="I274" s="4"/>
      <c r="J274" s="4"/>
      <c r="K274" s="4"/>
      <c r="L274" s="4"/>
      <c r="M274" s="4"/>
    </row>
    <row r="275" spans="1:13" ht="15" customHeight="1" x14ac:dyDescent="0.35">
      <c r="A275" t="str">
        <f t="shared" si="4"/>
        <v>P571OD01C3211</v>
      </c>
      <c r="B275" t="str">
        <f>IFERROR(VLOOKUP($A275,'[5]Study Budget Mapping '!$O$2:$P$532,2,0),"TBA")</f>
        <v>TBA</v>
      </c>
      <c r="D275" s="2" t="s">
        <v>83</v>
      </c>
      <c r="E275" s="2" t="s">
        <v>19</v>
      </c>
      <c r="F275" s="3">
        <v>3450000</v>
      </c>
      <c r="G275" s="3">
        <v>4575000</v>
      </c>
      <c r="H275" s="4"/>
      <c r="I275" s="4"/>
      <c r="J275" s="4"/>
      <c r="K275" s="4"/>
      <c r="L275" s="4"/>
      <c r="M275" s="4"/>
    </row>
    <row r="276" spans="1:13" ht="15" customHeight="1" x14ac:dyDescent="0.35">
      <c r="A276" t="str">
        <f t="shared" si="4"/>
        <v>P571OD01C3211</v>
      </c>
      <c r="B276" t="str">
        <f>IFERROR(VLOOKUP($A276,'[5]Study Budget Mapping '!$O$2:$P$532,2,0),"TBA")</f>
        <v>TBA</v>
      </c>
      <c r="D276" s="2" t="s">
        <v>83</v>
      </c>
      <c r="E276" s="2" t="s">
        <v>20</v>
      </c>
      <c r="F276" s="3">
        <v>2775000</v>
      </c>
      <c r="G276" s="3">
        <v>5910000</v>
      </c>
      <c r="H276" s="4"/>
      <c r="I276" s="4"/>
      <c r="J276" s="4"/>
      <c r="K276" s="4"/>
      <c r="L276" s="4"/>
      <c r="M276" s="4"/>
    </row>
    <row r="277" spans="1:13" ht="15" customHeight="1" x14ac:dyDescent="0.35">
      <c r="A277" t="str">
        <f t="shared" si="4"/>
        <v>P571OD01C3211</v>
      </c>
      <c r="B277" t="str">
        <f>IFERROR(VLOOKUP($A277,'[5]Study Budget Mapping '!$O$2:$P$532,2,0),"TBA")</f>
        <v>TBA</v>
      </c>
      <c r="D277" s="2" t="s">
        <v>83</v>
      </c>
      <c r="E277" s="2" t="s">
        <v>15</v>
      </c>
      <c r="F277" s="3">
        <v>11265000</v>
      </c>
      <c r="G277" s="3">
        <v>11320000</v>
      </c>
      <c r="H277" s="4"/>
      <c r="I277" s="4"/>
      <c r="J277" s="4"/>
      <c r="K277" s="4"/>
      <c r="L277" s="4"/>
      <c r="M277" s="4"/>
    </row>
    <row r="278" spans="1:13" ht="15" customHeight="1" x14ac:dyDescent="0.35">
      <c r="A278" t="str">
        <f t="shared" si="4"/>
        <v>P571OD01C3211</v>
      </c>
      <c r="B278" t="str">
        <f>IFERROR(VLOOKUP($A278,'[5]Study Budget Mapping '!$O$2:$P$532,2,0),"TBA")</f>
        <v>TBA</v>
      </c>
      <c r="D278" s="2" t="s">
        <v>83</v>
      </c>
      <c r="E278" s="2" t="s">
        <v>22</v>
      </c>
      <c r="F278" s="3">
        <v>1115000</v>
      </c>
      <c r="G278" s="3">
        <v>1085000</v>
      </c>
      <c r="H278" s="4"/>
      <c r="I278" s="4"/>
      <c r="J278" s="4"/>
      <c r="K278" s="4"/>
      <c r="L278" s="4"/>
      <c r="M278" s="4"/>
    </row>
    <row r="279" spans="1:13" ht="15" customHeight="1" x14ac:dyDescent="0.35">
      <c r="A279" t="str">
        <f t="shared" si="4"/>
        <v>P571OD01C3211</v>
      </c>
      <c r="B279" t="str">
        <f>IFERROR(VLOOKUP($A279,'[5]Study Budget Mapping '!$O$2:$P$532,2,0),"TBA")</f>
        <v>TBA</v>
      </c>
      <c r="D279" s="2" t="s">
        <v>83</v>
      </c>
      <c r="E279" s="2" t="s">
        <v>16</v>
      </c>
      <c r="F279" s="3">
        <v>855000</v>
      </c>
      <c r="G279" s="3">
        <v>2190000</v>
      </c>
      <c r="H279" s="4"/>
      <c r="I279" s="4"/>
      <c r="J279" s="4"/>
      <c r="K279" s="4"/>
      <c r="L279" s="4"/>
      <c r="M279" s="4"/>
    </row>
    <row r="280" spans="1:13" ht="15" customHeight="1" x14ac:dyDescent="0.35">
      <c r="A280" t="str">
        <f t="shared" si="4"/>
        <v>P571OD01C3211</v>
      </c>
      <c r="B280" t="str">
        <f>IFERROR(VLOOKUP($A280,'[5]Study Budget Mapping '!$O$2:$P$532,2,0),"TBA")</f>
        <v>TBA</v>
      </c>
      <c r="D280" s="2" t="s">
        <v>83</v>
      </c>
      <c r="E280" s="2" t="s">
        <v>17</v>
      </c>
      <c r="F280" s="3">
        <v>445000</v>
      </c>
      <c r="G280" s="3">
        <v>660000</v>
      </c>
      <c r="H280" s="4"/>
      <c r="I280" s="4"/>
      <c r="J280" s="4"/>
      <c r="K280" s="4"/>
      <c r="L280" s="4"/>
      <c r="M280" s="4"/>
    </row>
    <row r="281" spans="1:13" ht="15" customHeight="1" x14ac:dyDescent="0.35">
      <c r="A281" t="str">
        <f t="shared" si="4"/>
        <v>P571OD01C3211</v>
      </c>
      <c r="B281" t="str">
        <f>IFERROR(VLOOKUP($A281,'[5]Study Budget Mapping '!$O$2:$P$532,2,0),"TBA")</f>
        <v>TBA</v>
      </c>
      <c r="D281" s="2" t="s">
        <v>83</v>
      </c>
      <c r="E281" s="2" t="s">
        <v>23</v>
      </c>
      <c r="F281" s="3">
        <v>565000</v>
      </c>
      <c r="G281" s="3">
        <v>160000</v>
      </c>
      <c r="H281" s="4"/>
      <c r="I281" s="4"/>
      <c r="J281" s="4"/>
      <c r="K281" s="4"/>
      <c r="L281" s="4"/>
      <c r="M281" s="4"/>
    </row>
    <row r="282" spans="1:13" ht="15" customHeight="1" x14ac:dyDescent="0.35">
      <c r="A282" t="str">
        <f t="shared" si="4"/>
        <v>P571OD01C3211</v>
      </c>
      <c r="B282" t="str">
        <f>IFERROR(VLOOKUP($A282,'[5]Study Budget Mapping '!$O$2:$P$532,2,0),"TBA")</f>
        <v>TBA</v>
      </c>
      <c r="D282" s="2" t="s">
        <v>83</v>
      </c>
      <c r="E282" s="2" t="s">
        <v>24</v>
      </c>
      <c r="F282" s="3">
        <v>605000</v>
      </c>
      <c r="G282" s="3">
        <v>470000</v>
      </c>
      <c r="H282" s="4"/>
      <c r="I282" s="4"/>
      <c r="J282" s="4"/>
      <c r="K282" s="4"/>
      <c r="L282" s="4"/>
      <c r="M282" s="4"/>
    </row>
    <row r="283" spans="1:13" ht="15" customHeight="1" x14ac:dyDescent="0.35">
      <c r="A283" t="str">
        <f t="shared" si="4"/>
        <v>P571OD01C4311</v>
      </c>
      <c r="B283" t="str">
        <f>IFERROR(VLOOKUP($A283,'[5]Study Budget Mapping '!$O$2:$P$532,2,0),"TBA")</f>
        <v>TBA</v>
      </c>
      <c r="D283" s="2" t="s">
        <v>84</v>
      </c>
      <c r="E283" s="2" t="s">
        <v>15</v>
      </c>
      <c r="F283" s="3">
        <v>7500000</v>
      </c>
      <c r="G283" s="3">
        <v>7500000</v>
      </c>
      <c r="H283" s="4"/>
      <c r="I283" s="4"/>
      <c r="J283" s="4"/>
      <c r="K283" s="4"/>
      <c r="L283" s="4"/>
      <c r="M283" s="4"/>
    </row>
    <row r="284" spans="1:13" ht="15" customHeight="1" x14ac:dyDescent="0.35">
      <c r="A284" t="str">
        <f t="shared" si="4"/>
        <v>P610ID01C2611</v>
      </c>
      <c r="B284" t="str">
        <f>IFERROR(VLOOKUP($A284,'[5]Study Budget Mapping '!$O$2:$P$532,2,0),"TBA")</f>
        <v>TBA</v>
      </c>
      <c r="D284" s="2" t="s">
        <v>85</v>
      </c>
      <c r="E284" s="2" t="s">
        <v>13</v>
      </c>
      <c r="F284" s="3">
        <v>1900000</v>
      </c>
      <c r="G284" s="3">
        <v>35000000</v>
      </c>
      <c r="H284" s="4"/>
      <c r="I284" s="4"/>
      <c r="J284" s="4"/>
      <c r="K284" s="4"/>
      <c r="L284" s="4"/>
      <c r="M284" s="4"/>
    </row>
    <row r="285" spans="1:13" ht="15" customHeight="1" x14ac:dyDescent="0.35">
      <c r="A285" t="str">
        <f t="shared" si="4"/>
        <v>P610ID01C2611</v>
      </c>
      <c r="B285" t="str">
        <f>IFERROR(VLOOKUP($A285,'[5]Study Budget Mapping '!$O$2:$P$532,2,0),"TBA")</f>
        <v>TBA</v>
      </c>
      <c r="D285" s="2" t="s">
        <v>85</v>
      </c>
      <c r="E285" s="2" t="s">
        <v>14</v>
      </c>
      <c r="F285" s="3">
        <v>540000</v>
      </c>
      <c r="G285" s="3">
        <v>9290000</v>
      </c>
      <c r="H285" s="4"/>
      <c r="I285" s="4"/>
      <c r="J285" s="4"/>
      <c r="K285" s="4"/>
      <c r="L285" s="4"/>
      <c r="M285" s="4"/>
    </row>
    <row r="286" spans="1:13" ht="15" customHeight="1" x14ac:dyDescent="0.35">
      <c r="A286" t="str">
        <f t="shared" si="4"/>
        <v>P610ID01C2611</v>
      </c>
      <c r="B286" t="str">
        <f>IFERROR(VLOOKUP($A286,'[5]Study Budget Mapping '!$O$2:$P$532,2,0),"TBA")</f>
        <v>TBA</v>
      </c>
      <c r="D286" s="2" t="s">
        <v>85</v>
      </c>
      <c r="E286" s="2" t="s">
        <v>19</v>
      </c>
      <c r="F286" s="3">
        <v>7000</v>
      </c>
      <c r="G286" s="3">
        <v>2060000</v>
      </c>
      <c r="H286" s="4"/>
      <c r="I286" s="4"/>
      <c r="J286" s="4"/>
      <c r="K286" s="4"/>
      <c r="L286" s="4"/>
      <c r="M286" s="4"/>
    </row>
    <row r="287" spans="1:13" ht="15" customHeight="1" x14ac:dyDescent="0.35">
      <c r="A287" t="str">
        <f t="shared" si="4"/>
        <v>P610ID01C2611</v>
      </c>
      <c r="B287" t="str">
        <f>IFERROR(VLOOKUP($A287,'[5]Study Budget Mapping '!$O$2:$P$532,2,0),"TBA")</f>
        <v>TBA</v>
      </c>
      <c r="D287" s="2" t="s">
        <v>85</v>
      </c>
      <c r="E287" s="2" t="s">
        <v>17</v>
      </c>
      <c r="F287" s="3">
        <v>330000</v>
      </c>
      <c r="G287" s="3">
        <v>500000</v>
      </c>
      <c r="H287" s="4"/>
      <c r="I287" s="4"/>
      <c r="J287" s="4"/>
      <c r="K287" s="4"/>
      <c r="L287" s="4"/>
      <c r="M287" s="4"/>
    </row>
    <row r="288" spans="1:13" ht="15" customHeight="1" x14ac:dyDescent="0.35">
      <c r="A288" t="str">
        <f t="shared" si="4"/>
        <v>P610ID01C2611</v>
      </c>
      <c r="B288" t="str">
        <f>IFERROR(VLOOKUP($A288,'[5]Study Budget Mapping '!$O$2:$P$532,2,0),"TBA")</f>
        <v>TBA</v>
      </c>
      <c r="D288" s="2" t="s">
        <v>85</v>
      </c>
      <c r="E288" s="2" t="s">
        <v>23</v>
      </c>
      <c r="F288" s="3">
        <v>100000</v>
      </c>
      <c r="G288" s="3">
        <v>250000</v>
      </c>
      <c r="H288" s="4"/>
      <c r="I288" s="4"/>
      <c r="J288" s="4"/>
      <c r="K288" s="4"/>
      <c r="L288" s="4"/>
      <c r="M288" s="4"/>
    </row>
    <row r="289" spans="1:13" ht="15" customHeight="1" x14ac:dyDescent="0.35">
      <c r="A289" t="str">
        <f t="shared" si="4"/>
        <v>P610ID01C2611</v>
      </c>
      <c r="B289" t="str">
        <f>IFERROR(VLOOKUP($A289,'[5]Study Budget Mapping '!$O$2:$P$532,2,0),"TBA")</f>
        <v>TBA</v>
      </c>
      <c r="D289" s="2" t="s">
        <v>85</v>
      </c>
      <c r="E289" s="2" t="s">
        <v>24</v>
      </c>
      <c r="F289" s="3">
        <v>150000</v>
      </c>
      <c r="G289" s="3">
        <v>650000</v>
      </c>
      <c r="H289" s="4"/>
      <c r="I289" s="4"/>
      <c r="J289" s="4"/>
      <c r="K289" s="4"/>
      <c r="L289" s="4"/>
      <c r="M289" s="4"/>
    </row>
    <row r="290" spans="1:13" ht="15" customHeight="1" x14ac:dyDescent="0.35">
      <c r="A290" t="str">
        <f t="shared" si="4"/>
        <v>P610IM03C4021</v>
      </c>
      <c r="B290" t="str">
        <f>IFERROR(VLOOKUP($A290,'[5]Study Budget Mapping '!$O$2:$P$532,2,0),"TBA")</f>
        <v>TBA</v>
      </c>
      <c r="D290" s="2" t="s">
        <v>86</v>
      </c>
      <c r="E290" s="2" t="s">
        <v>13</v>
      </c>
      <c r="F290" s="3">
        <v>2169910</v>
      </c>
      <c r="G290" s="3">
        <v>2169910</v>
      </c>
      <c r="H290" s="4"/>
      <c r="I290" s="4"/>
      <c r="J290" s="4"/>
      <c r="K290" s="4"/>
      <c r="L290" s="4"/>
      <c r="M290" s="4"/>
    </row>
    <row r="291" spans="1:13" ht="15" customHeight="1" x14ac:dyDescent="0.35">
      <c r="A291" t="str">
        <f t="shared" si="4"/>
        <v>P610IM03C4022</v>
      </c>
      <c r="B291" t="str">
        <f>IFERROR(VLOOKUP($A291,'[5]Study Budget Mapping '!$O$2:$P$532,2,0),"TBA")</f>
        <v>TBA</v>
      </c>
      <c r="D291" s="2" t="s">
        <v>87</v>
      </c>
      <c r="E291" s="2" t="s">
        <v>13</v>
      </c>
      <c r="F291" s="3">
        <v>491247</v>
      </c>
      <c r="G291" s="3">
        <v>491247</v>
      </c>
      <c r="H291" s="4"/>
      <c r="I291" s="4"/>
      <c r="J291" s="4"/>
      <c r="K291" s="4"/>
      <c r="L291" s="4"/>
      <c r="M291" s="4"/>
    </row>
    <row r="292" spans="1:13" ht="15" customHeight="1" x14ac:dyDescent="0.35">
      <c r="A292" t="str">
        <f t="shared" si="4"/>
        <v>P610IM03C0211</v>
      </c>
      <c r="B292" t="str">
        <f>IFERROR(VLOOKUP($A292,'[5]Study Budget Mapping '!$O$2:$P$532,2,0),"TBA")</f>
        <v>TBA</v>
      </c>
      <c r="D292" s="2" t="s">
        <v>88</v>
      </c>
      <c r="E292" s="2" t="s">
        <v>13</v>
      </c>
      <c r="F292" s="3">
        <v>310990</v>
      </c>
      <c r="G292" s="3">
        <v>0</v>
      </c>
      <c r="H292" s="4"/>
      <c r="I292" s="4"/>
      <c r="J292" s="4"/>
      <c r="K292" s="4"/>
      <c r="L292" s="4"/>
      <c r="M292" s="4"/>
    </row>
    <row r="293" spans="1:13" ht="15" customHeight="1" x14ac:dyDescent="0.35">
      <c r="A293" t="str">
        <f t="shared" si="4"/>
        <v>P610IM03C0211</v>
      </c>
      <c r="B293" t="str">
        <f>IFERROR(VLOOKUP($A293,'[5]Study Budget Mapping '!$O$2:$P$532,2,0),"TBA")</f>
        <v>TBA</v>
      </c>
      <c r="D293" s="2" t="s">
        <v>88</v>
      </c>
      <c r="E293" s="2" t="s">
        <v>14</v>
      </c>
      <c r="F293" s="3">
        <v>72551</v>
      </c>
      <c r="G293" s="3">
        <v>0</v>
      </c>
      <c r="H293" s="4"/>
      <c r="I293" s="4"/>
      <c r="J293" s="4"/>
      <c r="K293" s="4"/>
      <c r="L293" s="4"/>
      <c r="M293" s="4"/>
    </row>
    <row r="294" spans="1:13" ht="15" customHeight="1" x14ac:dyDescent="0.35">
      <c r="A294" t="str">
        <f t="shared" si="4"/>
        <v>P610IM03C0211</v>
      </c>
      <c r="B294" t="str">
        <f>IFERROR(VLOOKUP($A294,'[5]Study Budget Mapping '!$O$2:$P$532,2,0),"TBA")</f>
        <v>TBA</v>
      </c>
      <c r="D294" s="2" t="s">
        <v>88</v>
      </c>
      <c r="E294" s="2" t="s">
        <v>15</v>
      </c>
      <c r="F294" s="3">
        <v>0</v>
      </c>
      <c r="G294" s="3">
        <v>409091.32</v>
      </c>
      <c r="H294" s="4"/>
      <c r="I294" s="4"/>
      <c r="J294" s="4"/>
      <c r="K294" s="4"/>
      <c r="L294" s="4"/>
      <c r="M294" s="4"/>
    </row>
    <row r="295" spans="1:13" ht="15" customHeight="1" x14ac:dyDescent="0.35">
      <c r="A295" t="str">
        <f t="shared" si="4"/>
        <v>P610IM03C0211</v>
      </c>
      <c r="B295" t="str">
        <f>IFERROR(VLOOKUP($A295,'[5]Study Budget Mapping '!$O$2:$P$532,2,0),"TBA")</f>
        <v>TBA</v>
      </c>
      <c r="D295" s="2" t="s">
        <v>88</v>
      </c>
      <c r="E295" s="2" t="s">
        <v>28</v>
      </c>
      <c r="F295" s="3">
        <v>36500</v>
      </c>
      <c r="G295" s="3">
        <v>0</v>
      </c>
      <c r="H295" s="4"/>
      <c r="I295" s="4"/>
      <c r="J295" s="4"/>
      <c r="K295" s="4"/>
      <c r="L295" s="4"/>
      <c r="M295" s="4"/>
    </row>
    <row r="296" spans="1:13" ht="15" customHeight="1" x14ac:dyDescent="0.35">
      <c r="A296" t="str">
        <f t="shared" si="4"/>
        <v>P610IM03C0211</v>
      </c>
      <c r="B296" t="str">
        <f>IFERROR(VLOOKUP($A296,'[5]Study Budget Mapping '!$O$2:$P$532,2,0),"TBA")</f>
        <v>TBA</v>
      </c>
      <c r="D296" s="2" t="s">
        <v>88</v>
      </c>
      <c r="E296" s="2" t="s">
        <v>23</v>
      </c>
      <c r="F296" s="3">
        <v>50561</v>
      </c>
      <c r="G296" s="3">
        <v>0</v>
      </c>
      <c r="H296" s="4"/>
      <c r="I296" s="4"/>
      <c r="J296" s="4"/>
      <c r="K296" s="4"/>
      <c r="L296" s="4"/>
      <c r="M296" s="4"/>
    </row>
    <row r="297" spans="1:13" ht="15" customHeight="1" x14ac:dyDescent="0.35">
      <c r="A297" t="str">
        <f t="shared" si="4"/>
        <v>P610IM03C0221</v>
      </c>
      <c r="B297" t="str">
        <f>IFERROR(VLOOKUP($A297,'[5]Study Budget Mapping '!$O$2:$P$532,2,0),"TBA")</f>
        <v>TBA</v>
      </c>
      <c r="D297" s="2" t="s">
        <v>89</v>
      </c>
      <c r="E297" s="2" t="s">
        <v>13</v>
      </c>
      <c r="F297" s="3">
        <v>166006</v>
      </c>
      <c r="G297" s="3">
        <v>0</v>
      </c>
      <c r="H297" s="4"/>
      <c r="I297" s="4"/>
      <c r="J297" s="4"/>
      <c r="K297" s="4"/>
      <c r="L297" s="4"/>
      <c r="M297" s="4"/>
    </row>
    <row r="298" spans="1:13" ht="15" customHeight="1" x14ac:dyDescent="0.35">
      <c r="A298" t="str">
        <f t="shared" si="4"/>
        <v>P610IM03C0221</v>
      </c>
      <c r="B298" t="str">
        <f>IFERROR(VLOOKUP($A298,'[5]Study Budget Mapping '!$O$2:$P$532,2,0),"TBA")</f>
        <v>TBA</v>
      </c>
      <c r="D298" s="2" t="s">
        <v>89</v>
      </c>
      <c r="E298" s="2" t="s">
        <v>14</v>
      </c>
      <c r="F298" s="3">
        <v>59394</v>
      </c>
      <c r="G298" s="3">
        <v>0</v>
      </c>
      <c r="H298" s="4"/>
      <c r="I298" s="4"/>
      <c r="J298" s="4"/>
      <c r="K298" s="4"/>
      <c r="L298" s="4"/>
      <c r="M298" s="4"/>
    </row>
    <row r="299" spans="1:13" ht="15" customHeight="1" x14ac:dyDescent="0.35">
      <c r="A299" t="str">
        <f t="shared" si="4"/>
        <v>P610IM03C0221</v>
      </c>
      <c r="B299" t="str">
        <f>IFERROR(VLOOKUP($A299,'[5]Study Budget Mapping '!$O$2:$P$532,2,0),"TBA")</f>
        <v>TBA</v>
      </c>
      <c r="D299" s="2" t="s">
        <v>89</v>
      </c>
      <c r="E299" s="2" t="s">
        <v>31</v>
      </c>
      <c r="F299" s="3">
        <v>128526</v>
      </c>
      <c r="G299" s="3">
        <v>0</v>
      </c>
      <c r="H299" s="4"/>
      <c r="I299" s="4"/>
      <c r="J299" s="4"/>
      <c r="K299" s="4"/>
      <c r="L299" s="4"/>
      <c r="M299" s="4"/>
    </row>
    <row r="300" spans="1:13" ht="15" customHeight="1" x14ac:dyDescent="0.35">
      <c r="A300" t="str">
        <f t="shared" si="4"/>
        <v>P610IM03C0221</v>
      </c>
      <c r="B300" t="str">
        <f>IFERROR(VLOOKUP($A300,'[5]Study Budget Mapping '!$O$2:$P$532,2,0),"TBA")</f>
        <v>TBA</v>
      </c>
      <c r="D300" s="2" t="s">
        <v>89</v>
      </c>
      <c r="E300" s="2" t="s">
        <v>15</v>
      </c>
      <c r="F300" s="3">
        <v>93427</v>
      </c>
      <c r="G300" s="3">
        <v>494500</v>
      </c>
      <c r="H300" s="4"/>
      <c r="I300" s="4"/>
      <c r="J300" s="4"/>
      <c r="K300" s="4"/>
      <c r="L300" s="4"/>
      <c r="M300" s="4"/>
    </row>
    <row r="301" spans="1:13" ht="15" customHeight="1" x14ac:dyDescent="0.35">
      <c r="A301" t="str">
        <f t="shared" si="4"/>
        <v>P610IM03C0221</v>
      </c>
      <c r="B301" t="str">
        <f>IFERROR(VLOOKUP($A301,'[5]Study Budget Mapping '!$O$2:$P$532,2,0),"TBA")</f>
        <v>TBA</v>
      </c>
      <c r="D301" s="2" t="s">
        <v>89</v>
      </c>
      <c r="E301" s="2" t="s">
        <v>16</v>
      </c>
      <c r="F301" s="3">
        <v>6955</v>
      </c>
      <c r="G301" s="3">
        <v>0</v>
      </c>
      <c r="H301" s="4"/>
      <c r="I301" s="4"/>
      <c r="J301" s="4"/>
      <c r="K301" s="4"/>
      <c r="L301" s="4"/>
      <c r="M301" s="4"/>
    </row>
    <row r="302" spans="1:13" ht="15" customHeight="1" x14ac:dyDescent="0.35">
      <c r="A302" t="str">
        <f t="shared" si="4"/>
        <v>P610IM03C0221</v>
      </c>
      <c r="B302" t="str">
        <f>IFERROR(VLOOKUP($A302,'[5]Study Budget Mapping '!$O$2:$P$532,2,0),"TBA")</f>
        <v>TBA</v>
      </c>
      <c r="D302" s="2" t="s">
        <v>89</v>
      </c>
      <c r="E302" s="2" t="s">
        <v>23</v>
      </c>
      <c r="F302" s="3">
        <v>60884</v>
      </c>
      <c r="G302" s="3">
        <v>0</v>
      </c>
      <c r="H302" s="4"/>
      <c r="I302" s="4"/>
      <c r="J302" s="4"/>
      <c r="K302" s="4"/>
      <c r="L302" s="4"/>
      <c r="M302" s="4"/>
    </row>
    <row r="303" spans="1:13" ht="15" customHeight="1" x14ac:dyDescent="0.35">
      <c r="A303" t="str">
        <f t="shared" si="4"/>
        <v>P610IM03C1111</v>
      </c>
      <c r="B303" t="str">
        <f>IFERROR(VLOOKUP($A303,'[5]Study Budget Mapping '!$O$2:$P$532,2,0),"TBA")</f>
        <v>TBA</v>
      </c>
      <c r="D303" s="2" t="s">
        <v>90</v>
      </c>
      <c r="E303" s="2" t="s">
        <v>13</v>
      </c>
      <c r="F303" s="3">
        <v>507800</v>
      </c>
      <c r="G303" s="3">
        <v>0</v>
      </c>
      <c r="H303" s="4"/>
      <c r="I303" s="4"/>
      <c r="J303" s="4"/>
      <c r="K303" s="4"/>
      <c r="L303" s="4"/>
      <c r="M303" s="4"/>
    </row>
    <row r="304" spans="1:13" ht="15" customHeight="1" x14ac:dyDescent="0.35">
      <c r="A304" t="str">
        <f t="shared" si="4"/>
        <v>P610IM03C1111</v>
      </c>
      <c r="B304" t="str">
        <f>IFERROR(VLOOKUP($A304,'[5]Study Budget Mapping '!$O$2:$P$532,2,0),"TBA")</f>
        <v>TBA</v>
      </c>
      <c r="D304" s="2" t="s">
        <v>90</v>
      </c>
      <c r="E304" s="2" t="s">
        <v>14</v>
      </c>
      <c r="F304" s="3">
        <v>235000</v>
      </c>
      <c r="G304" s="3">
        <v>0</v>
      </c>
      <c r="H304" s="4"/>
      <c r="I304" s="4"/>
      <c r="J304" s="4"/>
      <c r="K304" s="4"/>
      <c r="L304" s="4"/>
      <c r="M304" s="4"/>
    </row>
    <row r="305" spans="1:13" ht="15" customHeight="1" x14ac:dyDescent="0.35">
      <c r="A305" t="str">
        <f t="shared" si="4"/>
        <v>P610IM03C1111</v>
      </c>
      <c r="B305" t="str">
        <f>IFERROR(VLOOKUP($A305,'[5]Study Budget Mapping '!$O$2:$P$532,2,0),"TBA")</f>
        <v>TBA</v>
      </c>
      <c r="D305" s="2" t="s">
        <v>90</v>
      </c>
      <c r="E305" s="2" t="s">
        <v>31</v>
      </c>
      <c r="F305" s="3">
        <v>3000</v>
      </c>
      <c r="G305" s="3">
        <v>0</v>
      </c>
      <c r="H305" s="4"/>
      <c r="I305" s="4"/>
      <c r="J305" s="4"/>
      <c r="K305" s="4"/>
      <c r="L305" s="4"/>
      <c r="M305" s="4"/>
    </row>
    <row r="306" spans="1:13" ht="15" customHeight="1" x14ac:dyDescent="0.35">
      <c r="A306" t="str">
        <f t="shared" si="4"/>
        <v>P610IM03C1111</v>
      </c>
      <c r="B306" t="str">
        <f>IFERROR(VLOOKUP($A306,'[5]Study Budget Mapping '!$O$2:$P$532,2,0),"TBA")</f>
        <v>TBA</v>
      </c>
      <c r="D306" s="2" t="s">
        <v>90</v>
      </c>
      <c r="E306" s="2" t="s">
        <v>15</v>
      </c>
      <c r="F306" s="3">
        <v>1292244</v>
      </c>
      <c r="G306" s="3">
        <v>15000</v>
      </c>
      <c r="H306" s="4"/>
      <c r="I306" s="4"/>
      <c r="J306" s="4"/>
      <c r="K306" s="4"/>
      <c r="L306" s="4"/>
      <c r="M306" s="4"/>
    </row>
    <row r="307" spans="1:13" ht="15" customHeight="1" x14ac:dyDescent="0.35">
      <c r="A307" t="str">
        <f t="shared" si="4"/>
        <v>P610IM03C1111</v>
      </c>
      <c r="B307" t="str">
        <f>IFERROR(VLOOKUP($A307,'[5]Study Budget Mapping '!$O$2:$P$532,2,0),"TBA")</f>
        <v>TBA</v>
      </c>
      <c r="D307" s="2" t="s">
        <v>90</v>
      </c>
      <c r="E307" s="2" t="s">
        <v>16</v>
      </c>
      <c r="F307" s="3">
        <v>66000</v>
      </c>
      <c r="G307" s="3">
        <v>0</v>
      </c>
      <c r="H307" s="4"/>
      <c r="I307" s="4"/>
      <c r="J307" s="4"/>
      <c r="K307" s="4"/>
      <c r="L307" s="4"/>
      <c r="M307" s="4"/>
    </row>
    <row r="308" spans="1:13" ht="15" customHeight="1" x14ac:dyDescent="0.35">
      <c r="A308" t="str">
        <f t="shared" si="4"/>
        <v>P610IM03C1111</v>
      </c>
      <c r="B308" t="str">
        <f>IFERROR(VLOOKUP($A308,'[5]Study Budget Mapping '!$O$2:$P$532,2,0),"TBA")</f>
        <v>TBA</v>
      </c>
      <c r="D308" s="2" t="s">
        <v>90</v>
      </c>
      <c r="E308" s="2" t="s">
        <v>28</v>
      </c>
      <c r="F308" s="3">
        <v>210500</v>
      </c>
      <c r="G308" s="3">
        <v>0</v>
      </c>
      <c r="H308" s="4"/>
      <c r="I308" s="4"/>
      <c r="J308" s="4"/>
      <c r="K308" s="4"/>
      <c r="L308" s="4"/>
      <c r="M308" s="4"/>
    </row>
    <row r="309" spans="1:13" ht="15" customHeight="1" x14ac:dyDescent="0.35">
      <c r="A309" t="str">
        <f t="shared" si="4"/>
        <v>P610IM03C1111</v>
      </c>
      <c r="B309" t="str">
        <f>IFERROR(VLOOKUP($A309,'[5]Study Budget Mapping '!$O$2:$P$532,2,0),"TBA")</f>
        <v>TBA</v>
      </c>
      <c r="D309" s="2" t="s">
        <v>90</v>
      </c>
      <c r="E309" s="2" t="s">
        <v>23</v>
      </c>
      <c r="F309" s="3">
        <v>278659</v>
      </c>
      <c r="G309" s="3">
        <v>0</v>
      </c>
      <c r="H309" s="4"/>
      <c r="I309" s="4"/>
      <c r="J309" s="4"/>
      <c r="K309" s="4"/>
      <c r="L309" s="4"/>
      <c r="M309" s="4"/>
    </row>
    <row r="310" spans="1:13" ht="15" customHeight="1" x14ac:dyDescent="0.35">
      <c r="A310" t="str">
        <f t="shared" si="4"/>
        <v>P610IM03C1111</v>
      </c>
      <c r="B310" t="str">
        <f>IFERROR(VLOOKUP($A310,'[5]Study Budget Mapping '!$O$2:$P$532,2,0),"TBA")</f>
        <v>TBA</v>
      </c>
      <c r="D310" s="2" t="s">
        <v>90</v>
      </c>
      <c r="E310" s="2" t="s">
        <v>32</v>
      </c>
      <c r="F310" s="3">
        <v>50200</v>
      </c>
      <c r="G310" s="3">
        <v>0</v>
      </c>
      <c r="H310" s="4"/>
      <c r="I310" s="4"/>
      <c r="J310" s="4"/>
      <c r="K310" s="4"/>
      <c r="L310" s="4"/>
      <c r="M310" s="4"/>
    </row>
    <row r="311" spans="1:13" ht="15" customHeight="1" x14ac:dyDescent="0.35">
      <c r="A311" t="str">
        <f t="shared" si="4"/>
        <v>P610IM03C1112</v>
      </c>
      <c r="B311" t="str">
        <f>IFERROR(VLOOKUP($A311,'[5]Study Budget Mapping '!$O$2:$P$532,2,0),"TBA")</f>
        <v>TBA</v>
      </c>
      <c r="D311" s="2" t="s">
        <v>91</v>
      </c>
      <c r="E311" s="2" t="s">
        <v>13</v>
      </c>
      <c r="F311" s="3">
        <v>1619375</v>
      </c>
      <c r="G311" s="3">
        <v>0</v>
      </c>
      <c r="H311" s="4"/>
      <c r="I311" s="4"/>
      <c r="J311" s="4"/>
      <c r="K311" s="4"/>
      <c r="L311" s="4"/>
      <c r="M311" s="4"/>
    </row>
    <row r="312" spans="1:13" ht="15" customHeight="1" x14ac:dyDescent="0.35">
      <c r="A312" t="str">
        <f t="shared" si="4"/>
        <v>P610IM03C1112</v>
      </c>
      <c r="B312" t="str">
        <f>IFERROR(VLOOKUP($A312,'[5]Study Budget Mapping '!$O$2:$P$532,2,0),"TBA")</f>
        <v>TBA</v>
      </c>
      <c r="D312" s="2" t="s">
        <v>91</v>
      </c>
      <c r="E312" s="2" t="s">
        <v>14</v>
      </c>
      <c r="F312" s="3">
        <v>1099000</v>
      </c>
      <c r="G312" s="3">
        <v>0</v>
      </c>
      <c r="H312" s="4"/>
      <c r="I312" s="4"/>
      <c r="J312" s="4"/>
      <c r="K312" s="4"/>
      <c r="L312" s="4"/>
      <c r="M312" s="4"/>
    </row>
    <row r="313" spans="1:13" ht="15" customHeight="1" x14ac:dyDescent="0.35">
      <c r="A313" t="str">
        <f t="shared" si="4"/>
        <v>P610IM03C1112</v>
      </c>
      <c r="B313" t="str">
        <f>IFERROR(VLOOKUP($A313,'[5]Study Budget Mapping '!$O$2:$P$532,2,0),"TBA")</f>
        <v>TBA</v>
      </c>
      <c r="D313" s="2" t="s">
        <v>91</v>
      </c>
      <c r="E313" s="2" t="s">
        <v>19</v>
      </c>
      <c r="F313" s="3">
        <v>212000</v>
      </c>
      <c r="G313" s="3">
        <v>0</v>
      </c>
      <c r="H313" s="4"/>
      <c r="I313" s="4"/>
      <c r="J313" s="4"/>
      <c r="K313" s="4"/>
      <c r="L313" s="4"/>
      <c r="M313" s="4"/>
    </row>
    <row r="314" spans="1:13" ht="15" customHeight="1" x14ac:dyDescent="0.35">
      <c r="A314" t="str">
        <f t="shared" si="4"/>
        <v>P610IM03C1112</v>
      </c>
      <c r="B314" t="str">
        <f>IFERROR(VLOOKUP($A314,'[5]Study Budget Mapping '!$O$2:$P$532,2,0),"TBA")</f>
        <v>TBA</v>
      </c>
      <c r="D314" s="2" t="s">
        <v>91</v>
      </c>
      <c r="E314" s="2" t="s">
        <v>15</v>
      </c>
      <c r="F314" s="3">
        <v>261599</v>
      </c>
      <c r="G314" s="3">
        <v>3639680.09</v>
      </c>
      <c r="H314" s="4"/>
      <c r="I314" s="4"/>
      <c r="J314" s="4"/>
      <c r="K314" s="4"/>
      <c r="L314" s="4"/>
      <c r="M314" s="4"/>
    </row>
    <row r="315" spans="1:13" ht="15" customHeight="1" x14ac:dyDescent="0.35">
      <c r="A315" t="str">
        <f t="shared" si="4"/>
        <v>P610IM03C1112</v>
      </c>
      <c r="B315" t="str">
        <f>IFERROR(VLOOKUP($A315,'[5]Study Budget Mapping '!$O$2:$P$532,2,0),"TBA")</f>
        <v>TBA</v>
      </c>
      <c r="D315" s="2" t="s">
        <v>91</v>
      </c>
      <c r="E315" s="2" t="s">
        <v>16</v>
      </c>
      <c r="F315" s="3">
        <v>128600</v>
      </c>
      <c r="G315" s="3">
        <v>0</v>
      </c>
      <c r="H315" s="4"/>
      <c r="I315" s="4"/>
      <c r="J315" s="4"/>
      <c r="K315" s="4"/>
      <c r="L315" s="4"/>
      <c r="M315" s="4"/>
    </row>
    <row r="316" spans="1:13" ht="15" customHeight="1" x14ac:dyDescent="0.35">
      <c r="A316" t="str">
        <f t="shared" si="4"/>
        <v>P610IM03C1112</v>
      </c>
      <c r="B316" t="str">
        <f>IFERROR(VLOOKUP($A316,'[5]Study Budget Mapping '!$O$2:$P$532,2,0),"TBA")</f>
        <v>TBA</v>
      </c>
      <c r="D316" s="2" t="s">
        <v>91</v>
      </c>
      <c r="E316" s="2" t="s">
        <v>17</v>
      </c>
      <c r="F316" s="3">
        <v>170000</v>
      </c>
      <c r="G316" s="3">
        <v>0</v>
      </c>
      <c r="H316" s="4"/>
      <c r="I316" s="4"/>
      <c r="J316" s="4"/>
      <c r="K316" s="4"/>
      <c r="L316" s="4"/>
      <c r="M316" s="4"/>
    </row>
    <row r="317" spans="1:13" ht="15" customHeight="1" x14ac:dyDescent="0.35">
      <c r="A317" t="str">
        <f t="shared" si="4"/>
        <v>P610IM03C1112</v>
      </c>
      <c r="B317" t="str">
        <f>IFERROR(VLOOKUP($A317,'[5]Study Budget Mapping '!$O$2:$P$532,2,0),"TBA")</f>
        <v>TBA</v>
      </c>
      <c r="D317" s="2" t="s">
        <v>91</v>
      </c>
      <c r="E317" s="2" t="s">
        <v>28</v>
      </c>
      <c r="F317" s="3">
        <v>471314</v>
      </c>
      <c r="G317" s="3">
        <v>0</v>
      </c>
      <c r="H317" s="4"/>
      <c r="I317" s="4"/>
      <c r="J317" s="4"/>
      <c r="K317" s="4"/>
      <c r="L317" s="4"/>
      <c r="M317" s="4"/>
    </row>
    <row r="318" spans="1:13" ht="15" customHeight="1" x14ac:dyDescent="0.35">
      <c r="A318" t="str">
        <f t="shared" si="4"/>
        <v>P610IM03C1211</v>
      </c>
      <c r="B318" t="str">
        <f>IFERROR(VLOOKUP($A318,'[5]Study Budget Mapping '!$O$2:$P$532,2,0),"TBA")</f>
        <v>TBA</v>
      </c>
      <c r="D318" s="2" t="s">
        <v>92</v>
      </c>
      <c r="E318" s="2" t="s">
        <v>13</v>
      </c>
      <c r="F318" s="3">
        <v>490000</v>
      </c>
      <c r="G318" s="3">
        <v>0</v>
      </c>
      <c r="H318" s="4"/>
      <c r="I318" s="4"/>
      <c r="J318" s="4"/>
      <c r="K318" s="4"/>
      <c r="L318" s="4"/>
      <c r="M318" s="4"/>
    </row>
    <row r="319" spans="1:13" ht="15" customHeight="1" x14ac:dyDescent="0.35">
      <c r="A319" t="str">
        <f t="shared" si="4"/>
        <v>P610IM03C1211</v>
      </c>
      <c r="B319" t="str">
        <f>IFERROR(VLOOKUP($A319,'[5]Study Budget Mapping '!$O$2:$P$532,2,0),"TBA")</f>
        <v>TBA</v>
      </c>
      <c r="D319" s="2" t="s">
        <v>92</v>
      </c>
      <c r="E319" s="2" t="s">
        <v>14</v>
      </c>
      <c r="F319" s="3">
        <v>176523</v>
      </c>
      <c r="G319" s="3">
        <v>0</v>
      </c>
      <c r="H319" s="4"/>
      <c r="I319" s="4"/>
      <c r="J319" s="4"/>
      <c r="K319" s="4"/>
      <c r="L319" s="4"/>
      <c r="M319" s="4"/>
    </row>
    <row r="320" spans="1:13" ht="15" customHeight="1" x14ac:dyDescent="0.35">
      <c r="A320" t="str">
        <f t="shared" si="4"/>
        <v>P610IM03C1211</v>
      </c>
      <c r="B320" t="str">
        <f>IFERROR(VLOOKUP($A320,'[5]Study Budget Mapping '!$O$2:$P$532,2,0),"TBA")</f>
        <v>TBA</v>
      </c>
      <c r="D320" s="2" t="s">
        <v>92</v>
      </c>
      <c r="E320" s="2" t="s">
        <v>31</v>
      </c>
      <c r="F320" s="3">
        <v>8000</v>
      </c>
      <c r="G320" s="3">
        <v>0</v>
      </c>
      <c r="H320" s="4"/>
      <c r="I320" s="4"/>
      <c r="J320" s="4"/>
      <c r="K320" s="4"/>
      <c r="L320" s="4"/>
      <c r="M320" s="4"/>
    </row>
    <row r="321" spans="1:13" ht="15" customHeight="1" x14ac:dyDescent="0.35">
      <c r="A321" t="str">
        <f t="shared" si="4"/>
        <v>P610IM03C1211</v>
      </c>
      <c r="B321" t="str">
        <f>IFERROR(VLOOKUP($A321,'[5]Study Budget Mapping '!$O$2:$P$532,2,0),"TBA")</f>
        <v>TBA</v>
      </c>
      <c r="D321" s="2" t="s">
        <v>92</v>
      </c>
      <c r="E321" s="2" t="s">
        <v>15</v>
      </c>
      <c r="F321" s="3">
        <v>2260324</v>
      </c>
      <c r="G321" s="3">
        <v>50738.75</v>
      </c>
      <c r="H321" s="4"/>
      <c r="I321" s="4"/>
      <c r="J321" s="4"/>
      <c r="K321" s="4"/>
      <c r="L321" s="4"/>
      <c r="M321" s="4"/>
    </row>
    <row r="322" spans="1:13" ht="15" customHeight="1" x14ac:dyDescent="0.35">
      <c r="A322" t="str">
        <f t="shared" si="4"/>
        <v>P610IM03C1211</v>
      </c>
      <c r="B322" t="str">
        <f>IFERROR(VLOOKUP($A322,'[5]Study Budget Mapping '!$O$2:$P$532,2,0),"TBA")</f>
        <v>TBA</v>
      </c>
      <c r="D322" s="2" t="s">
        <v>92</v>
      </c>
      <c r="E322" s="2" t="s">
        <v>16</v>
      </c>
      <c r="F322" s="3">
        <v>241500</v>
      </c>
      <c r="G322" s="3">
        <v>0</v>
      </c>
      <c r="H322" s="4"/>
      <c r="I322" s="4"/>
      <c r="J322" s="4"/>
      <c r="K322" s="4"/>
      <c r="L322" s="4"/>
      <c r="M322" s="4"/>
    </row>
    <row r="323" spans="1:13" ht="15" customHeight="1" x14ac:dyDescent="0.35">
      <c r="A323" t="str">
        <f t="shared" ref="A323:A386" si="5">TRIM(_xlfn.TEXTBEFORE(D323,"-",1))</f>
        <v>P610IM03C1211</v>
      </c>
      <c r="B323" t="str">
        <f>IFERROR(VLOOKUP($A323,'[5]Study Budget Mapping '!$O$2:$P$532,2,0),"TBA")</f>
        <v>TBA</v>
      </c>
      <c r="D323" s="2" t="s">
        <v>92</v>
      </c>
      <c r="E323" s="2" t="s">
        <v>28</v>
      </c>
      <c r="F323" s="3">
        <v>229075</v>
      </c>
      <c r="G323" s="3">
        <v>0</v>
      </c>
      <c r="H323" s="4"/>
      <c r="I323" s="4"/>
      <c r="J323" s="4"/>
      <c r="K323" s="4"/>
      <c r="L323" s="4"/>
      <c r="M323" s="4"/>
    </row>
    <row r="324" spans="1:13" ht="15" customHeight="1" x14ac:dyDescent="0.35">
      <c r="A324" t="str">
        <f t="shared" si="5"/>
        <v>P610IM03C1211</v>
      </c>
      <c r="B324" t="str">
        <f>IFERROR(VLOOKUP($A324,'[5]Study Budget Mapping '!$O$2:$P$532,2,0),"TBA")</f>
        <v>TBA</v>
      </c>
      <c r="D324" s="2" t="s">
        <v>92</v>
      </c>
      <c r="E324" s="2" t="s">
        <v>23</v>
      </c>
      <c r="F324" s="3">
        <v>517927</v>
      </c>
      <c r="G324" s="3">
        <v>0</v>
      </c>
      <c r="H324" s="4"/>
      <c r="I324" s="4"/>
      <c r="J324" s="4"/>
      <c r="K324" s="4"/>
      <c r="L324" s="4"/>
      <c r="M324" s="4"/>
    </row>
    <row r="325" spans="1:13" ht="15" customHeight="1" x14ac:dyDescent="0.35">
      <c r="A325" t="str">
        <f t="shared" si="5"/>
        <v>P610IM03C1211</v>
      </c>
      <c r="B325" t="str">
        <f>IFERROR(VLOOKUP($A325,'[5]Study Budget Mapping '!$O$2:$P$532,2,0),"TBA")</f>
        <v>TBA</v>
      </c>
      <c r="D325" s="2" t="s">
        <v>92</v>
      </c>
      <c r="E325" s="2" t="s">
        <v>32</v>
      </c>
      <c r="F325" s="3">
        <v>49761</v>
      </c>
      <c r="G325" s="3">
        <v>0</v>
      </c>
      <c r="H325" s="4"/>
      <c r="I325" s="4"/>
      <c r="J325" s="4"/>
      <c r="K325" s="4"/>
      <c r="L325" s="4"/>
      <c r="M325" s="4"/>
    </row>
    <row r="326" spans="1:13" ht="15" customHeight="1" x14ac:dyDescent="0.35">
      <c r="A326" t="str">
        <f t="shared" si="5"/>
        <v>P610IM03C1421</v>
      </c>
      <c r="B326" t="str">
        <f>IFERROR(VLOOKUP($A326,'[5]Study Budget Mapping '!$O$2:$P$532,2,0),"TBA")</f>
        <v>TBA</v>
      </c>
      <c r="D326" s="2" t="s">
        <v>93</v>
      </c>
      <c r="E326" s="2" t="s">
        <v>13</v>
      </c>
      <c r="F326" s="3">
        <v>290000</v>
      </c>
      <c r="G326" s="3">
        <v>0</v>
      </c>
      <c r="H326" s="4"/>
      <c r="I326" s="4"/>
      <c r="J326" s="4"/>
      <c r="K326" s="4"/>
      <c r="L326" s="4"/>
      <c r="M326" s="4"/>
    </row>
    <row r="327" spans="1:13" ht="15" customHeight="1" x14ac:dyDescent="0.35">
      <c r="A327" t="str">
        <f t="shared" si="5"/>
        <v>P610IM03C1421</v>
      </c>
      <c r="B327" t="str">
        <f>IFERROR(VLOOKUP($A327,'[5]Study Budget Mapping '!$O$2:$P$532,2,0),"TBA")</f>
        <v>TBA</v>
      </c>
      <c r="D327" s="2" t="s">
        <v>93</v>
      </c>
      <c r="E327" s="2" t="s">
        <v>14</v>
      </c>
      <c r="F327" s="3">
        <v>359000</v>
      </c>
      <c r="G327" s="3">
        <v>0</v>
      </c>
      <c r="H327" s="4"/>
      <c r="I327" s="4"/>
      <c r="J327" s="4"/>
      <c r="K327" s="4"/>
      <c r="L327" s="4"/>
      <c r="M327" s="4"/>
    </row>
    <row r="328" spans="1:13" ht="15" customHeight="1" x14ac:dyDescent="0.35">
      <c r="A328" t="str">
        <f t="shared" si="5"/>
        <v>P610IM03C1421</v>
      </c>
      <c r="B328" t="str">
        <f>IFERROR(VLOOKUP($A328,'[5]Study Budget Mapping '!$O$2:$P$532,2,0),"TBA")</f>
        <v>TBA</v>
      </c>
      <c r="D328" s="2" t="s">
        <v>93</v>
      </c>
      <c r="E328" s="2" t="s">
        <v>19</v>
      </c>
      <c r="F328" s="3">
        <v>25000</v>
      </c>
      <c r="G328" s="3">
        <v>0</v>
      </c>
      <c r="H328" s="4"/>
      <c r="I328" s="4"/>
      <c r="J328" s="4"/>
      <c r="K328" s="4"/>
      <c r="L328" s="4"/>
      <c r="M328" s="4"/>
    </row>
    <row r="329" spans="1:13" ht="15" customHeight="1" x14ac:dyDescent="0.35">
      <c r="A329" t="str">
        <f t="shared" si="5"/>
        <v>P610IM03C1421</v>
      </c>
      <c r="B329" t="str">
        <f>IFERROR(VLOOKUP($A329,'[5]Study Budget Mapping '!$O$2:$P$532,2,0),"TBA")</f>
        <v>TBA</v>
      </c>
      <c r="D329" s="2" t="s">
        <v>93</v>
      </c>
      <c r="E329" s="2" t="s">
        <v>31</v>
      </c>
      <c r="F329" s="3">
        <v>3200</v>
      </c>
      <c r="G329" s="3">
        <v>0</v>
      </c>
      <c r="H329" s="4"/>
      <c r="I329" s="4"/>
      <c r="J329" s="4"/>
      <c r="K329" s="4"/>
      <c r="L329" s="4"/>
      <c r="M329" s="4"/>
    </row>
    <row r="330" spans="1:13" ht="15" customHeight="1" x14ac:dyDescent="0.35">
      <c r="A330" t="str">
        <f t="shared" si="5"/>
        <v>P610IM03C1421</v>
      </c>
      <c r="B330" t="str">
        <f>IFERROR(VLOOKUP($A330,'[5]Study Budget Mapping '!$O$2:$P$532,2,0),"TBA")</f>
        <v>TBA</v>
      </c>
      <c r="D330" s="2" t="s">
        <v>93</v>
      </c>
      <c r="E330" s="2" t="s">
        <v>15</v>
      </c>
      <c r="F330" s="3">
        <v>896000</v>
      </c>
      <c r="G330" s="3">
        <v>50300</v>
      </c>
      <c r="H330" s="4"/>
      <c r="I330" s="4"/>
      <c r="J330" s="4"/>
      <c r="K330" s="4"/>
      <c r="L330" s="4"/>
      <c r="M330" s="4"/>
    </row>
    <row r="331" spans="1:13" ht="15" customHeight="1" x14ac:dyDescent="0.35">
      <c r="A331" t="str">
        <f t="shared" si="5"/>
        <v>P610IM03C1421</v>
      </c>
      <c r="B331" t="str">
        <f>IFERROR(VLOOKUP($A331,'[5]Study Budget Mapping '!$O$2:$P$532,2,0),"TBA")</f>
        <v>TBA</v>
      </c>
      <c r="D331" s="2" t="s">
        <v>93</v>
      </c>
      <c r="E331" s="2" t="s">
        <v>16</v>
      </c>
      <c r="F331" s="3">
        <v>237000</v>
      </c>
      <c r="G331" s="3">
        <v>0</v>
      </c>
      <c r="H331" s="4"/>
      <c r="I331" s="4"/>
      <c r="J331" s="4"/>
      <c r="K331" s="4"/>
      <c r="L331" s="4"/>
      <c r="M331" s="4"/>
    </row>
    <row r="332" spans="1:13" ht="15" customHeight="1" x14ac:dyDescent="0.35">
      <c r="A332" t="str">
        <f t="shared" si="5"/>
        <v>P610IM03C1421</v>
      </c>
      <c r="B332" t="str">
        <f>IFERROR(VLOOKUP($A332,'[5]Study Budget Mapping '!$O$2:$P$532,2,0),"TBA")</f>
        <v>TBA</v>
      </c>
      <c r="D332" s="2" t="s">
        <v>93</v>
      </c>
      <c r="E332" s="2" t="s">
        <v>28</v>
      </c>
      <c r="F332" s="3">
        <v>198000</v>
      </c>
      <c r="G332" s="3">
        <v>0</v>
      </c>
      <c r="H332" s="4"/>
      <c r="I332" s="4"/>
      <c r="J332" s="4"/>
      <c r="K332" s="4"/>
      <c r="L332" s="4"/>
      <c r="M332" s="4"/>
    </row>
    <row r="333" spans="1:13" ht="15" customHeight="1" x14ac:dyDescent="0.35">
      <c r="A333" t="str">
        <f t="shared" si="5"/>
        <v>P610IM03C1421</v>
      </c>
      <c r="B333" t="str">
        <f>IFERROR(VLOOKUP($A333,'[5]Study Budget Mapping '!$O$2:$P$532,2,0),"TBA")</f>
        <v>TBA</v>
      </c>
      <c r="D333" s="2" t="s">
        <v>93</v>
      </c>
      <c r="E333" s="2" t="s">
        <v>23</v>
      </c>
      <c r="F333" s="3">
        <v>421040</v>
      </c>
      <c r="G333" s="3">
        <v>0</v>
      </c>
      <c r="H333" s="4"/>
      <c r="I333" s="4"/>
      <c r="J333" s="4"/>
      <c r="K333" s="4"/>
      <c r="L333" s="4"/>
      <c r="M333" s="4"/>
    </row>
    <row r="334" spans="1:13" ht="15" customHeight="1" x14ac:dyDescent="0.35">
      <c r="A334" t="str">
        <f t="shared" si="5"/>
        <v>P610IM03C3831</v>
      </c>
      <c r="B334" t="str">
        <f>IFERROR(VLOOKUP($A334,'[5]Study Budget Mapping '!$O$2:$P$532,2,0),"TBA")</f>
        <v>TBA</v>
      </c>
      <c r="D334" s="2" t="s">
        <v>94</v>
      </c>
      <c r="E334" s="2" t="s">
        <v>15</v>
      </c>
      <c r="F334" s="3">
        <v>5000000</v>
      </c>
      <c r="G334" s="3">
        <v>4435800.4000000004</v>
      </c>
      <c r="H334" s="4"/>
      <c r="I334" s="4"/>
      <c r="J334" s="4"/>
      <c r="K334" s="4"/>
      <c r="L334" s="4"/>
      <c r="M334" s="4"/>
    </row>
    <row r="335" spans="1:13" ht="15" customHeight="1" x14ac:dyDescent="0.35">
      <c r="A335" t="str">
        <f t="shared" si="5"/>
        <v>P611IM18C2431</v>
      </c>
      <c r="B335" t="str">
        <f>IFERROR(VLOOKUP($A335,'[5]Study Budget Mapping '!$O$2:$P$532,2,0),"TBA")</f>
        <v>TBA</v>
      </c>
      <c r="D335" s="2" t="s">
        <v>95</v>
      </c>
      <c r="E335" s="2" t="s">
        <v>15</v>
      </c>
      <c r="F335" s="3">
        <v>5000000</v>
      </c>
      <c r="G335" s="3">
        <v>5000000</v>
      </c>
      <c r="H335" s="4"/>
      <c r="I335" s="4"/>
      <c r="J335" s="4"/>
      <c r="K335" s="4"/>
      <c r="L335" s="4"/>
      <c r="M335" s="4"/>
    </row>
    <row r="336" spans="1:13" ht="15" customHeight="1" x14ac:dyDescent="0.35">
      <c r="A336" t="str">
        <f t="shared" si="5"/>
        <v>P611IM18C6011</v>
      </c>
      <c r="B336" t="str">
        <f>IFERROR(VLOOKUP($A336,'[5]Study Budget Mapping '!$O$2:$P$532,2,0),"TBA")</f>
        <v>TBA</v>
      </c>
      <c r="D336" s="2" t="s">
        <v>96</v>
      </c>
      <c r="E336" s="2" t="s">
        <v>13</v>
      </c>
      <c r="F336" s="3">
        <v>893496</v>
      </c>
      <c r="G336" s="3">
        <v>978000</v>
      </c>
      <c r="H336" s="4"/>
      <c r="I336" s="4"/>
      <c r="J336" s="4"/>
      <c r="K336" s="4"/>
      <c r="L336" s="4"/>
      <c r="M336" s="4"/>
    </row>
    <row r="337" spans="1:13" ht="15" customHeight="1" x14ac:dyDescent="0.35">
      <c r="A337" t="str">
        <f t="shared" si="5"/>
        <v>P611IM18C6011</v>
      </c>
      <c r="B337" t="str">
        <f>IFERROR(VLOOKUP($A337,'[5]Study Budget Mapping '!$O$2:$P$532,2,0),"TBA")</f>
        <v>TBA</v>
      </c>
      <c r="D337" s="2" t="s">
        <v>96</v>
      </c>
      <c r="E337" s="2" t="s">
        <v>14</v>
      </c>
      <c r="F337" s="3">
        <v>61791</v>
      </c>
      <c r="G337" s="3">
        <v>74000</v>
      </c>
      <c r="H337" s="4"/>
      <c r="I337" s="4"/>
      <c r="J337" s="4"/>
      <c r="K337" s="4"/>
      <c r="L337" s="4"/>
      <c r="M337" s="4"/>
    </row>
    <row r="338" spans="1:13" ht="15" customHeight="1" x14ac:dyDescent="0.35">
      <c r="A338" t="str">
        <f t="shared" si="5"/>
        <v>P611IM18C6011</v>
      </c>
      <c r="B338" t="str">
        <f>IFERROR(VLOOKUP($A338,'[5]Study Budget Mapping '!$O$2:$P$532,2,0),"TBA")</f>
        <v>TBA</v>
      </c>
      <c r="D338" s="2" t="s">
        <v>96</v>
      </c>
      <c r="E338" s="2" t="s">
        <v>32</v>
      </c>
      <c r="F338" s="3">
        <v>484590</v>
      </c>
      <c r="G338" s="3">
        <v>518000</v>
      </c>
      <c r="H338" s="4"/>
      <c r="I338" s="4"/>
      <c r="J338" s="4"/>
      <c r="K338" s="4"/>
      <c r="L338" s="4"/>
      <c r="M338" s="4"/>
    </row>
    <row r="339" spans="1:13" ht="15" customHeight="1" x14ac:dyDescent="0.35">
      <c r="A339" t="str">
        <f t="shared" si="5"/>
        <v>P611ST00C1011</v>
      </c>
      <c r="B339" t="str">
        <f>IFERROR(VLOOKUP($A339,'[5]Study Budget Mapping '!$O$2:$P$532,2,0),"TBA")</f>
        <v>TBA</v>
      </c>
      <c r="D339" s="2" t="s">
        <v>97</v>
      </c>
      <c r="E339" s="2" t="s">
        <v>13</v>
      </c>
      <c r="F339" s="3">
        <v>994000</v>
      </c>
      <c r="G339" s="3">
        <v>0</v>
      </c>
      <c r="H339" s="4"/>
      <c r="I339" s="4"/>
      <c r="J339" s="4"/>
      <c r="K339" s="4"/>
      <c r="L339" s="4"/>
      <c r="M339" s="4"/>
    </row>
    <row r="340" spans="1:13" ht="15" customHeight="1" x14ac:dyDescent="0.35">
      <c r="A340" t="str">
        <f t="shared" si="5"/>
        <v>P611ST00C1011</v>
      </c>
      <c r="B340" t="str">
        <f>IFERROR(VLOOKUP($A340,'[5]Study Budget Mapping '!$O$2:$P$532,2,0),"TBA")</f>
        <v>TBA</v>
      </c>
      <c r="D340" s="2" t="s">
        <v>97</v>
      </c>
      <c r="E340" s="2" t="s">
        <v>14</v>
      </c>
      <c r="F340" s="3">
        <v>228000</v>
      </c>
      <c r="G340" s="3">
        <v>0</v>
      </c>
      <c r="H340" s="4"/>
      <c r="I340" s="4"/>
      <c r="J340" s="4"/>
      <c r="K340" s="4"/>
      <c r="L340" s="4"/>
      <c r="M340" s="4"/>
    </row>
    <row r="341" spans="1:13" ht="15" customHeight="1" x14ac:dyDescent="0.35">
      <c r="A341" t="str">
        <f t="shared" si="5"/>
        <v>P611ST00C1011</v>
      </c>
      <c r="B341" t="str">
        <f>IFERROR(VLOOKUP($A341,'[5]Study Budget Mapping '!$O$2:$P$532,2,0),"TBA")</f>
        <v>TBA</v>
      </c>
      <c r="D341" s="2" t="s">
        <v>97</v>
      </c>
      <c r="E341" s="2" t="s">
        <v>19</v>
      </c>
      <c r="F341" s="3">
        <v>35000</v>
      </c>
      <c r="G341" s="3">
        <v>0</v>
      </c>
      <c r="H341" s="4"/>
      <c r="I341" s="4"/>
      <c r="J341" s="4"/>
      <c r="K341" s="4"/>
      <c r="L341" s="4"/>
      <c r="M341" s="4"/>
    </row>
    <row r="342" spans="1:13" ht="15" customHeight="1" x14ac:dyDescent="0.35">
      <c r="A342" t="str">
        <f t="shared" si="5"/>
        <v>P611ST00C1011</v>
      </c>
      <c r="B342" t="str">
        <f>IFERROR(VLOOKUP($A342,'[5]Study Budget Mapping '!$O$2:$P$532,2,0),"TBA")</f>
        <v>TBA</v>
      </c>
      <c r="D342" s="2" t="s">
        <v>97</v>
      </c>
      <c r="E342" s="2" t="s">
        <v>31</v>
      </c>
      <c r="F342" s="3">
        <v>13800</v>
      </c>
      <c r="G342" s="3">
        <v>0</v>
      </c>
      <c r="H342" s="4"/>
      <c r="I342" s="4"/>
      <c r="J342" s="4"/>
      <c r="K342" s="4"/>
      <c r="L342" s="4"/>
      <c r="M342" s="4"/>
    </row>
    <row r="343" spans="1:13" ht="15" customHeight="1" x14ac:dyDescent="0.35">
      <c r="A343" t="str">
        <f t="shared" si="5"/>
        <v>P611ST00C1011</v>
      </c>
      <c r="B343" t="str">
        <f>IFERROR(VLOOKUP($A343,'[5]Study Budget Mapping '!$O$2:$P$532,2,0),"TBA")</f>
        <v>TBA</v>
      </c>
      <c r="D343" s="2" t="s">
        <v>97</v>
      </c>
      <c r="E343" s="2" t="s">
        <v>15</v>
      </c>
      <c r="F343" s="3">
        <v>607011</v>
      </c>
      <c r="G343" s="3">
        <v>3995906.74</v>
      </c>
      <c r="H343" s="4"/>
      <c r="I343" s="4"/>
      <c r="J343" s="4"/>
      <c r="K343" s="4"/>
      <c r="L343" s="4"/>
      <c r="M343" s="4"/>
    </row>
    <row r="344" spans="1:13" ht="15" customHeight="1" x14ac:dyDescent="0.35">
      <c r="A344" t="str">
        <f t="shared" si="5"/>
        <v>P611ST00C1011</v>
      </c>
      <c r="B344" t="str">
        <f>IFERROR(VLOOKUP($A344,'[5]Study Budget Mapping '!$O$2:$P$532,2,0),"TBA")</f>
        <v>TBA</v>
      </c>
      <c r="D344" s="2" t="s">
        <v>97</v>
      </c>
      <c r="E344" s="2" t="s">
        <v>16</v>
      </c>
      <c r="F344" s="3">
        <v>45800</v>
      </c>
      <c r="G344" s="3">
        <v>0</v>
      </c>
      <c r="H344" s="4"/>
      <c r="I344" s="4"/>
      <c r="J344" s="4"/>
      <c r="K344" s="4"/>
      <c r="L344" s="4"/>
      <c r="M344" s="4"/>
    </row>
    <row r="345" spans="1:13" ht="15" customHeight="1" x14ac:dyDescent="0.35">
      <c r="A345" t="str">
        <f t="shared" si="5"/>
        <v>P611ST00C1011</v>
      </c>
      <c r="B345" t="str">
        <f>IFERROR(VLOOKUP($A345,'[5]Study Budget Mapping '!$O$2:$P$532,2,0),"TBA")</f>
        <v>TBA</v>
      </c>
      <c r="D345" s="2" t="s">
        <v>97</v>
      </c>
      <c r="E345" s="2" t="s">
        <v>28</v>
      </c>
      <c r="F345" s="3">
        <v>140000</v>
      </c>
      <c r="G345" s="3">
        <v>0</v>
      </c>
      <c r="H345" s="4"/>
      <c r="I345" s="4"/>
      <c r="J345" s="4"/>
      <c r="K345" s="4"/>
      <c r="L345" s="4"/>
      <c r="M345" s="4"/>
    </row>
    <row r="346" spans="1:13" ht="15" customHeight="1" x14ac:dyDescent="0.35">
      <c r="A346" t="str">
        <f t="shared" si="5"/>
        <v>P611ST00C1011</v>
      </c>
      <c r="B346" t="str">
        <f>IFERROR(VLOOKUP($A346,'[5]Study Budget Mapping '!$O$2:$P$532,2,0),"TBA")</f>
        <v>TBA</v>
      </c>
      <c r="D346" s="2" t="s">
        <v>97</v>
      </c>
      <c r="E346" s="2" t="s">
        <v>23</v>
      </c>
      <c r="F346" s="3">
        <v>226931</v>
      </c>
      <c r="G346" s="3">
        <v>0</v>
      </c>
      <c r="H346" s="4"/>
      <c r="I346" s="4"/>
      <c r="J346" s="4"/>
      <c r="K346" s="4"/>
      <c r="L346" s="4"/>
      <c r="M346" s="4"/>
    </row>
    <row r="347" spans="1:13" ht="15" customHeight="1" x14ac:dyDescent="0.35">
      <c r="A347" t="str">
        <f t="shared" si="5"/>
        <v>P612PN00C1811</v>
      </c>
      <c r="B347" t="str">
        <f>IFERROR(VLOOKUP($A347,'[5]Study Budget Mapping '!$O$2:$P$532,2,0),"TBA")</f>
        <v>TBA</v>
      </c>
      <c r="D347" s="2" t="s">
        <v>98</v>
      </c>
      <c r="E347" s="2" t="s">
        <v>13</v>
      </c>
      <c r="F347" s="3">
        <v>3220000</v>
      </c>
      <c r="G347" s="3">
        <v>4015000</v>
      </c>
      <c r="H347" s="4"/>
      <c r="I347" s="4"/>
      <c r="J347" s="4"/>
      <c r="K347" s="4"/>
      <c r="L347" s="4"/>
      <c r="M347" s="4"/>
    </row>
    <row r="348" spans="1:13" ht="15" customHeight="1" x14ac:dyDescent="0.35">
      <c r="A348" t="str">
        <f t="shared" si="5"/>
        <v>P612PN00C1811</v>
      </c>
      <c r="B348" t="str">
        <f>IFERROR(VLOOKUP($A348,'[5]Study Budget Mapping '!$O$2:$P$532,2,0),"TBA")</f>
        <v>TBA</v>
      </c>
      <c r="D348" s="2" t="s">
        <v>98</v>
      </c>
      <c r="E348" s="2" t="s">
        <v>14</v>
      </c>
      <c r="F348" s="3">
        <v>428000</v>
      </c>
      <c r="G348" s="3">
        <v>360000</v>
      </c>
      <c r="H348" s="4"/>
      <c r="I348" s="4"/>
      <c r="J348" s="4"/>
      <c r="K348" s="4"/>
      <c r="L348" s="4"/>
      <c r="M348" s="4"/>
    </row>
    <row r="349" spans="1:13" ht="15" customHeight="1" x14ac:dyDescent="0.35">
      <c r="A349" t="str">
        <f t="shared" si="5"/>
        <v>P612PN00C1811</v>
      </c>
      <c r="B349" t="str">
        <f>IFERROR(VLOOKUP($A349,'[5]Study Budget Mapping '!$O$2:$P$532,2,0),"TBA")</f>
        <v>TBA</v>
      </c>
      <c r="D349" s="2" t="s">
        <v>98</v>
      </c>
      <c r="E349" s="2" t="s">
        <v>19</v>
      </c>
      <c r="F349" s="3">
        <v>1092000</v>
      </c>
      <c r="G349" s="3">
        <v>1124000</v>
      </c>
      <c r="H349" s="4"/>
      <c r="I349" s="4"/>
      <c r="J349" s="4"/>
      <c r="K349" s="4"/>
      <c r="L349" s="4"/>
      <c r="M349" s="4"/>
    </row>
    <row r="350" spans="1:13" ht="15" customHeight="1" x14ac:dyDescent="0.35">
      <c r="A350" t="str">
        <f t="shared" si="5"/>
        <v>P612PN00C1811</v>
      </c>
      <c r="B350" t="str">
        <f>IFERROR(VLOOKUP($A350,'[5]Study Budget Mapping '!$O$2:$P$532,2,0),"TBA")</f>
        <v>TBA</v>
      </c>
      <c r="D350" s="2" t="s">
        <v>98</v>
      </c>
      <c r="E350" s="2" t="s">
        <v>20</v>
      </c>
      <c r="F350" s="3">
        <v>673000</v>
      </c>
      <c r="G350" s="3">
        <v>630000</v>
      </c>
      <c r="H350" s="4"/>
      <c r="I350" s="4"/>
      <c r="J350" s="4"/>
      <c r="K350" s="4"/>
      <c r="L350" s="4"/>
      <c r="M350" s="4"/>
    </row>
    <row r="351" spans="1:13" ht="15" customHeight="1" x14ac:dyDescent="0.35">
      <c r="A351" t="str">
        <f t="shared" si="5"/>
        <v>P612PN00C1811</v>
      </c>
      <c r="B351" t="str">
        <f>IFERROR(VLOOKUP($A351,'[5]Study Budget Mapping '!$O$2:$P$532,2,0),"TBA")</f>
        <v>TBA</v>
      </c>
      <c r="D351" s="2" t="s">
        <v>98</v>
      </c>
      <c r="E351" s="2" t="s">
        <v>15</v>
      </c>
      <c r="F351" s="3">
        <v>5211000</v>
      </c>
      <c r="G351" s="3">
        <v>5747000</v>
      </c>
      <c r="H351" s="4"/>
      <c r="I351" s="4"/>
      <c r="J351" s="4"/>
      <c r="K351" s="4"/>
      <c r="L351" s="4"/>
      <c r="M351" s="4"/>
    </row>
    <row r="352" spans="1:13" ht="15" customHeight="1" x14ac:dyDescent="0.35">
      <c r="A352" t="str">
        <f t="shared" si="5"/>
        <v>P612PN00C1811</v>
      </c>
      <c r="B352" t="str">
        <f>IFERROR(VLOOKUP($A352,'[5]Study Budget Mapping '!$O$2:$P$532,2,0),"TBA")</f>
        <v>TBA</v>
      </c>
      <c r="D352" s="2" t="s">
        <v>98</v>
      </c>
      <c r="E352" s="2" t="s">
        <v>16</v>
      </c>
      <c r="F352" s="3">
        <v>631000</v>
      </c>
      <c r="G352" s="3">
        <v>669000</v>
      </c>
      <c r="H352" s="4"/>
      <c r="I352" s="4"/>
      <c r="J352" s="4"/>
      <c r="K352" s="4"/>
      <c r="L352" s="4"/>
      <c r="M352" s="4"/>
    </row>
    <row r="353" spans="1:13" ht="15" customHeight="1" x14ac:dyDescent="0.35">
      <c r="A353" t="str">
        <f t="shared" si="5"/>
        <v>P612PN00C1811</v>
      </c>
      <c r="B353" t="str">
        <f>IFERROR(VLOOKUP($A353,'[5]Study Budget Mapping '!$O$2:$P$532,2,0),"TBA")</f>
        <v>TBA</v>
      </c>
      <c r="D353" s="2" t="s">
        <v>98</v>
      </c>
      <c r="E353" s="2" t="s">
        <v>17</v>
      </c>
      <c r="F353" s="3">
        <v>250000</v>
      </c>
      <c r="G353" s="3">
        <v>269000</v>
      </c>
      <c r="H353" s="4"/>
      <c r="I353" s="4"/>
      <c r="J353" s="4"/>
      <c r="K353" s="4"/>
      <c r="L353" s="4"/>
      <c r="M353" s="4"/>
    </row>
    <row r="354" spans="1:13" ht="15" customHeight="1" x14ac:dyDescent="0.35">
      <c r="A354" t="str">
        <f t="shared" si="5"/>
        <v>P612PN00C1811</v>
      </c>
      <c r="B354" t="str">
        <f>IFERROR(VLOOKUP($A354,'[5]Study Budget Mapping '!$O$2:$P$532,2,0),"TBA")</f>
        <v>TBA</v>
      </c>
      <c r="D354" s="2" t="s">
        <v>98</v>
      </c>
      <c r="E354" s="2" t="s">
        <v>24</v>
      </c>
      <c r="F354" s="3">
        <v>257000</v>
      </c>
      <c r="G354" s="3">
        <v>257000</v>
      </c>
      <c r="H354" s="4"/>
      <c r="I354" s="4"/>
      <c r="J354" s="4"/>
      <c r="K354" s="4"/>
      <c r="L354" s="4"/>
      <c r="M354" s="4"/>
    </row>
    <row r="355" spans="1:13" ht="15" customHeight="1" x14ac:dyDescent="0.35">
      <c r="A355" t="str">
        <f t="shared" si="5"/>
        <v>P612PN01C2911</v>
      </c>
      <c r="B355" t="str">
        <f>IFERROR(VLOOKUP($A355,'[5]Study Budget Mapping '!$O$2:$P$532,2,0),"TBA")</f>
        <v>TBA</v>
      </c>
      <c r="D355" s="2" t="s">
        <v>99</v>
      </c>
      <c r="E355" s="2" t="s">
        <v>13</v>
      </c>
      <c r="F355" s="3">
        <v>902000</v>
      </c>
      <c r="G355" s="3">
        <v>902000</v>
      </c>
      <c r="H355" s="4"/>
      <c r="I355" s="4"/>
      <c r="J355" s="4"/>
      <c r="K355" s="4"/>
      <c r="L355" s="4"/>
      <c r="M355" s="4"/>
    </row>
    <row r="356" spans="1:13" ht="15" customHeight="1" x14ac:dyDescent="0.35">
      <c r="A356" t="str">
        <f t="shared" si="5"/>
        <v>P612PN01C2911</v>
      </c>
      <c r="B356" t="str">
        <f>IFERROR(VLOOKUP($A356,'[5]Study Budget Mapping '!$O$2:$P$532,2,0),"TBA")</f>
        <v>TBA</v>
      </c>
      <c r="D356" s="2" t="s">
        <v>99</v>
      </c>
      <c r="E356" s="2" t="s">
        <v>14</v>
      </c>
      <c r="F356" s="3">
        <v>271000</v>
      </c>
      <c r="G356" s="3">
        <v>271000</v>
      </c>
      <c r="H356" s="4"/>
      <c r="I356" s="4"/>
      <c r="J356" s="4"/>
      <c r="K356" s="4"/>
      <c r="L356" s="4"/>
      <c r="M356" s="4"/>
    </row>
    <row r="357" spans="1:13" ht="15" customHeight="1" x14ac:dyDescent="0.35">
      <c r="A357" t="str">
        <f t="shared" si="5"/>
        <v>P612PN01C2911</v>
      </c>
      <c r="B357" t="str">
        <f>IFERROR(VLOOKUP($A357,'[5]Study Budget Mapping '!$O$2:$P$532,2,0),"TBA")</f>
        <v>TBA</v>
      </c>
      <c r="D357" s="2" t="s">
        <v>99</v>
      </c>
      <c r="E357" s="2" t="s">
        <v>19</v>
      </c>
      <c r="F357" s="3">
        <v>264000</v>
      </c>
      <c r="G357" s="3">
        <v>264000</v>
      </c>
      <c r="H357" s="4"/>
      <c r="I357" s="4"/>
      <c r="J357" s="4"/>
      <c r="K357" s="4"/>
      <c r="L357" s="4"/>
      <c r="M357" s="4"/>
    </row>
    <row r="358" spans="1:13" ht="15" customHeight="1" x14ac:dyDescent="0.35">
      <c r="A358" t="str">
        <f t="shared" si="5"/>
        <v>P612PN01C2911</v>
      </c>
      <c r="B358" t="str">
        <f>IFERROR(VLOOKUP($A358,'[5]Study Budget Mapping '!$O$2:$P$532,2,0),"TBA")</f>
        <v>TBA</v>
      </c>
      <c r="D358" s="2" t="s">
        <v>99</v>
      </c>
      <c r="E358" s="2" t="s">
        <v>15</v>
      </c>
      <c r="F358" s="3">
        <v>2047000</v>
      </c>
      <c r="G358" s="3">
        <v>2047000</v>
      </c>
      <c r="H358" s="4"/>
      <c r="I358" s="4"/>
      <c r="J358" s="4"/>
      <c r="K358" s="4"/>
      <c r="L358" s="4"/>
      <c r="M358" s="4"/>
    </row>
    <row r="359" spans="1:13" ht="15" customHeight="1" x14ac:dyDescent="0.35">
      <c r="A359" t="str">
        <f t="shared" si="5"/>
        <v>P612PN01C2911</v>
      </c>
      <c r="B359" t="str">
        <f>IFERROR(VLOOKUP($A359,'[5]Study Budget Mapping '!$O$2:$P$532,2,0),"TBA")</f>
        <v>TBA</v>
      </c>
      <c r="D359" s="2" t="s">
        <v>99</v>
      </c>
      <c r="E359" s="2" t="s">
        <v>16</v>
      </c>
      <c r="F359" s="3">
        <v>303000</v>
      </c>
      <c r="G359" s="3">
        <v>303000</v>
      </c>
      <c r="H359" s="4"/>
      <c r="I359" s="4"/>
      <c r="J359" s="4"/>
      <c r="K359" s="4"/>
      <c r="L359" s="4"/>
      <c r="M359" s="4"/>
    </row>
    <row r="360" spans="1:13" ht="15" customHeight="1" x14ac:dyDescent="0.35">
      <c r="A360" t="str">
        <f t="shared" si="5"/>
        <v>P612PN01C2931</v>
      </c>
      <c r="B360" t="str">
        <f>IFERROR(VLOOKUP($A360,'[5]Study Budget Mapping '!$O$2:$P$532,2,0),"TBA")</f>
        <v>TBA</v>
      </c>
      <c r="D360" s="2" t="s">
        <v>100</v>
      </c>
      <c r="E360" s="2" t="s">
        <v>23</v>
      </c>
      <c r="F360" s="3">
        <v>5000000</v>
      </c>
      <c r="G360" s="3">
        <v>5000000</v>
      </c>
      <c r="H360" s="4"/>
      <c r="I360" s="4"/>
      <c r="J360" s="4"/>
      <c r="K360" s="4"/>
      <c r="L360" s="4"/>
      <c r="M360" s="4"/>
    </row>
    <row r="361" spans="1:13" ht="15" customHeight="1" x14ac:dyDescent="0.35">
      <c r="A361" t="str">
        <f t="shared" si="5"/>
        <v>P612PN01C3734</v>
      </c>
      <c r="B361" t="str">
        <f>IFERROR(VLOOKUP($A361,'[5]Study Budget Mapping '!$O$2:$P$532,2,0),"TBA")</f>
        <v>TBA</v>
      </c>
      <c r="D361" s="2" t="s">
        <v>101</v>
      </c>
      <c r="E361" s="2" t="s">
        <v>13</v>
      </c>
      <c r="F361" s="3">
        <v>100556544</v>
      </c>
      <c r="G361" s="3">
        <v>117610000</v>
      </c>
      <c r="H361" s="4"/>
      <c r="I361" s="4"/>
      <c r="J361" s="4"/>
      <c r="K361" s="4"/>
      <c r="L361" s="4"/>
      <c r="M361" s="4"/>
    </row>
    <row r="362" spans="1:13" ht="15" customHeight="1" x14ac:dyDescent="0.35">
      <c r="A362" t="str">
        <f t="shared" si="5"/>
        <v>P612PN01C3734</v>
      </c>
      <c r="B362" t="str">
        <f>IFERROR(VLOOKUP($A362,'[5]Study Budget Mapping '!$O$2:$P$532,2,0),"TBA")</f>
        <v>TBA</v>
      </c>
      <c r="D362" s="2" t="s">
        <v>101</v>
      </c>
      <c r="E362" s="2" t="s">
        <v>14</v>
      </c>
      <c r="F362" s="3">
        <v>8988687</v>
      </c>
      <c r="G362" s="3">
        <v>12190000</v>
      </c>
      <c r="H362" s="4"/>
      <c r="I362" s="4"/>
      <c r="J362" s="4"/>
      <c r="K362" s="4"/>
      <c r="L362" s="4"/>
      <c r="M362" s="4"/>
    </row>
    <row r="363" spans="1:13" ht="15" customHeight="1" x14ac:dyDescent="0.35">
      <c r="A363" t="str">
        <f t="shared" si="5"/>
        <v>P612PN01C3734</v>
      </c>
      <c r="B363" t="str">
        <f>IFERROR(VLOOKUP($A363,'[5]Study Budget Mapping '!$O$2:$P$532,2,0),"TBA")</f>
        <v>TBA</v>
      </c>
      <c r="D363" s="2" t="s">
        <v>101</v>
      </c>
      <c r="E363" s="2" t="s">
        <v>19</v>
      </c>
      <c r="F363" s="3">
        <v>26197908</v>
      </c>
      <c r="G363" s="3">
        <v>26510000</v>
      </c>
      <c r="H363" s="4"/>
      <c r="I363" s="4"/>
      <c r="J363" s="4"/>
      <c r="K363" s="4"/>
      <c r="L363" s="4"/>
      <c r="M363" s="4"/>
    </row>
    <row r="364" spans="1:13" ht="15" customHeight="1" x14ac:dyDescent="0.35">
      <c r="A364" t="str">
        <f t="shared" si="5"/>
        <v>P612PN01C3734</v>
      </c>
      <c r="B364" t="str">
        <f>IFERROR(VLOOKUP($A364,'[5]Study Budget Mapping '!$O$2:$P$532,2,0),"TBA")</f>
        <v>TBA</v>
      </c>
      <c r="D364" s="2" t="s">
        <v>101</v>
      </c>
      <c r="E364" s="2" t="s">
        <v>15</v>
      </c>
      <c r="F364" s="3">
        <v>46432853</v>
      </c>
      <c r="G364" s="3">
        <v>58370000</v>
      </c>
      <c r="H364" s="4"/>
      <c r="I364" s="4"/>
      <c r="J364" s="4"/>
      <c r="K364" s="4"/>
      <c r="L364" s="4"/>
      <c r="M364" s="4"/>
    </row>
    <row r="365" spans="1:13" ht="15" customHeight="1" x14ac:dyDescent="0.35">
      <c r="A365" t="str">
        <f t="shared" si="5"/>
        <v>P612PN01C3734</v>
      </c>
      <c r="B365" t="str">
        <f>IFERROR(VLOOKUP($A365,'[5]Study Budget Mapping '!$O$2:$P$532,2,0),"TBA")</f>
        <v>TBA</v>
      </c>
      <c r="D365" s="2" t="s">
        <v>101</v>
      </c>
      <c r="E365" s="2" t="s">
        <v>16</v>
      </c>
      <c r="F365" s="3">
        <v>6306617.5700000003</v>
      </c>
      <c r="G365" s="3">
        <v>8620000</v>
      </c>
      <c r="H365" s="4"/>
      <c r="I365" s="4"/>
      <c r="J365" s="4"/>
      <c r="K365" s="4"/>
      <c r="L365" s="4"/>
      <c r="M365" s="4"/>
    </row>
    <row r="366" spans="1:13" ht="15" customHeight="1" x14ac:dyDescent="0.35">
      <c r="A366" t="str">
        <f t="shared" si="5"/>
        <v>P612PN01C3734</v>
      </c>
      <c r="B366" t="str">
        <f>IFERROR(VLOOKUP($A366,'[5]Study Budget Mapping '!$O$2:$P$532,2,0),"TBA")</f>
        <v>TBA</v>
      </c>
      <c r="D366" s="2" t="s">
        <v>101</v>
      </c>
      <c r="E366" s="2" t="s">
        <v>17</v>
      </c>
      <c r="F366" s="3">
        <v>480415</v>
      </c>
      <c r="G366" s="3">
        <v>910000</v>
      </c>
      <c r="H366" s="4"/>
      <c r="I366" s="4"/>
      <c r="J366" s="4"/>
      <c r="K366" s="4"/>
      <c r="L366" s="4"/>
      <c r="M366" s="4"/>
    </row>
    <row r="367" spans="1:13" ht="15" customHeight="1" x14ac:dyDescent="0.35">
      <c r="A367" t="str">
        <f t="shared" si="5"/>
        <v>P612PN01C3734</v>
      </c>
      <c r="B367" t="str">
        <f>IFERROR(VLOOKUP($A367,'[5]Study Budget Mapping '!$O$2:$P$532,2,0),"TBA")</f>
        <v>TBA</v>
      </c>
      <c r="D367" s="2" t="s">
        <v>101</v>
      </c>
      <c r="E367" s="2" t="s">
        <v>23</v>
      </c>
      <c r="F367" s="3">
        <v>2000000</v>
      </c>
      <c r="G367" s="3">
        <v>1720000</v>
      </c>
      <c r="H367" s="4"/>
      <c r="I367" s="4"/>
      <c r="J367" s="4"/>
      <c r="K367" s="4"/>
      <c r="L367" s="4"/>
      <c r="M367" s="4"/>
    </row>
    <row r="368" spans="1:13" ht="15" customHeight="1" x14ac:dyDescent="0.35">
      <c r="A368" t="str">
        <f t="shared" si="5"/>
        <v>P612PN01C3734</v>
      </c>
      <c r="B368" t="str">
        <f>IFERROR(VLOOKUP($A368,'[5]Study Budget Mapping '!$O$2:$P$532,2,0),"TBA")</f>
        <v>TBA</v>
      </c>
      <c r="D368" s="2" t="s">
        <v>101</v>
      </c>
      <c r="E368" s="2" t="s">
        <v>24</v>
      </c>
      <c r="F368" s="3">
        <v>7919520</v>
      </c>
      <c r="G368" s="3">
        <v>11160000</v>
      </c>
      <c r="H368" s="4"/>
      <c r="I368" s="4"/>
      <c r="J368" s="4"/>
      <c r="K368" s="4"/>
      <c r="L368" s="4"/>
      <c r="M368" s="4"/>
    </row>
    <row r="369" spans="1:13" ht="15" customHeight="1" x14ac:dyDescent="0.35">
      <c r="A369" t="str">
        <f t="shared" si="5"/>
        <v>P612PN01C3734</v>
      </c>
      <c r="B369" t="str">
        <f>IFERROR(VLOOKUP($A369,'[5]Study Budget Mapping '!$O$2:$P$532,2,0),"TBA")</f>
        <v>TBA</v>
      </c>
      <c r="D369" s="2" t="s">
        <v>101</v>
      </c>
      <c r="E369" s="2" t="s">
        <v>32</v>
      </c>
      <c r="F369" s="3">
        <v>0</v>
      </c>
      <c r="G369" s="3">
        <v>280000</v>
      </c>
      <c r="H369" s="4"/>
      <c r="I369" s="4"/>
      <c r="J369" s="4"/>
      <c r="K369" s="4"/>
      <c r="L369" s="4"/>
      <c r="M369" s="4"/>
    </row>
    <row r="370" spans="1:13" ht="15" customHeight="1" x14ac:dyDescent="0.35">
      <c r="A370" t="str">
        <f t="shared" si="5"/>
        <v>P612PN01C3832</v>
      </c>
      <c r="B370" t="str">
        <f>IFERROR(VLOOKUP($A370,'[5]Study Budget Mapping '!$O$2:$P$532,2,0),"TBA")</f>
        <v>TBA</v>
      </c>
      <c r="D370" s="2" t="s">
        <v>102</v>
      </c>
      <c r="E370" s="2" t="s">
        <v>13</v>
      </c>
      <c r="F370" s="3">
        <v>62773957</v>
      </c>
      <c r="G370" s="3">
        <v>52350000</v>
      </c>
      <c r="H370" s="4"/>
      <c r="I370" s="4"/>
      <c r="J370" s="4"/>
      <c r="K370" s="4"/>
      <c r="L370" s="4"/>
      <c r="M370" s="4"/>
    </row>
    <row r="371" spans="1:13" ht="15" customHeight="1" x14ac:dyDescent="0.35">
      <c r="A371" t="str">
        <f t="shared" si="5"/>
        <v>P612PN01C3832</v>
      </c>
      <c r="B371" t="str">
        <f>IFERROR(VLOOKUP($A371,'[5]Study Budget Mapping '!$O$2:$P$532,2,0),"TBA")</f>
        <v>TBA</v>
      </c>
      <c r="D371" s="2" t="s">
        <v>102</v>
      </c>
      <c r="E371" s="2" t="s">
        <v>14</v>
      </c>
      <c r="F371" s="3">
        <v>5094976</v>
      </c>
      <c r="G371" s="3">
        <v>5030000</v>
      </c>
      <c r="H371" s="4"/>
      <c r="I371" s="4"/>
      <c r="J371" s="4"/>
      <c r="K371" s="4"/>
      <c r="L371" s="4"/>
      <c r="M371" s="4"/>
    </row>
    <row r="372" spans="1:13" ht="15" customHeight="1" x14ac:dyDescent="0.35">
      <c r="A372" t="str">
        <f t="shared" si="5"/>
        <v>P612PN01C3832</v>
      </c>
      <c r="B372" t="str">
        <f>IFERROR(VLOOKUP($A372,'[5]Study Budget Mapping '!$O$2:$P$532,2,0),"TBA")</f>
        <v>TBA</v>
      </c>
      <c r="D372" s="2" t="s">
        <v>102</v>
      </c>
      <c r="E372" s="2" t="s">
        <v>19</v>
      </c>
      <c r="F372" s="3">
        <v>7102814</v>
      </c>
      <c r="G372" s="3">
        <v>7110000</v>
      </c>
      <c r="H372" s="4"/>
      <c r="I372" s="4"/>
      <c r="J372" s="4"/>
      <c r="K372" s="4"/>
      <c r="L372" s="4"/>
      <c r="M372" s="4"/>
    </row>
    <row r="373" spans="1:13" ht="15" customHeight="1" x14ac:dyDescent="0.35">
      <c r="A373" t="str">
        <f t="shared" si="5"/>
        <v>P612PN01C3832</v>
      </c>
      <c r="B373" t="str">
        <f>IFERROR(VLOOKUP($A373,'[5]Study Budget Mapping '!$O$2:$P$532,2,0),"TBA")</f>
        <v>TBA</v>
      </c>
      <c r="D373" s="2" t="s">
        <v>102</v>
      </c>
      <c r="E373" s="2" t="s">
        <v>20</v>
      </c>
      <c r="F373" s="3">
        <v>11866417</v>
      </c>
      <c r="G373" s="3">
        <v>6520000</v>
      </c>
      <c r="H373" s="4"/>
      <c r="I373" s="4"/>
      <c r="J373" s="4"/>
      <c r="K373" s="4"/>
      <c r="L373" s="4"/>
      <c r="M373" s="4"/>
    </row>
    <row r="374" spans="1:13" ht="15" customHeight="1" x14ac:dyDescent="0.35">
      <c r="A374" t="str">
        <f t="shared" si="5"/>
        <v>P612PN01C3832</v>
      </c>
      <c r="B374" t="str">
        <f>IFERROR(VLOOKUP($A374,'[5]Study Budget Mapping '!$O$2:$P$532,2,0),"TBA")</f>
        <v>TBA</v>
      </c>
      <c r="D374" s="2" t="s">
        <v>102</v>
      </c>
      <c r="E374" s="2" t="s">
        <v>15</v>
      </c>
      <c r="F374" s="3">
        <v>31777755</v>
      </c>
      <c r="G374" s="3">
        <v>28750000</v>
      </c>
      <c r="H374" s="4"/>
      <c r="I374" s="4"/>
      <c r="J374" s="4"/>
      <c r="K374" s="4"/>
      <c r="L374" s="4"/>
      <c r="M374" s="4"/>
    </row>
    <row r="375" spans="1:13" ht="15" customHeight="1" x14ac:dyDescent="0.35">
      <c r="A375" t="str">
        <f t="shared" si="5"/>
        <v>P612PN01C3832</v>
      </c>
      <c r="B375" t="str">
        <f>IFERROR(VLOOKUP($A375,'[5]Study Budget Mapping '!$O$2:$P$532,2,0),"TBA")</f>
        <v>TBA</v>
      </c>
      <c r="D375" s="2" t="s">
        <v>102</v>
      </c>
      <c r="E375" s="2" t="s">
        <v>16</v>
      </c>
      <c r="F375" s="3">
        <v>3932190</v>
      </c>
      <c r="G375" s="3">
        <v>4880000</v>
      </c>
      <c r="H375" s="4"/>
      <c r="I375" s="4"/>
      <c r="J375" s="4"/>
      <c r="K375" s="4"/>
      <c r="L375" s="4"/>
      <c r="M375" s="4"/>
    </row>
    <row r="376" spans="1:13" ht="15" customHeight="1" x14ac:dyDescent="0.35">
      <c r="A376" t="str">
        <f t="shared" si="5"/>
        <v>P612PN01C3832</v>
      </c>
      <c r="B376" t="str">
        <f>IFERROR(VLOOKUP($A376,'[5]Study Budget Mapping '!$O$2:$P$532,2,0),"TBA")</f>
        <v>TBA</v>
      </c>
      <c r="D376" s="2" t="s">
        <v>102</v>
      </c>
      <c r="E376" s="2" t="s">
        <v>17</v>
      </c>
      <c r="F376" s="3">
        <v>439150</v>
      </c>
      <c r="G376" s="3">
        <v>580000</v>
      </c>
      <c r="H376" s="4"/>
      <c r="I376" s="4"/>
      <c r="J376" s="4"/>
      <c r="K376" s="4"/>
      <c r="L376" s="4"/>
      <c r="M376" s="4"/>
    </row>
    <row r="377" spans="1:13" ht="15" customHeight="1" x14ac:dyDescent="0.35">
      <c r="A377" t="str">
        <f t="shared" si="5"/>
        <v>P612PN01C3832</v>
      </c>
      <c r="B377" t="str">
        <f>IFERROR(VLOOKUP($A377,'[5]Study Budget Mapping '!$O$2:$P$532,2,0),"TBA")</f>
        <v>TBA</v>
      </c>
      <c r="D377" s="2" t="s">
        <v>102</v>
      </c>
      <c r="E377" s="2" t="s">
        <v>23</v>
      </c>
      <c r="F377" s="3">
        <v>6249000</v>
      </c>
      <c r="G377" s="3">
        <v>1760000</v>
      </c>
      <c r="H377" s="4"/>
      <c r="I377" s="4"/>
      <c r="J377" s="4"/>
      <c r="K377" s="4"/>
      <c r="L377" s="4"/>
      <c r="M377" s="4"/>
    </row>
    <row r="378" spans="1:13" ht="15" customHeight="1" x14ac:dyDescent="0.35">
      <c r="A378" t="str">
        <f t="shared" si="5"/>
        <v>P612PN01C3832</v>
      </c>
      <c r="B378" t="str">
        <f>IFERROR(VLOOKUP($A378,'[5]Study Budget Mapping '!$O$2:$P$532,2,0),"TBA")</f>
        <v>TBA</v>
      </c>
      <c r="D378" s="2" t="s">
        <v>102</v>
      </c>
      <c r="E378" s="2" t="s">
        <v>24</v>
      </c>
      <c r="F378" s="3">
        <v>7522438</v>
      </c>
      <c r="G378" s="3">
        <v>4240000</v>
      </c>
      <c r="H378" s="4"/>
      <c r="I378" s="4"/>
      <c r="J378" s="4"/>
      <c r="K378" s="4"/>
      <c r="L378" s="4"/>
      <c r="M378" s="4"/>
    </row>
    <row r="379" spans="1:13" ht="15" customHeight="1" x14ac:dyDescent="0.35">
      <c r="A379" t="str">
        <f t="shared" si="5"/>
        <v>P612PN01C3832</v>
      </c>
      <c r="B379" t="str">
        <f>IFERROR(VLOOKUP($A379,'[5]Study Budget Mapping '!$O$2:$P$532,2,0),"TBA")</f>
        <v>TBA</v>
      </c>
      <c r="D379" s="2" t="s">
        <v>102</v>
      </c>
      <c r="E379" s="2" t="s">
        <v>32</v>
      </c>
      <c r="F379" s="3">
        <v>0</v>
      </c>
      <c r="G379" s="3">
        <v>300000</v>
      </c>
      <c r="H379" s="4"/>
      <c r="I379" s="4"/>
      <c r="J379" s="4"/>
      <c r="K379" s="4"/>
      <c r="L379" s="4"/>
      <c r="M379" s="4"/>
    </row>
    <row r="380" spans="1:13" ht="15" customHeight="1" x14ac:dyDescent="0.35">
      <c r="A380" t="str">
        <f t="shared" si="5"/>
        <v>P612PN01C3932</v>
      </c>
      <c r="B380" t="str">
        <f>IFERROR(VLOOKUP($A380,'[5]Study Budget Mapping '!$O$2:$P$532,2,0),"TBA")</f>
        <v>TBA</v>
      </c>
      <c r="D380" s="2" t="s">
        <v>103</v>
      </c>
      <c r="E380" s="2" t="s">
        <v>13</v>
      </c>
      <c r="F380" s="3">
        <v>173007175.13999999</v>
      </c>
      <c r="G380" s="3">
        <v>171090000</v>
      </c>
      <c r="H380" s="4"/>
      <c r="I380" s="4"/>
      <c r="J380" s="4"/>
      <c r="K380" s="4"/>
      <c r="L380" s="4"/>
      <c r="M380" s="4"/>
    </row>
    <row r="381" spans="1:13" ht="15" customHeight="1" x14ac:dyDescent="0.35">
      <c r="A381" t="str">
        <f t="shared" si="5"/>
        <v>P612PN01C3932</v>
      </c>
      <c r="B381" t="str">
        <f>IFERROR(VLOOKUP($A381,'[5]Study Budget Mapping '!$O$2:$P$532,2,0),"TBA")</f>
        <v>TBA</v>
      </c>
      <c r="D381" s="2" t="s">
        <v>103</v>
      </c>
      <c r="E381" s="2" t="s">
        <v>14</v>
      </c>
      <c r="F381" s="3">
        <v>9873052</v>
      </c>
      <c r="G381" s="3">
        <v>14530000</v>
      </c>
      <c r="H381" s="4"/>
      <c r="I381" s="4"/>
      <c r="J381" s="4"/>
      <c r="K381" s="4"/>
      <c r="L381" s="4"/>
      <c r="M381" s="4"/>
    </row>
    <row r="382" spans="1:13" ht="15" customHeight="1" x14ac:dyDescent="0.35">
      <c r="A382" t="str">
        <f t="shared" si="5"/>
        <v>P612PN01C3932</v>
      </c>
      <c r="B382" t="str">
        <f>IFERROR(VLOOKUP($A382,'[5]Study Budget Mapping '!$O$2:$P$532,2,0),"TBA")</f>
        <v>TBA</v>
      </c>
      <c r="D382" s="2" t="s">
        <v>103</v>
      </c>
      <c r="E382" s="2" t="s">
        <v>19</v>
      </c>
      <c r="F382" s="3">
        <v>16945955</v>
      </c>
      <c r="G382" s="3">
        <v>38050000</v>
      </c>
      <c r="H382" s="4"/>
      <c r="I382" s="4"/>
      <c r="J382" s="4"/>
      <c r="K382" s="4"/>
      <c r="L382" s="4"/>
      <c r="M382" s="4"/>
    </row>
    <row r="383" spans="1:13" ht="15" customHeight="1" x14ac:dyDescent="0.35">
      <c r="A383" t="str">
        <f t="shared" si="5"/>
        <v>P612PN01C3932</v>
      </c>
      <c r="B383" t="str">
        <f>IFERROR(VLOOKUP($A383,'[5]Study Budget Mapping '!$O$2:$P$532,2,0),"TBA")</f>
        <v>TBA</v>
      </c>
      <c r="D383" s="2" t="s">
        <v>103</v>
      </c>
      <c r="E383" s="2" t="s">
        <v>15</v>
      </c>
      <c r="F383" s="3">
        <v>127203918</v>
      </c>
      <c r="G383" s="3">
        <v>132715000</v>
      </c>
      <c r="H383" s="4"/>
      <c r="I383" s="4"/>
      <c r="J383" s="4"/>
      <c r="K383" s="4"/>
      <c r="L383" s="4"/>
      <c r="M383" s="4"/>
    </row>
    <row r="384" spans="1:13" ht="15" customHeight="1" x14ac:dyDescent="0.35">
      <c r="A384" t="str">
        <f t="shared" si="5"/>
        <v>P612PN01C3932</v>
      </c>
      <c r="B384" t="str">
        <f>IFERROR(VLOOKUP($A384,'[5]Study Budget Mapping '!$O$2:$P$532,2,0),"TBA")</f>
        <v>TBA</v>
      </c>
      <c r="D384" s="2" t="s">
        <v>103</v>
      </c>
      <c r="E384" s="2" t="s">
        <v>16</v>
      </c>
      <c r="F384" s="3">
        <v>6655125</v>
      </c>
      <c r="G384" s="3">
        <v>13610000</v>
      </c>
      <c r="H384" s="4"/>
      <c r="I384" s="4"/>
      <c r="J384" s="4"/>
      <c r="K384" s="4"/>
      <c r="L384" s="4"/>
      <c r="M384" s="4"/>
    </row>
    <row r="385" spans="1:13" ht="15" customHeight="1" x14ac:dyDescent="0.35">
      <c r="A385" t="str">
        <f t="shared" si="5"/>
        <v>P612PN01C3932</v>
      </c>
      <c r="B385" t="str">
        <f>IFERROR(VLOOKUP($A385,'[5]Study Budget Mapping '!$O$2:$P$532,2,0),"TBA")</f>
        <v>TBA</v>
      </c>
      <c r="D385" s="2" t="s">
        <v>103</v>
      </c>
      <c r="E385" s="2" t="s">
        <v>17</v>
      </c>
      <c r="F385" s="3">
        <v>669343</v>
      </c>
      <c r="G385" s="3">
        <v>1870000</v>
      </c>
      <c r="H385" s="4"/>
      <c r="I385" s="4"/>
      <c r="J385" s="4"/>
      <c r="K385" s="4"/>
      <c r="L385" s="4"/>
      <c r="M385" s="4"/>
    </row>
    <row r="386" spans="1:13" ht="15" customHeight="1" x14ac:dyDescent="0.35">
      <c r="A386" t="str">
        <f t="shared" si="5"/>
        <v>P612PN01C3932</v>
      </c>
      <c r="B386" t="str">
        <f>IFERROR(VLOOKUP($A386,'[5]Study Budget Mapping '!$O$2:$P$532,2,0),"TBA")</f>
        <v>TBA</v>
      </c>
      <c r="D386" s="2" t="s">
        <v>103</v>
      </c>
      <c r="E386" s="2" t="s">
        <v>24</v>
      </c>
      <c r="F386" s="3">
        <v>6567088</v>
      </c>
      <c r="G386" s="3">
        <v>7960000</v>
      </c>
      <c r="H386" s="4"/>
      <c r="I386" s="4"/>
      <c r="J386" s="4"/>
      <c r="K386" s="4"/>
      <c r="L386" s="4"/>
      <c r="M386" s="4"/>
    </row>
    <row r="387" spans="1:13" ht="15" customHeight="1" x14ac:dyDescent="0.35">
      <c r="A387" t="str">
        <f t="shared" ref="A387:A450" si="6">TRIM(_xlfn.TEXTBEFORE(D387,"-",1))</f>
        <v>P612PN01C3932</v>
      </c>
      <c r="B387" t="str">
        <f>IFERROR(VLOOKUP($A387,'[5]Study Budget Mapping '!$O$2:$P$532,2,0),"TBA")</f>
        <v>TBA</v>
      </c>
      <c r="D387" s="2" t="s">
        <v>103</v>
      </c>
      <c r="E387" s="2" t="s">
        <v>32</v>
      </c>
      <c r="F387" s="3">
        <v>0</v>
      </c>
      <c r="G387" s="3">
        <v>920000</v>
      </c>
      <c r="H387" s="4"/>
      <c r="I387" s="4"/>
      <c r="J387" s="4"/>
      <c r="K387" s="4"/>
      <c r="L387" s="4"/>
      <c r="M387" s="4"/>
    </row>
    <row r="388" spans="1:13" ht="15" customHeight="1" x14ac:dyDescent="0.35">
      <c r="A388" t="str">
        <f t="shared" si="6"/>
        <v>P612PN01C3933</v>
      </c>
      <c r="B388" t="str">
        <f>IFERROR(VLOOKUP($A388,'[5]Study Budget Mapping '!$O$2:$P$532,2,0),"TBA")</f>
        <v>TBA</v>
      </c>
      <c r="D388" s="2" t="s">
        <v>104</v>
      </c>
      <c r="E388" s="2" t="s">
        <v>13</v>
      </c>
      <c r="F388" s="3">
        <v>5998000</v>
      </c>
      <c r="G388" s="3">
        <v>8750000</v>
      </c>
      <c r="H388" s="4"/>
      <c r="I388" s="4"/>
      <c r="J388" s="4"/>
      <c r="K388" s="4"/>
      <c r="L388" s="4"/>
      <c r="M388" s="4"/>
    </row>
    <row r="389" spans="1:13" ht="15" customHeight="1" x14ac:dyDescent="0.35">
      <c r="A389" t="str">
        <f t="shared" si="6"/>
        <v>P612PN01C3933</v>
      </c>
      <c r="B389" t="str">
        <f>IFERROR(VLOOKUP($A389,'[5]Study Budget Mapping '!$O$2:$P$532,2,0),"TBA")</f>
        <v>TBA</v>
      </c>
      <c r="D389" s="2" t="s">
        <v>104</v>
      </c>
      <c r="E389" s="2" t="s">
        <v>14</v>
      </c>
      <c r="F389" s="3">
        <v>624000</v>
      </c>
      <c r="G389" s="3">
        <v>810000</v>
      </c>
      <c r="H389" s="4"/>
      <c r="I389" s="4"/>
      <c r="J389" s="4"/>
      <c r="K389" s="4"/>
      <c r="L389" s="4"/>
      <c r="M389" s="4"/>
    </row>
    <row r="390" spans="1:13" ht="15" customHeight="1" x14ac:dyDescent="0.35">
      <c r="A390" t="str">
        <f t="shared" si="6"/>
        <v>P612PN01C3933</v>
      </c>
      <c r="B390" t="str">
        <f>IFERROR(VLOOKUP($A390,'[5]Study Budget Mapping '!$O$2:$P$532,2,0),"TBA")</f>
        <v>TBA</v>
      </c>
      <c r="D390" s="2" t="s">
        <v>104</v>
      </c>
      <c r="E390" s="2" t="s">
        <v>19</v>
      </c>
      <c r="F390" s="3">
        <v>2156000</v>
      </c>
      <c r="G390" s="3">
        <v>2611000</v>
      </c>
      <c r="H390" s="4"/>
      <c r="I390" s="4"/>
      <c r="J390" s="4"/>
      <c r="K390" s="4"/>
      <c r="L390" s="4"/>
      <c r="M390" s="4"/>
    </row>
    <row r="391" spans="1:13" ht="15" customHeight="1" x14ac:dyDescent="0.35">
      <c r="A391" t="str">
        <f t="shared" si="6"/>
        <v>P612PN01C3933</v>
      </c>
      <c r="B391" t="str">
        <f>IFERROR(VLOOKUP($A391,'[5]Study Budget Mapping '!$O$2:$P$532,2,0),"TBA")</f>
        <v>TBA</v>
      </c>
      <c r="D391" s="2" t="s">
        <v>104</v>
      </c>
      <c r="E391" s="2" t="s">
        <v>20</v>
      </c>
      <c r="F391" s="3">
        <v>1144000</v>
      </c>
      <c r="G391" s="3">
        <v>1820000</v>
      </c>
      <c r="H391" s="4"/>
      <c r="I391" s="4"/>
      <c r="J391" s="4"/>
      <c r="K391" s="4"/>
      <c r="L391" s="4"/>
      <c r="M391" s="4"/>
    </row>
    <row r="392" spans="1:13" ht="15" customHeight="1" x14ac:dyDescent="0.35">
      <c r="A392" t="str">
        <f t="shared" si="6"/>
        <v>P612PN01C3933</v>
      </c>
      <c r="B392" t="str">
        <f>IFERROR(VLOOKUP($A392,'[5]Study Budget Mapping '!$O$2:$P$532,2,0),"TBA")</f>
        <v>TBA</v>
      </c>
      <c r="D392" s="2" t="s">
        <v>104</v>
      </c>
      <c r="E392" s="2" t="s">
        <v>15</v>
      </c>
      <c r="F392" s="3">
        <v>6945000</v>
      </c>
      <c r="G392" s="3">
        <v>10030000</v>
      </c>
      <c r="H392" s="4"/>
      <c r="I392" s="4"/>
      <c r="J392" s="4"/>
      <c r="K392" s="4"/>
      <c r="L392" s="4"/>
      <c r="M392" s="4"/>
    </row>
    <row r="393" spans="1:13" ht="15" customHeight="1" x14ac:dyDescent="0.35">
      <c r="A393" t="str">
        <f t="shared" si="6"/>
        <v>P612PN01C3933</v>
      </c>
      <c r="B393" t="str">
        <f>IFERROR(VLOOKUP($A393,'[5]Study Budget Mapping '!$O$2:$P$532,2,0),"TBA")</f>
        <v>TBA</v>
      </c>
      <c r="D393" s="2" t="s">
        <v>104</v>
      </c>
      <c r="E393" s="2" t="s">
        <v>16</v>
      </c>
      <c r="F393" s="3">
        <v>1203000</v>
      </c>
      <c r="G393" s="3">
        <v>840000</v>
      </c>
      <c r="H393" s="4"/>
      <c r="I393" s="4"/>
      <c r="J393" s="4"/>
      <c r="K393" s="4"/>
      <c r="L393" s="4"/>
      <c r="M393" s="4"/>
    </row>
    <row r="394" spans="1:13" ht="15" customHeight="1" x14ac:dyDescent="0.35">
      <c r="A394" t="str">
        <f t="shared" si="6"/>
        <v>P612PN01C3933</v>
      </c>
      <c r="B394" t="str">
        <f>IFERROR(VLOOKUP($A394,'[5]Study Budget Mapping '!$O$2:$P$532,2,0),"TBA")</f>
        <v>TBA</v>
      </c>
      <c r="D394" s="2" t="s">
        <v>104</v>
      </c>
      <c r="E394" s="2" t="s">
        <v>17</v>
      </c>
      <c r="F394" s="3">
        <v>236000</v>
      </c>
      <c r="G394" s="3">
        <v>320000</v>
      </c>
      <c r="H394" s="4"/>
      <c r="I394" s="4"/>
      <c r="J394" s="4"/>
      <c r="K394" s="4"/>
      <c r="L394" s="4"/>
      <c r="M394" s="4"/>
    </row>
    <row r="395" spans="1:13" ht="15" customHeight="1" x14ac:dyDescent="0.35">
      <c r="A395" t="str">
        <f t="shared" si="6"/>
        <v>P612PN01C3933</v>
      </c>
      <c r="B395" t="str">
        <f>IFERROR(VLOOKUP($A395,'[5]Study Budget Mapping '!$O$2:$P$532,2,0),"TBA")</f>
        <v>TBA</v>
      </c>
      <c r="D395" s="2" t="s">
        <v>104</v>
      </c>
      <c r="E395" s="2" t="s">
        <v>23</v>
      </c>
      <c r="F395" s="3">
        <v>469000</v>
      </c>
      <c r="G395" s="3">
        <v>670000</v>
      </c>
      <c r="H395" s="4"/>
      <c r="I395" s="4"/>
      <c r="J395" s="4"/>
      <c r="K395" s="4"/>
      <c r="L395" s="4"/>
      <c r="M395" s="4"/>
    </row>
    <row r="396" spans="1:13" ht="15" customHeight="1" x14ac:dyDescent="0.35">
      <c r="A396" t="str">
        <f t="shared" si="6"/>
        <v>P612PN01C3933</v>
      </c>
      <c r="B396" t="str">
        <f>IFERROR(VLOOKUP($A396,'[5]Study Budget Mapping '!$O$2:$P$532,2,0),"TBA")</f>
        <v>TBA</v>
      </c>
      <c r="D396" s="2" t="s">
        <v>104</v>
      </c>
      <c r="E396" s="2" t="s">
        <v>24</v>
      </c>
      <c r="F396" s="3">
        <v>497000</v>
      </c>
      <c r="G396" s="3">
        <v>430000</v>
      </c>
      <c r="H396" s="4"/>
      <c r="I396" s="4"/>
      <c r="J396" s="4"/>
      <c r="K396" s="4"/>
      <c r="L396" s="4"/>
      <c r="M396" s="4"/>
    </row>
    <row r="397" spans="1:13" ht="15" customHeight="1" x14ac:dyDescent="0.35">
      <c r="A397" t="str">
        <f t="shared" si="6"/>
        <v>P612PN05C2431</v>
      </c>
      <c r="B397" t="str">
        <f>IFERROR(VLOOKUP($A397,'[5]Study Budget Mapping '!$O$2:$P$532,2,0),"TBA")</f>
        <v>TBA</v>
      </c>
      <c r="D397" s="2" t="s">
        <v>105</v>
      </c>
      <c r="E397" s="2" t="s">
        <v>13</v>
      </c>
      <c r="F397" s="3">
        <v>14586060</v>
      </c>
      <c r="G397" s="3">
        <v>14586060</v>
      </c>
      <c r="H397" s="4"/>
      <c r="I397" s="4"/>
      <c r="J397" s="4"/>
      <c r="K397" s="4"/>
      <c r="L397" s="4"/>
      <c r="M397" s="4"/>
    </row>
    <row r="398" spans="1:13" ht="15" customHeight="1" x14ac:dyDescent="0.35">
      <c r="A398" t="str">
        <f t="shared" si="6"/>
        <v>P612PN05C2431</v>
      </c>
      <c r="B398" t="str">
        <f>IFERROR(VLOOKUP($A398,'[5]Study Budget Mapping '!$O$2:$P$532,2,0),"TBA")</f>
        <v>TBA</v>
      </c>
      <c r="D398" s="2" t="s">
        <v>105</v>
      </c>
      <c r="E398" s="2" t="s">
        <v>14</v>
      </c>
      <c r="F398" s="3">
        <v>1508607</v>
      </c>
      <c r="G398" s="3">
        <v>1508607</v>
      </c>
      <c r="H398" s="4"/>
      <c r="I398" s="4"/>
      <c r="J398" s="4"/>
      <c r="K398" s="4"/>
      <c r="L398" s="4"/>
      <c r="M398" s="4"/>
    </row>
    <row r="399" spans="1:13" ht="15" customHeight="1" x14ac:dyDescent="0.35">
      <c r="A399" t="str">
        <f t="shared" si="6"/>
        <v>P612PN05C2431</v>
      </c>
      <c r="B399" t="str">
        <f>IFERROR(VLOOKUP($A399,'[5]Study Budget Mapping '!$O$2:$P$532,2,0),"TBA")</f>
        <v>TBA</v>
      </c>
      <c r="D399" s="2" t="s">
        <v>105</v>
      </c>
      <c r="E399" s="2" t="s">
        <v>19</v>
      </c>
      <c r="F399" s="3">
        <v>2657615</v>
      </c>
      <c r="G399" s="3">
        <v>2657615</v>
      </c>
      <c r="H399" s="4"/>
      <c r="I399" s="4"/>
      <c r="J399" s="4"/>
      <c r="K399" s="4"/>
      <c r="L399" s="4"/>
      <c r="M399" s="4"/>
    </row>
    <row r="400" spans="1:13" ht="15" customHeight="1" x14ac:dyDescent="0.35">
      <c r="A400" t="str">
        <f t="shared" si="6"/>
        <v>P612PN05C2431</v>
      </c>
      <c r="B400" t="str">
        <f>IFERROR(VLOOKUP($A400,'[5]Study Budget Mapping '!$O$2:$P$532,2,0),"TBA")</f>
        <v>TBA</v>
      </c>
      <c r="D400" s="2" t="s">
        <v>105</v>
      </c>
      <c r="E400" s="2" t="s">
        <v>20</v>
      </c>
      <c r="F400" s="3">
        <v>2436379</v>
      </c>
      <c r="G400" s="3">
        <v>2436379</v>
      </c>
      <c r="H400" s="4"/>
      <c r="I400" s="4"/>
      <c r="J400" s="4"/>
      <c r="K400" s="4"/>
      <c r="L400" s="4"/>
      <c r="M400" s="4"/>
    </row>
    <row r="401" spans="1:13" ht="15" customHeight="1" x14ac:dyDescent="0.35">
      <c r="A401" t="str">
        <f t="shared" si="6"/>
        <v>P612PN05C2431</v>
      </c>
      <c r="B401" t="str">
        <f>IFERROR(VLOOKUP($A401,'[5]Study Budget Mapping '!$O$2:$P$532,2,0),"TBA")</f>
        <v>TBA</v>
      </c>
      <c r="D401" s="2" t="s">
        <v>105</v>
      </c>
      <c r="E401" s="2" t="s">
        <v>31</v>
      </c>
      <c r="F401" s="3">
        <v>68189</v>
      </c>
      <c r="G401" s="3">
        <v>68189</v>
      </c>
      <c r="H401" s="4"/>
      <c r="I401" s="4"/>
      <c r="J401" s="4"/>
      <c r="K401" s="4"/>
      <c r="L401" s="4"/>
      <c r="M401" s="4"/>
    </row>
    <row r="402" spans="1:13" ht="15" customHeight="1" x14ac:dyDescent="0.35">
      <c r="A402" t="str">
        <f t="shared" si="6"/>
        <v>P612PN05C2431</v>
      </c>
      <c r="B402" t="str">
        <f>IFERROR(VLOOKUP($A402,'[5]Study Budget Mapping '!$O$2:$P$532,2,0),"TBA")</f>
        <v>TBA</v>
      </c>
      <c r="D402" s="2" t="s">
        <v>105</v>
      </c>
      <c r="E402" s="2" t="s">
        <v>15</v>
      </c>
      <c r="F402" s="3">
        <v>15742933</v>
      </c>
      <c r="G402" s="3">
        <v>15742933</v>
      </c>
      <c r="H402" s="4"/>
      <c r="I402" s="4"/>
      <c r="J402" s="4"/>
      <c r="K402" s="4"/>
      <c r="L402" s="4"/>
      <c r="M402" s="4"/>
    </row>
    <row r="403" spans="1:13" ht="15" customHeight="1" x14ac:dyDescent="0.35">
      <c r="A403" t="str">
        <f t="shared" si="6"/>
        <v>P612PN05C2431</v>
      </c>
      <c r="B403" t="str">
        <f>IFERROR(VLOOKUP($A403,'[5]Study Budget Mapping '!$O$2:$P$532,2,0),"TBA")</f>
        <v>TBA</v>
      </c>
      <c r="D403" s="2" t="s">
        <v>105</v>
      </c>
      <c r="E403" s="2" t="s">
        <v>16</v>
      </c>
      <c r="F403" s="3">
        <v>4545924</v>
      </c>
      <c r="G403" s="3">
        <v>4545924</v>
      </c>
      <c r="H403" s="4"/>
      <c r="I403" s="4"/>
      <c r="J403" s="4"/>
      <c r="K403" s="4"/>
      <c r="L403" s="4"/>
      <c r="M403" s="4"/>
    </row>
    <row r="404" spans="1:13" ht="15" customHeight="1" x14ac:dyDescent="0.35">
      <c r="A404" t="str">
        <f t="shared" si="6"/>
        <v>P612PN05C2431</v>
      </c>
      <c r="B404" t="str">
        <f>IFERROR(VLOOKUP($A404,'[5]Study Budget Mapping '!$O$2:$P$532,2,0),"TBA")</f>
        <v>TBA</v>
      </c>
      <c r="D404" s="2" t="s">
        <v>105</v>
      </c>
      <c r="E404" s="2" t="s">
        <v>17</v>
      </c>
      <c r="F404" s="3">
        <v>2313686</v>
      </c>
      <c r="G404" s="3">
        <v>2313686</v>
      </c>
      <c r="H404" s="4"/>
      <c r="I404" s="4"/>
      <c r="J404" s="4"/>
      <c r="K404" s="4"/>
      <c r="L404" s="4"/>
      <c r="M404" s="4"/>
    </row>
    <row r="405" spans="1:13" ht="15" customHeight="1" x14ac:dyDescent="0.35">
      <c r="A405" t="str">
        <f t="shared" si="6"/>
        <v>P612PN05C2431</v>
      </c>
      <c r="B405" t="str">
        <f>IFERROR(VLOOKUP($A405,'[5]Study Budget Mapping '!$O$2:$P$532,2,0),"TBA")</f>
        <v>TBA</v>
      </c>
      <c r="D405" s="2" t="s">
        <v>105</v>
      </c>
      <c r="E405" s="2" t="s">
        <v>24</v>
      </c>
      <c r="F405" s="3">
        <v>1426802</v>
      </c>
      <c r="G405" s="3">
        <v>1426802</v>
      </c>
      <c r="H405" s="4"/>
      <c r="I405" s="4"/>
      <c r="J405" s="4"/>
      <c r="K405" s="4"/>
      <c r="L405" s="4"/>
      <c r="M405" s="4"/>
    </row>
    <row r="406" spans="1:13" ht="15" customHeight="1" x14ac:dyDescent="0.35">
      <c r="A406" t="str">
        <f t="shared" si="6"/>
        <v>P612PN05C3731</v>
      </c>
      <c r="B406" t="str">
        <f>IFERROR(VLOOKUP($A406,'[5]Study Budget Mapping '!$O$2:$P$532,2,0),"TBA")</f>
        <v>TBA</v>
      </c>
      <c r="D406" s="2" t="s">
        <v>106</v>
      </c>
      <c r="E406" s="2" t="s">
        <v>13</v>
      </c>
      <c r="F406" s="3">
        <v>2391000</v>
      </c>
      <c r="G406" s="3">
        <v>3025000</v>
      </c>
      <c r="H406" s="4"/>
      <c r="I406" s="4"/>
      <c r="J406" s="4"/>
      <c r="K406" s="4"/>
      <c r="L406" s="4"/>
      <c r="M406" s="4"/>
    </row>
    <row r="407" spans="1:13" ht="15" customHeight="1" x14ac:dyDescent="0.35">
      <c r="A407" t="str">
        <f t="shared" si="6"/>
        <v>P612PN05C3731</v>
      </c>
      <c r="B407" t="str">
        <f>IFERROR(VLOOKUP($A407,'[5]Study Budget Mapping '!$O$2:$P$532,2,0),"TBA")</f>
        <v>TBA</v>
      </c>
      <c r="D407" s="2" t="s">
        <v>106</v>
      </c>
      <c r="E407" s="2" t="s">
        <v>14</v>
      </c>
      <c r="F407" s="3">
        <v>387000</v>
      </c>
      <c r="G407" s="3">
        <v>347200.39</v>
      </c>
      <c r="H407" s="4"/>
      <c r="I407" s="4"/>
      <c r="J407" s="4"/>
      <c r="K407" s="4"/>
      <c r="L407" s="4"/>
      <c r="M407" s="4"/>
    </row>
    <row r="408" spans="1:13" ht="15" customHeight="1" x14ac:dyDescent="0.35">
      <c r="A408" t="str">
        <f t="shared" si="6"/>
        <v>P612PN05C3731</v>
      </c>
      <c r="B408" t="str">
        <f>IFERROR(VLOOKUP($A408,'[5]Study Budget Mapping '!$O$2:$P$532,2,0),"TBA")</f>
        <v>TBA</v>
      </c>
      <c r="D408" s="2" t="s">
        <v>106</v>
      </c>
      <c r="E408" s="2" t="s">
        <v>19</v>
      </c>
      <c r="F408" s="3">
        <v>3886595</v>
      </c>
      <c r="G408" s="3">
        <v>3884000</v>
      </c>
      <c r="H408" s="4"/>
      <c r="I408" s="4"/>
      <c r="J408" s="4"/>
      <c r="K408" s="4"/>
      <c r="L408" s="4"/>
      <c r="M408" s="4"/>
    </row>
    <row r="409" spans="1:13" ht="15" customHeight="1" x14ac:dyDescent="0.35">
      <c r="A409" t="str">
        <f t="shared" si="6"/>
        <v>P612PN05C3731</v>
      </c>
      <c r="B409" t="str">
        <f>IFERROR(VLOOKUP($A409,'[5]Study Budget Mapping '!$O$2:$P$532,2,0),"TBA")</f>
        <v>TBA</v>
      </c>
      <c r="D409" s="2" t="s">
        <v>106</v>
      </c>
      <c r="E409" s="2" t="s">
        <v>20</v>
      </c>
      <c r="F409" s="3">
        <v>933000</v>
      </c>
      <c r="G409" s="3">
        <v>939000</v>
      </c>
      <c r="H409" s="4"/>
      <c r="I409" s="4"/>
      <c r="J409" s="4"/>
      <c r="K409" s="4"/>
      <c r="L409" s="4"/>
      <c r="M409" s="4"/>
    </row>
    <row r="410" spans="1:13" ht="15" customHeight="1" x14ac:dyDescent="0.35">
      <c r="A410" t="str">
        <f t="shared" si="6"/>
        <v>P612PN05C3731</v>
      </c>
      <c r="B410" t="str">
        <f>IFERROR(VLOOKUP($A410,'[5]Study Budget Mapping '!$O$2:$P$532,2,0),"TBA")</f>
        <v>TBA</v>
      </c>
      <c r="D410" s="2" t="s">
        <v>106</v>
      </c>
      <c r="E410" s="2" t="s">
        <v>15</v>
      </c>
      <c r="F410" s="3">
        <v>7125000</v>
      </c>
      <c r="G410" s="3">
        <v>6996000</v>
      </c>
      <c r="H410" s="4"/>
      <c r="I410" s="4"/>
      <c r="J410" s="4"/>
      <c r="K410" s="4"/>
      <c r="L410" s="4"/>
      <c r="M410" s="4"/>
    </row>
    <row r="411" spans="1:13" ht="15" customHeight="1" x14ac:dyDescent="0.35">
      <c r="A411" t="str">
        <f t="shared" si="6"/>
        <v>P612PN05C3731</v>
      </c>
      <c r="B411" t="str">
        <f>IFERROR(VLOOKUP($A411,'[5]Study Budget Mapping '!$O$2:$P$532,2,0),"TBA")</f>
        <v>TBA</v>
      </c>
      <c r="D411" s="2" t="s">
        <v>106</v>
      </c>
      <c r="E411" s="2" t="s">
        <v>16</v>
      </c>
      <c r="F411" s="3">
        <v>647000</v>
      </c>
      <c r="G411" s="3">
        <v>955000</v>
      </c>
      <c r="H411" s="4"/>
      <c r="I411" s="4"/>
      <c r="J411" s="4"/>
      <c r="K411" s="4"/>
      <c r="L411" s="4"/>
      <c r="M411" s="4"/>
    </row>
    <row r="412" spans="1:13" ht="15" customHeight="1" x14ac:dyDescent="0.35">
      <c r="A412" t="str">
        <f t="shared" si="6"/>
        <v>P612PN05C3731</v>
      </c>
      <c r="B412" t="str">
        <f>IFERROR(VLOOKUP($A412,'[5]Study Budget Mapping '!$O$2:$P$532,2,0),"TBA")</f>
        <v>TBA</v>
      </c>
      <c r="D412" s="2" t="s">
        <v>106</v>
      </c>
      <c r="E412" s="2" t="s">
        <v>17</v>
      </c>
      <c r="F412" s="3">
        <v>282000</v>
      </c>
      <c r="G412" s="3">
        <v>282000</v>
      </c>
      <c r="H412" s="4"/>
      <c r="I412" s="4"/>
      <c r="J412" s="4"/>
      <c r="K412" s="4"/>
      <c r="L412" s="4"/>
      <c r="M412" s="4"/>
    </row>
    <row r="413" spans="1:13" ht="15" customHeight="1" x14ac:dyDescent="0.35">
      <c r="A413" t="str">
        <f t="shared" si="6"/>
        <v>P612PN05C3731</v>
      </c>
      <c r="B413" t="str">
        <f>IFERROR(VLOOKUP($A413,'[5]Study Budget Mapping '!$O$2:$P$532,2,0),"TBA")</f>
        <v>TBA</v>
      </c>
      <c r="D413" s="2" t="s">
        <v>106</v>
      </c>
      <c r="E413" s="2" t="s">
        <v>24</v>
      </c>
      <c r="F413" s="3">
        <v>175000</v>
      </c>
      <c r="G413" s="3">
        <v>110000</v>
      </c>
      <c r="H413" s="4"/>
      <c r="I413" s="4"/>
      <c r="J413" s="4"/>
      <c r="K413" s="4"/>
      <c r="L413" s="4"/>
      <c r="M413" s="4"/>
    </row>
    <row r="414" spans="1:13" ht="15" customHeight="1" x14ac:dyDescent="0.35">
      <c r="A414" t="str">
        <f t="shared" si="6"/>
        <v>P612PN05C3731</v>
      </c>
      <c r="B414" t="str">
        <f>IFERROR(VLOOKUP($A414,'[5]Study Budget Mapping '!$O$2:$P$532,2,0),"TBA")</f>
        <v>TBA</v>
      </c>
      <c r="D414" s="2" t="s">
        <v>106</v>
      </c>
      <c r="E414" s="2" t="s">
        <v>32</v>
      </c>
      <c r="F414" s="3">
        <v>25000</v>
      </c>
      <c r="G414" s="3">
        <v>17000</v>
      </c>
      <c r="H414" s="4"/>
      <c r="I414" s="4"/>
      <c r="J414" s="4"/>
      <c r="K414" s="4"/>
      <c r="L414" s="4"/>
      <c r="M414" s="4"/>
    </row>
    <row r="415" spans="1:13" ht="15" customHeight="1" x14ac:dyDescent="0.35">
      <c r="A415" t="str">
        <f t="shared" si="6"/>
        <v>P612PN00C1011</v>
      </c>
      <c r="B415" t="str">
        <f>IFERROR(VLOOKUP($A415,'[5]Study Budget Mapping '!$O$2:$P$532,2,0),"TBA")</f>
        <v>TBA</v>
      </c>
      <c r="D415" s="2" t="s">
        <v>107</v>
      </c>
      <c r="E415" s="2" t="s">
        <v>13</v>
      </c>
      <c r="F415" s="3">
        <v>707520</v>
      </c>
      <c r="G415" s="3">
        <v>0</v>
      </c>
      <c r="H415" s="4"/>
      <c r="I415" s="4"/>
      <c r="J415" s="4"/>
      <c r="K415" s="4"/>
      <c r="L415" s="4"/>
      <c r="M415" s="4"/>
    </row>
    <row r="416" spans="1:13" ht="15" customHeight="1" x14ac:dyDescent="0.35">
      <c r="A416" t="str">
        <f t="shared" si="6"/>
        <v>P612PN00C1011</v>
      </c>
      <c r="B416" t="str">
        <f>IFERROR(VLOOKUP($A416,'[5]Study Budget Mapping '!$O$2:$P$532,2,0),"TBA")</f>
        <v>TBA</v>
      </c>
      <c r="D416" s="2" t="s">
        <v>107</v>
      </c>
      <c r="E416" s="2" t="s">
        <v>31</v>
      </c>
      <c r="F416" s="3">
        <v>12000</v>
      </c>
      <c r="G416" s="3">
        <v>0</v>
      </c>
      <c r="H416" s="4"/>
      <c r="I416" s="4"/>
      <c r="J416" s="4"/>
      <c r="K416" s="4"/>
      <c r="L416" s="4"/>
      <c r="M416" s="4"/>
    </row>
    <row r="417" spans="1:13" ht="15" customHeight="1" x14ac:dyDescent="0.35">
      <c r="A417" t="str">
        <f t="shared" si="6"/>
        <v>P612PN00C1011</v>
      </c>
      <c r="B417" t="str">
        <f>IFERROR(VLOOKUP($A417,'[5]Study Budget Mapping '!$O$2:$P$532,2,0),"TBA")</f>
        <v>TBA</v>
      </c>
      <c r="D417" s="2" t="s">
        <v>107</v>
      </c>
      <c r="E417" s="2" t="s">
        <v>15</v>
      </c>
      <c r="F417" s="3">
        <v>0</v>
      </c>
      <c r="G417" s="3">
        <v>375875.4</v>
      </c>
      <c r="H417" s="4"/>
      <c r="I417" s="4"/>
      <c r="J417" s="4"/>
      <c r="K417" s="4"/>
      <c r="L417" s="4"/>
      <c r="M417" s="4"/>
    </row>
    <row r="418" spans="1:13" ht="15" customHeight="1" x14ac:dyDescent="0.35">
      <c r="A418" t="str">
        <f t="shared" si="6"/>
        <v>P612PN00C1011</v>
      </c>
      <c r="B418" t="str">
        <f>IFERROR(VLOOKUP($A418,'[5]Study Budget Mapping '!$O$2:$P$532,2,0),"TBA")</f>
        <v>TBA</v>
      </c>
      <c r="D418" s="2" t="s">
        <v>107</v>
      </c>
      <c r="E418" s="2" t="s">
        <v>28</v>
      </c>
      <c r="F418" s="3">
        <v>139200</v>
      </c>
      <c r="G418" s="3">
        <v>0</v>
      </c>
      <c r="H418" s="4"/>
      <c r="I418" s="4"/>
      <c r="J418" s="4"/>
      <c r="K418" s="4"/>
      <c r="L418" s="4"/>
      <c r="M418" s="4"/>
    </row>
    <row r="419" spans="1:13" ht="15" customHeight="1" x14ac:dyDescent="0.35">
      <c r="A419" t="str">
        <f t="shared" si="6"/>
        <v>P612PN00C1011</v>
      </c>
      <c r="B419" t="str">
        <f>IFERROR(VLOOKUP($A419,'[5]Study Budget Mapping '!$O$2:$P$532,2,0),"TBA")</f>
        <v>TBA</v>
      </c>
      <c r="D419" s="2" t="s">
        <v>107</v>
      </c>
      <c r="E419" s="2" t="s">
        <v>23</v>
      </c>
      <c r="F419" s="3">
        <v>183402</v>
      </c>
      <c r="G419" s="3">
        <v>0</v>
      </c>
      <c r="H419" s="4"/>
      <c r="I419" s="4"/>
      <c r="J419" s="4"/>
      <c r="K419" s="4"/>
      <c r="L419" s="4"/>
      <c r="M419" s="4"/>
    </row>
    <row r="420" spans="1:13" ht="15" customHeight="1" x14ac:dyDescent="0.35">
      <c r="A420" t="str">
        <f t="shared" si="6"/>
        <v>P612PN00C1011</v>
      </c>
      <c r="B420" t="str">
        <f>IFERROR(VLOOKUP($A420,'[5]Study Budget Mapping '!$O$2:$P$532,2,0),"TBA")</f>
        <v>TBA</v>
      </c>
      <c r="D420" s="2" t="s">
        <v>107</v>
      </c>
      <c r="E420" s="2" t="s">
        <v>32</v>
      </c>
      <c r="F420" s="3">
        <v>48000</v>
      </c>
      <c r="G420" s="3">
        <v>0</v>
      </c>
      <c r="H420" s="4"/>
      <c r="I420" s="4"/>
      <c r="J420" s="4"/>
      <c r="K420" s="4"/>
      <c r="L420" s="4"/>
      <c r="M420" s="4"/>
    </row>
    <row r="421" spans="1:13" ht="15" customHeight="1" x14ac:dyDescent="0.35">
      <c r="A421" t="str">
        <f t="shared" si="6"/>
        <v>P612PN00C1111</v>
      </c>
      <c r="B421" t="str">
        <f>IFERROR(VLOOKUP($A421,'[5]Study Budget Mapping '!$O$2:$P$532,2,0),"TBA")</f>
        <v>TBA</v>
      </c>
      <c r="D421" s="2" t="s">
        <v>108</v>
      </c>
      <c r="E421" s="2" t="s">
        <v>15</v>
      </c>
      <c r="F421" s="3">
        <v>0</v>
      </c>
      <c r="G421" s="3">
        <v>1664862.75</v>
      </c>
      <c r="H421" s="4"/>
      <c r="I421" s="4"/>
      <c r="J421" s="4"/>
      <c r="K421" s="4"/>
      <c r="L421" s="4"/>
      <c r="M421" s="4"/>
    </row>
    <row r="422" spans="1:13" ht="15" customHeight="1" x14ac:dyDescent="0.35">
      <c r="A422" t="str">
        <f t="shared" si="6"/>
        <v>P612PN00C1111</v>
      </c>
      <c r="B422" t="str">
        <f>IFERROR(VLOOKUP($A422,'[5]Study Budget Mapping '!$O$2:$P$532,2,0),"TBA")</f>
        <v>TBA</v>
      </c>
      <c r="D422" s="2" t="s">
        <v>108</v>
      </c>
      <c r="E422" s="2" t="s">
        <v>22</v>
      </c>
      <c r="F422" s="3">
        <v>1666989</v>
      </c>
      <c r="G422" s="3">
        <v>0</v>
      </c>
      <c r="H422" s="4"/>
      <c r="I422" s="4"/>
      <c r="J422" s="4"/>
      <c r="K422" s="4"/>
      <c r="L422" s="4"/>
      <c r="M422" s="4"/>
    </row>
    <row r="423" spans="1:13" ht="15" customHeight="1" x14ac:dyDescent="0.35">
      <c r="A423" t="str">
        <f t="shared" si="6"/>
        <v>P612PN01C1411</v>
      </c>
      <c r="B423" t="str">
        <f>IFERROR(VLOOKUP($A423,'[5]Study Budget Mapping '!$O$2:$P$532,2,0),"TBA")</f>
        <v>TBA</v>
      </c>
      <c r="D423" s="2" t="s">
        <v>109</v>
      </c>
      <c r="E423" s="2" t="s">
        <v>13</v>
      </c>
      <c r="F423" s="3">
        <v>3180000</v>
      </c>
      <c r="G423" s="3">
        <v>0</v>
      </c>
      <c r="H423" s="4"/>
      <c r="I423" s="4"/>
      <c r="J423" s="4"/>
      <c r="K423" s="4"/>
      <c r="L423" s="4"/>
      <c r="M423" s="4"/>
    </row>
    <row r="424" spans="1:13" ht="15" customHeight="1" x14ac:dyDescent="0.35">
      <c r="A424" t="str">
        <f t="shared" si="6"/>
        <v>P612PN01C1411</v>
      </c>
      <c r="B424" t="str">
        <f>IFERROR(VLOOKUP($A424,'[5]Study Budget Mapping '!$O$2:$P$532,2,0),"TBA")</f>
        <v>TBA</v>
      </c>
      <c r="D424" s="2" t="s">
        <v>109</v>
      </c>
      <c r="E424" s="2" t="s">
        <v>14</v>
      </c>
      <c r="F424" s="3">
        <v>307400</v>
      </c>
      <c r="G424" s="3">
        <v>0</v>
      </c>
      <c r="H424" s="4"/>
      <c r="I424" s="4"/>
      <c r="J424" s="4"/>
      <c r="K424" s="4"/>
      <c r="L424" s="4"/>
      <c r="M424" s="4"/>
    </row>
    <row r="425" spans="1:13" ht="15" customHeight="1" x14ac:dyDescent="0.35">
      <c r="A425" t="str">
        <f t="shared" si="6"/>
        <v>P612PN01C1411</v>
      </c>
      <c r="B425" t="str">
        <f>IFERROR(VLOOKUP($A425,'[5]Study Budget Mapping '!$O$2:$P$532,2,0),"TBA")</f>
        <v>TBA</v>
      </c>
      <c r="D425" s="2" t="s">
        <v>109</v>
      </c>
      <c r="E425" s="2" t="s">
        <v>19</v>
      </c>
      <c r="F425" s="3">
        <v>30000</v>
      </c>
      <c r="G425" s="3">
        <v>0</v>
      </c>
      <c r="H425" s="4"/>
      <c r="I425" s="4"/>
      <c r="J425" s="4"/>
      <c r="K425" s="4"/>
      <c r="L425" s="4"/>
      <c r="M425" s="4"/>
    </row>
    <row r="426" spans="1:13" ht="15" customHeight="1" x14ac:dyDescent="0.35">
      <c r="A426" t="str">
        <f t="shared" si="6"/>
        <v>P612PN01C1411</v>
      </c>
      <c r="B426" t="str">
        <f>IFERROR(VLOOKUP($A426,'[5]Study Budget Mapping '!$O$2:$P$532,2,0),"TBA")</f>
        <v>TBA</v>
      </c>
      <c r="D426" s="2" t="s">
        <v>109</v>
      </c>
      <c r="E426" s="2" t="s">
        <v>31</v>
      </c>
      <c r="F426" s="3">
        <v>20000</v>
      </c>
      <c r="G426" s="3">
        <v>0</v>
      </c>
      <c r="H426" s="4"/>
      <c r="I426" s="4"/>
      <c r="J426" s="4"/>
      <c r="K426" s="4"/>
      <c r="L426" s="4"/>
      <c r="M426" s="4"/>
    </row>
    <row r="427" spans="1:13" ht="15" customHeight="1" x14ac:dyDescent="0.35">
      <c r="A427" t="str">
        <f t="shared" si="6"/>
        <v>P612PN01C1411</v>
      </c>
      <c r="B427" t="str">
        <f>IFERROR(VLOOKUP($A427,'[5]Study Budget Mapping '!$O$2:$P$532,2,0),"TBA")</f>
        <v>TBA</v>
      </c>
      <c r="D427" s="2" t="s">
        <v>109</v>
      </c>
      <c r="E427" s="2" t="s">
        <v>15</v>
      </c>
      <c r="F427" s="3">
        <v>2820202</v>
      </c>
      <c r="G427" s="3">
        <v>1588613.4</v>
      </c>
      <c r="H427" s="4"/>
      <c r="I427" s="4"/>
      <c r="J427" s="4"/>
      <c r="K427" s="4"/>
      <c r="L427" s="4"/>
      <c r="M427" s="4"/>
    </row>
    <row r="428" spans="1:13" ht="15" customHeight="1" x14ac:dyDescent="0.35">
      <c r="A428" t="str">
        <f t="shared" si="6"/>
        <v>P612PN01C1411</v>
      </c>
      <c r="B428" t="str">
        <f>IFERROR(VLOOKUP($A428,'[5]Study Budget Mapping '!$O$2:$P$532,2,0),"TBA")</f>
        <v>TBA</v>
      </c>
      <c r="D428" s="2" t="s">
        <v>109</v>
      </c>
      <c r="E428" s="2" t="s">
        <v>16</v>
      </c>
      <c r="F428" s="3">
        <v>462150</v>
      </c>
      <c r="G428" s="3">
        <v>0</v>
      </c>
      <c r="H428" s="4"/>
      <c r="I428" s="4"/>
      <c r="J428" s="4"/>
      <c r="K428" s="4"/>
      <c r="L428" s="4"/>
      <c r="M428" s="4"/>
    </row>
    <row r="429" spans="1:13" ht="15" customHeight="1" x14ac:dyDescent="0.35">
      <c r="A429" t="str">
        <f t="shared" si="6"/>
        <v>P612PN01C1411</v>
      </c>
      <c r="B429" t="str">
        <f>IFERROR(VLOOKUP($A429,'[5]Study Budget Mapping '!$O$2:$P$532,2,0),"TBA")</f>
        <v>TBA</v>
      </c>
      <c r="D429" s="2" t="s">
        <v>109</v>
      </c>
      <c r="E429" s="2" t="s">
        <v>28</v>
      </c>
      <c r="F429" s="3">
        <v>210000</v>
      </c>
      <c r="G429" s="3">
        <v>0</v>
      </c>
      <c r="H429" s="4"/>
      <c r="I429" s="4"/>
      <c r="J429" s="4"/>
      <c r="K429" s="4"/>
      <c r="L429" s="4"/>
      <c r="M429" s="4"/>
    </row>
    <row r="430" spans="1:13" ht="15" customHeight="1" x14ac:dyDescent="0.35">
      <c r="A430" t="str">
        <f t="shared" si="6"/>
        <v>P612PN01C1411</v>
      </c>
      <c r="B430" t="str">
        <f>IFERROR(VLOOKUP($A430,'[5]Study Budget Mapping '!$O$2:$P$532,2,0),"TBA")</f>
        <v>TBA</v>
      </c>
      <c r="D430" s="2" t="s">
        <v>109</v>
      </c>
      <c r="E430" s="2" t="s">
        <v>23</v>
      </c>
      <c r="F430" s="3">
        <v>1377956</v>
      </c>
      <c r="G430" s="3">
        <v>0</v>
      </c>
      <c r="H430" s="4"/>
      <c r="I430" s="4"/>
      <c r="J430" s="4"/>
      <c r="K430" s="4"/>
      <c r="L430" s="4"/>
      <c r="M430" s="4"/>
    </row>
    <row r="431" spans="1:13" ht="15" customHeight="1" x14ac:dyDescent="0.35">
      <c r="A431" t="str">
        <f t="shared" si="6"/>
        <v>P612PN01C2611</v>
      </c>
      <c r="B431" t="str">
        <f>IFERROR(VLOOKUP($A431,'[5]Study Budget Mapping '!$O$2:$P$532,2,0),"TBA")</f>
        <v>TBA</v>
      </c>
      <c r="D431" s="2" t="s">
        <v>110</v>
      </c>
      <c r="E431" s="2" t="s">
        <v>13</v>
      </c>
      <c r="F431" s="3">
        <v>3848251</v>
      </c>
      <c r="G431" s="3">
        <v>0</v>
      </c>
      <c r="H431" s="4"/>
      <c r="I431" s="4"/>
      <c r="J431" s="4"/>
      <c r="K431" s="4"/>
      <c r="L431" s="4"/>
      <c r="M431" s="4"/>
    </row>
    <row r="432" spans="1:13" ht="15" customHeight="1" x14ac:dyDescent="0.35">
      <c r="A432" t="str">
        <f t="shared" si="6"/>
        <v>P612PN01C2611</v>
      </c>
      <c r="B432" t="str">
        <f>IFERROR(VLOOKUP($A432,'[5]Study Budget Mapping '!$O$2:$P$532,2,0),"TBA")</f>
        <v>TBA</v>
      </c>
      <c r="D432" s="2" t="s">
        <v>110</v>
      </c>
      <c r="E432" s="2" t="s">
        <v>14</v>
      </c>
      <c r="F432" s="3">
        <v>299250</v>
      </c>
      <c r="G432" s="3">
        <v>0</v>
      </c>
      <c r="H432" s="4"/>
      <c r="I432" s="4"/>
      <c r="J432" s="4"/>
      <c r="K432" s="4"/>
      <c r="L432" s="4"/>
      <c r="M432" s="4"/>
    </row>
    <row r="433" spans="1:13" ht="15" customHeight="1" x14ac:dyDescent="0.35">
      <c r="A433" t="str">
        <f t="shared" si="6"/>
        <v>P612PN01C2611</v>
      </c>
      <c r="B433" t="str">
        <f>IFERROR(VLOOKUP($A433,'[5]Study Budget Mapping '!$O$2:$P$532,2,0),"TBA")</f>
        <v>TBA</v>
      </c>
      <c r="D433" s="2" t="s">
        <v>110</v>
      </c>
      <c r="E433" s="2" t="s">
        <v>31</v>
      </c>
      <c r="F433" s="3">
        <v>25000</v>
      </c>
      <c r="G433" s="3">
        <v>0</v>
      </c>
      <c r="H433" s="4"/>
      <c r="I433" s="4"/>
      <c r="J433" s="4"/>
      <c r="K433" s="4"/>
      <c r="L433" s="4"/>
      <c r="M433" s="4"/>
    </row>
    <row r="434" spans="1:13" ht="15" customHeight="1" x14ac:dyDescent="0.35">
      <c r="A434" t="str">
        <f t="shared" si="6"/>
        <v>P612PN01C2611</v>
      </c>
      <c r="B434" t="str">
        <f>IFERROR(VLOOKUP($A434,'[5]Study Budget Mapping '!$O$2:$P$532,2,0),"TBA")</f>
        <v>TBA</v>
      </c>
      <c r="D434" s="2" t="s">
        <v>110</v>
      </c>
      <c r="E434" s="2" t="s">
        <v>15</v>
      </c>
      <c r="F434" s="3">
        <v>2850250</v>
      </c>
      <c r="G434" s="3">
        <v>714756.32000000007</v>
      </c>
      <c r="H434" s="4"/>
      <c r="I434" s="4"/>
      <c r="J434" s="4"/>
      <c r="K434" s="4"/>
      <c r="L434" s="4"/>
      <c r="M434" s="4"/>
    </row>
    <row r="435" spans="1:13" ht="15" customHeight="1" x14ac:dyDescent="0.35">
      <c r="A435" t="str">
        <f t="shared" si="6"/>
        <v>P612PN01C2611</v>
      </c>
      <c r="B435" t="str">
        <f>IFERROR(VLOOKUP($A435,'[5]Study Budget Mapping '!$O$2:$P$532,2,0),"TBA")</f>
        <v>TBA</v>
      </c>
      <c r="D435" s="2" t="s">
        <v>110</v>
      </c>
      <c r="E435" s="2" t="s">
        <v>16</v>
      </c>
      <c r="F435" s="3">
        <v>351962</v>
      </c>
      <c r="G435" s="3">
        <v>0</v>
      </c>
      <c r="H435" s="4"/>
      <c r="I435" s="4"/>
      <c r="J435" s="4"/>
      <c r="K435" s="4"/>
      <c r="L435" s="4"/>
      <c r="M435" s="4"/>
    </row>
    <row r="436" spans="1:13" ht="15" customHeight="1" x14ac:dyDescent="0.35">
      <c r="A436" t="str">
        <f t="shared" si="6"/>
        <v>P612PN01C2611</v>
      </c>
      <c r="B436" t="str">
        <f>IFERROR(VLOOKUP($A436,'[5]Study Budget Mapping '!$O$2:$P$532,2,0),"TBA")</f>
        <v>TBA</v>
      </c>
      <c r="D436" s="2" t="s">
        <v>110</v>
      </c>
      <c r="E436" s="2" t="s">
        <v>17</v>
      </c>
      <c r="F436" s="3">
        <v>161550</v>
      </c>
      <c r="G436" s="3">
        <v>0</v>
      </c>
      <c r="H436" s="4"/>
      <c r="I436" s="4"/>
      <c r="J436" s="4"/>
      <c r="K436" s="4"/>
      <c r="L436" s="4"/>
      <c r="M436" s="4"/>
    </row>
    <row r="437" spans="1:13" ht="15" customHeight="1" x14ac:dyDescent="0.35">
      <c r="A437" t="str">
        <f t="shared" si="6"/>
        <v>P612PN01C2611</v>
      </c>
      <c r="B437" t="str">
        <f>IFERROR(VLOOKUP($A437,'[5]Study Budget Mapping '!$O$2:$P$532,2,0),"TBA")</f>
        <v>TBA</v>
      </c>
      <c r="D437" s="2" t="s">
        <v>110</v>
      </c>
      <c r="E437" s="2" t="s">
        <v>28</v>
      </c>
      <c r="F437" s="3">
        <v>204994</v>
      </c>
      <c r="G437" s="3">
        <v>0</v>
      </c>
      <c r="H437" s="4"/>
      <c r="I437" s="4"/>
      <c r="J437" s="4"/>
      <c r="K437" s="4"/>
      <c r="L437" s="4"/>
      <c r="M437" s="4"/>
    </row>
    <row r="438" spans="1:13" ht="15" customHeight="1" x14ac:dyDescent="0.35">
      <c r="A438" t="str">
        <f t="shared" si="6"/>
        <v>P612PN01C2611</v>
      </c>
      <c r="B438" t="str">
        <f>IFERROR(VLOOKUP($A438,'[5]Study Budget Mapping '!$O$2:$P$532,2,0),"TBA")</f>
        <v>TBA</v>
      </c>
      <c r="D438" s="2" t="s">
        <v>110</v>
      </c>
      <c r="E438" s="2" t="s">
        <v>23</v>
      </c>
      <c r="F438" s="3">
        <v>1085773</v>
      </c>
      <c r="G438" s="3">
        <v>0</v>
      </c>
      <c r="H438" s="4"/>
      <c r="I438" s="4"/>
      <c r="J438" s="4"/>
      <c r="K438" s="4"/>
      <c r="L438" s="4"/>
      <c r="M438" s="4"/>
    </row>
    <row r="439" spans="1:13" ht="15" customHeight="1" x14ac:dyDescent="0.35">
      <c r="A439" t="str">
        <f t="shared" si="6"/>
        <v>P612PN01C2612</v>
      </c>
      <c r="B439" t="str">
        <f>IFERROR(VLOOKUP($A439,'[5]Study Budget Mapping '!$O$2:$P$532,2,0),"TBA")</f>
        <v>TBA</v>
      </c>
      <c r="D439" s="2" t="s">
        <v>111</v>
      </c>
      <c r="E439" s="2" t="s">
        <v>19</v>
      </c>
      <c r="F439" s="3">
        <v>1E-4</v>
      </c>
      <c r="G439" s="3">
        <v>0</v>
      </c>
      <c r="H439" s="4"/>
      <c r="I439" s="4"/>
      <c r="J439" s="4"/>
      <c r="K439" s="4"/>
      <c r="L439" s="4"/>
      <c r="M439" s="4"/>
    </row>
    <row r="440" spans="1:13" ht="15" customHeight="1" x14ac:dyDescent="0.35">
      <c r="A440" t="str">
        <f t="shared" si="6"/>
        <v>P612PN01C2612</v>
      </c>
      <c r="B440" t="str">
        <f>IFERROR(VLOOKUP($A440,'[5]Study Budget Mapping '!$O$2:$P$532,2,0),"TBA")</f>
        <v>TBA</v>
      </c>
      <c r="D440" s="2" t="s">
        <v>111</v>
      </c>
      <c r="E440" s="2" t="s">
        <v>15</v>
      </c>
      <c r="F440" s="3">
        <v>22593848</v>
      </c>
      <c r="G440" s="3">
        <v>27130829.620000001</v>
      </c>
      <c r="H440" s="4"/>
      <c r="I440" s="4"/>
      <c r="J440" s="4"/>
      <c r="K440" s="4"/>
      <c r="L440" s="4"/>
      <c r="M440" s="4"/>
    </row>
    <row r="441" spans="1:13" ht="15" customHeight="1" x14ac:dyDescent="0.35">
      <c r="A441" t="str">
        <f t="shared" si="6"/>
        <v>P612PN01C2631</v>
      </c>
      <c r="B441" t="str">
        <f>IFERROR(VLOOKUP($A441,'[5]Study Budget Mapping '!$O$2:$P$532,2,0),"TBA")</f>
        <v>TBA</v>
      </c>
      <c r="D441" s="2" t="s">
        <v>112</v>
      </c>
      <c r="E441" s="2" t="s">
        <v>15</v>
      </c>
      <c r="F441" s="3">
        <v>0</v>
      </c>
      <c r="G441" s="3">
        <v>149237</v>
      </c>
      <c r="H441" s="4"/>
      <c r="I441" s="4"/>
      <c r="J441" s="4"/>
      <c r="K441" s="4"/>
      <c r="L441" s="4"/>
      <c r="M441" s="4"/>
    </row>
    <row r="442" spans="1:13" ht="15" customHeight="1" x14ac:dyDescent="0.35">
      <c r="A442" t="str">
        <f t="shared" si="6"/>
        <v>P612PN01C2632</v>
      </c>
      <c r="B442" t="str">
        <f>IFERROR(VLOOKUP($A442,'[5]Study Budget Mapping '!$O$2:$P$532,2,0),"TBA")</f>
        <v>TBA</v>
      </c>
      <c r="D442" s="2" t="s">
        <v>113</v>
      </c>
      <c r="E442" s="2" t="s">
        <v>15</v>
      </c>
      <c r="F442" s="3">
        <v>0</v>
      </c>
      <c r="G442" s="3">
        <v>210157</v>
      </c>
      <c r="H442" s="4"/>
      <c r="I442" s="4"/>
      <c r="J442" s="4"/>
      <c r="K442" s="4"/>
      <c r="L442" s="4"/>
      <c r="M442" s="4"/>
    </row>
    <row r="443" spans="1:13" ht="15" customHeight="1" x14ac:dyDescent="0.35">
      <c r="A443" t="str">
        <f t="shared" si="6"/>
        <v>P612PN01C3931</v>
      </c>
      <c r="B443" t="str">
        <f>IFERROR(VLOOKUP($A443,'[5]Study Budget Mapping '!$O$2:$P$532,2,0),"TBA")</f>
        <v>TBA</v>
      </c>
      <c r="D443" s="2" t="s">
        <v>114</v>
      </c>
      <c r="E443" s="2" t="s">
        <v>15</v>
      </c>
      <c r="F443" s="3">
        <v>0</v>
      </c>
      <c r="G443" s="3">
        <v>1751080</v>
      </c>
      <c r="H443" s="4"/>
      <c r="I443" s="4"/>
      <c r="J443" s="4"/>
      <c r="K443" s="4"/>
      <c r="L443" s="4"/>
      <c r="M443" s="4"/>
    </row>
    <row r="444" spans="1:13" ht="15" customHeight="1" x14ac:dyDescent="0.35">
      <c r="A444" t="str">
        <f t="shared" si="6"/>
        <v>P612PN02C2411</v>
      </c>
      <c r="B444" t="str">
        <f>IFERROR(VLOOKUP($A444,'[5]Study Budget Mapping '!$O$2:$P$532,2,0),"TBA")</f>
        <v>TBA</v>
      </c>
      <c r="D444" s="2" t="s">
        <v>115</v>
      </c>
      <c r="E444" s="2" t="s">
        <v>13</v>
      </c>
      <c r="F444" s="3">
        <v>1362300</v>
      </c>
      <c r="G444" s="3">
        <v>0</v>
      </c>
      <c r="H444" s="4"/>
      <c r="I444" s="4"/>
      <c r="J444" s="4"/>
      <c r="K444" s="4"/>
      <c r="L444" s="4"/>
      <c r="M444" s="4"/>
    </row>
    <row r="445" spans="1:13" ht="15" customHeight="1" x14ac:dyDescent="0.35">
      <c r="A445" t="str">
        <f t="shared" si="6"/>
        <v>P612PN02C2411</v>
      </c>
      <c r="B445" t="str">
        <f>IFERROR(VLOOKUP($A445,'[5]Study Budget Mapping '!$O$2:$P$532,2,0),"TBA")</f>
        <v>TBA</v>
      </c>
      <c r="D445" s="2" t="s">
        <v>115</v>
      </c>
      <c r="E445" s="2" t="s">
        <v>14</v>
      </c>
      <c r="F445" s="3">
        <v>243750</v>
      </c>
      <c r="G445" s="3">
        <v>0</v>
      </c>
      <c r="H445" s="4"/>
      <c r="I445" s="4"/>
      <c r="J445" s="4"/>
      <c r="K445" s="4"/>
      <c r="L445" s="4"/>
      <c r="M445" s="4"/>
    </row>
    <row r="446" spans="1:13" ht="15" customHeight="1" x14ac:dyDescent="0.35">
      <c r="A446" t="str">
        <f t="shared" si="6"/>
        <v>P612PN02C2411</v>
      </c>
      <c r="B446" t="str">
        <f>IFERROR(VLOOKUP($A446,'[5]Study Budget Mapping '!$O$2:$P$532,2,0),"TBA")</f>
        <v>TBA</v>
      </c>
      <c r="D446" s="2" t="s">
        <v>115</v>
      </c>
      <c r="E446" s="2" t="s">
        <v>31</v>
      </c>
      <c r="F446" s="3">
        <v>6000</v>
      </c>
      <c r="G446" s="3">
        <v>0</v>
      </c>
      <c r="H446" s="4"/>
      <c r="I446" s="4"/>
      <c r="J446" s="4"/>
      <c r="K446" s="4"/>
      <c r="L446" s="4"/>
      <c r="M446" s="4"/>
    </row>
    <row r="447" spans="1:13" ht="15" customHeight="1" x14ac:dyDescent="0.35">
      <c r="A447" t="str">
        <f t="shared" si="6"/>
        <v>P612PN02C2411</v>
      </c>
      <c r="B447" t="str">
        <f>IFERROR(VLOOKUP($A447,'[5]Study Budget Mapping '!$O$2:$P$532,2,0),"TBA")</f>
        <v>TBA</v>
      </c>
      <c r="D447" s="2" t="s">
        <v>115</v>
      </c>
      <c r="E447" s="2" t="s">
        <v>15</v>
      </c>
      <c r="F447" s="3">
        <v>2343107</v>
      </c>
      <c r="G447" s="3">
        <v>4959646.97</v>
      </c>
      <c r="H447" s="4"/>
      <c r="I447" s="4"/>
      <c r="J447" s="4"/>
      <c r="K447" s="4"/>
      <c r="L447" s="4"/>
      <c r="M447" s="4"/>
    </row>
    <row r="448" spans="1:13" ht="15" customHeight="1" x14ac:dyDescent="0.35">
      <c r="A448" t="str">
        <f t="shared" si="6"/>
        <v>P612PN02C2411</v>
      </c>
      <c r="B448" t="str">
        <f>IFERROR(VLOOKUP($A448,'[5]Study Budget Mapping '!$O$2:$P$532,2,0),"TBA")</f>
        <v>TBA</v>
      </c>
      <c r="D448" s="2" t="s">
        <v>115</v>
      </c>
      <c r="E448" s="2" t="s">
        <v>16</v>
      </c>
      <c r="F448" s="3">
        <v>532401</v>
      </c>
      <c r="G448" s="3">
        <v>0</v>
      </c>
      <c r="H448" s="4"/>
      <c r="I448" s="4"/>
      <c r="J448" s="4"/>
      <c r="K448" s="4"/>
      <c r="L448" s="4"/>
      <c r="M448" s="4"/>
    </row>
    <row r="449" spans="1:13" ht="15" customHeight="1" x14ac:dyDescent="0.35">
      <c r="A449" t="str">
        <f t="shared" si="6"/>
        <v>P612PN02C2411</v>
      </c>
      <c r="B449" t="str">
        <f>IFERROR(VLOOKUP($A449,'[5]Study Budget Mapping '!$O$2:$P$532,2,0),"TBA")</f>
        <v>TBA</v>
      </c>
      <c r="D449" s="2" t="s">
        <v>115</v>
      </c>
      <c r="E449" s="2" t="s">
        <v>17</v>
      </c>
      <c r="F449" s="3">
        <v>226470</v>
      </c>
      <c r="G449" s="3">
        <v>0</v>
      </c>
      <c r="H449" s="4"/>
      <c r="I449" s="4"/>
      <c r="J449" s="4"/>
      <c r="K449" s="4"/>
      <c r="L449" s="4"/>
      <c r="M449" s="4"/>
    </row>
    <row r="450" spans="1:13" ht="15" customHeight="1" x14ac:dyDescent="0.35">
      <c r="A450" t="str">
        <f t="shared" si="6"/>
        <v>P612PN02C2411</v>
      </c>
      <c r="B450" t="str">
        <f>IFERROR(VLOOKUP($A450,'[5]Study Budget Mapping '!$O$2:$P$532,2,0),"TBA")</f>
        <v>TBA</v>
      </c>
      <c r="D450" s="2" t="s">
        <v>115</v>
      </c>
      <c r="E450" s="2" t="s">
        <v>28</v>
      </c>
      <c r="F450" s="3">
        <v>250400</v>
      </c>
      <c r="G450" s="3">
        <v>0</v>
      </c>
      <c r="H450" s="4"/>
      <c r="I450" s="4"/>
      <c r="J450" s="4"/>
      <c r="K450" s="4"/>
      <c r="L450" s="4"/>
      <c r="M450" s="4"/>
    </row>
    <row r="451" spans="1:13" ht="15" customHeight="1" x14ac:dyDescent="0.35">
      <c r="A451" t="str">
        <f t="shared" ref="A451:A514" si="7">TRIM(_xlfn.TEXTBEFORE(D451,"-",1))</f>
        <v>P612PN02C2411</v>
      </c>
      <c r="B451" t="str">
        <f>IFERROR(VLOOKUP($A451,'[5]Study Budget Mapping '!$O$2:$P$532,2,0),"TBA")</f>
        <v>TBA</v>
      </c>
      <c r="D451" s="2" t="s">
        <v>115</v>
      </c>
      <c r="E451" s="2" t="s">
        <v>23</v>
      </c>
      <c r="F451" s="3">
        <v>1213381</v>
      </c>
      <c r="G451" s="3">
        <v>0</v>
      </c>
      <c r="H451" s="4"/>
      <c r="I451" s="4"/>
      <c r="J451" s="4"/>
      <c r="K451" s="4"/>
      <c r="L451" s="4"/>
      <c r="M451" s="4"/>
    </row>
    <row r="452" spans="1:13" ht="15" customHeight="1" x14ac:dyDescent="0.35">
      <c r="A452" t="str">
        <f t="shared" si="7"/>
        <v>P612PN03C2411</v>
      </c>
      <c r="B452" t="str">
        <f>IFERROR(VLOOKUP($A452,'[5]Study Budget Mapping '!$O$2:$P$532,2,0),"TBA")</f>
        <v>TBA</v>
      </c>
      <c r="D452" s="2" t="s">
        <v>116</v>
      </c>
      <c r="E452" s="2" t="s">
        <v>13</v>
      </c>
      <c r="F452" s="3">
        <v>1667770</v>
      </c>
      <c r="G452" s="3">
        <v>0</v>
      </c>
      <c r="H452" s="4"/>
      <c r="I452" s="4"/>
      <c r="J452" s="4"/>
      <c r="K452" s="4"/>
      <c r="L452" s="4"/>
      <c r="M452" s="4"/>
    </row>
    <row r="453" spans="1:13" ht="15" customHeight="1" x14ac:dyDescent="0.35">
      <c r="A453" t="str">
        <f t="shared" si="7"/>
        <v>P612PN03C2411</v>
      </c>
      <c r="B453" t="str">
        <f>IFERROR(VLOOKUP($A453,'[5]Study Budget Mapping '!$O$2:$P$532,2,0),"TBA")</f>
        <v>TBA</v>
      </c>
      <c r="D453" s="2" t="s">
        <v>116</v>
      </c>
      <c r="E453" s="2" t="s">
        <v>14</v>
      </c>
      <c r="F453" s="3">
        <v>179632</v>
      </c>
      <c r="G453" s="3">
        <v>0</v>
      </c>
      <c r="H453" s="4"/>
      <c r="I453" s="4"/>
      <c r="J453" s="4"/>
      <c r="K453" s="4"/>
      <c r="L453" s="4"/>
      <c r="M453" s="4"/>
    </row>
    <row r="454" spans="1:13" ht="15" customHeight="1" x14ac:dyDescent="0.35">
      <c r="A454" t="str">
        <f t="shared" si="7"/>
        <v>P612PN03C2411</v>
      </c>
      <c r="B454" t="str">
        <f>IFERROR(VLOOKUP($A454,'[5]Study Budget Mapping '!$O$2:$P$532,2,0),"TBA")</f>
        <v>TBA</v>
      </c>
      <c r="D454" s="2" t="s">
        <v>116</v>
      </c>
      <c r="E454" s="2" t="s">
        <v>20</v>
      </c>
      <c r="F454" s="3">
        <v>96984</v>
      </c>
      <c r="G454" s="3">
        <v>0</v>
      </c>
      <c r="H454" s="4"/>
      <c r="I454" s="4"/>
      <c r="J454" s="4"/>
      <c r="K454" s="4"/>
      <c r="L454" s="4"/>
      <c r="M454" s="4"/>
    </row>
    <row r="455" spans="1:13" ht="15" customHeight="1" x14ac:dyDescent="0.35">
      <c r="A455" t="str">
        <f t="shared" si="7"/>
        <v>P612PN03C2411</v>
      </c>
      <c r="B455" t="str">
        <f>IFERROR(VLOOKUP($A455,'[5]Study Budget Mapping '!$O$2:$P$532,2,0),"TBA")</f>
        <v>TBA</v>
      </c>
      <c r="D455" s="2" t="s">
        <v>116</v>
      </c>
      <c r="E455" s="2" t="s">
        <v>31</v>
      </c>
      <c r="F455" s="3">
        <v>3600</v>
      </c>
      <c r="G455" s="3">
        <v>0</v>
      </c>
      <c r="H455" s="4"/>
      <c r="I455" s="4"/>
      <c r="J455" s="4"/>
      <c r="K455" s="4"/>
      <c r="L455" s="4"/>
      <c r="M455" s="4"/>
    </row>
    <row r="456" spans="1:13" ht="15" customHeight="1" x14ac:dyDescent="0.35">
      <c r="A456" t="str">
        <f t="shared" si="7"/>
        <v>P612PN03C2411</v>
      </c>
      <c r="B456" t="str">
        <f>IFERROR(VLOOKUP($A456,'[5]Study Budget Mapping '!$O$2:$P$532,2,0),"TBA")</f>
        <v>TBA</v>
      </c>
      <c r="D456" s="2" t="s">
        <v>116</v>
      </c>
      <c r="E456" s="2" t="s">
        <v>15</v>
      </c>
      <c r="F456" s="3">
        <v>1882738</v>
      </c>
      <c r="G456" s="3">
        <v>2313444.7599999998</v>
      </c>
      <c r="H456" s="4"/>
      <c r="I456" s="4"/>
      <c r="J456" s="4"/>
      <c r="K456" s="4"/>
      <c r="L456" s="4"/>
      <c r="M456" s="4"/>
    </row>
    <row r="457" spans="1:13" ht="15" customHeight="1" x14ac:dyDescent="0.35">
      <c r="A457" t="str">
        <f t="shared" si="7"/>
        <v>P612PN03C2411</v>
      </c>
      <c r="B457" t="str">
        <f>IFERROR(VLOOKUP($A457,'[5]Study Budget Mapping '!$O$2:$P$532,2,0),"TBA")</f>
        <v>TBA</v>
      </c>
      <c r="D457" s="2" t="s">
        <v>116</v>
      </c>
      <c r="E457" s="2" t="s">
        <v>16</v>
      </c>
      <c r="F457" s="3">
        <v>454177</v>
      </c>
      <c r="G457" s="3">
        <v>0</v>
      </c>
      <c r="H457" s="4"/>
      <c r="I457" s="4"/>
      <c r="J457" s="4"/>
      <c r="K457" s="4"/>
      <c r="L457" s="4"/>
      <c r="M457" s="4"/>
    </row>
    <row r="458" spans="1:13" ht="15" customHeight="1" x14ac:dyDescent="0.35">
      <c r="A458" t="str">
        <f t="shared" si="7"/>
        <v>P612PN03C2411</v>
      </c>
      <c r="B458" t="str">
        <f>IFERROR(VLOOKUP($A458,'[5]Study Budget Mapping '!$O$2:$P$532,2,0),"TBA")</f>
        <v>TBA</v>
      </c>
      <c r="D458" s="2" t="s">
        <v>116</v>
      </c>
      <c r="E458" s="2" t="s">
        <v>17</v>
      </c>
      <c r="F458" s="3">
        <v>254821</v>
      </c>
      <c r="G458" s="3">
        <v>0</v>
      </c>
      <c r="H458" s="4"/>
      <c r="I458" s="4"/>
      <c r="J458" s="4"/>
      <c r="K458" s="4"/>
      <c r="L458" s="4"/>
      <c r="M458" s="4"/>
    </row>
    <row r="459" spans="1:13" ht="15" customHeight="1" x14ac:dyDescent="0.35">
      <c r="A459" t="str">
        <f t="shared" si="7"/>
        <v>P612PN03C2411</v>
      </c>
      <c r="B459" t="str">
        <f>IFERROR(VLOOKUP($A459,'[5]Study Budget Mapping '!$O$2:$P$532,2,0),"TBA")</f>
        <v>TBA</v>
      </c>
      <c r="D459" s="2" t="s">
        <v>116</v>
      </c>
      <c r="E459" s="2" t="s">
        <v>28</v>
      </c>
      <c r="F459" s="3">
        <v>178200</v>
      </c>
      <c r="G459" s="3">
        <v>0</v>
      </c>
      <c r="H459" s="4"/>
      <c r="I459" s="4"/>
      <c r="J459" s="4"/>
      <c r="K459" s="4"/>
      <c r="L459" s="4"/>
      <c r="M459" s="4"/>
    </row>
    <row r="460" spans="1:13" ht="15" customHeight="1" x14ac:dyDescent="0.35">
      <c r="A460" t="str">
        <f t="shared" si="7"/>
        <v>P612PN03C2411</v>
      </c>
      <c r="B460" t="str">
        <f>IFERROR(VLOOKUP($A460,'[5]Study Budget Mapping '!$O$2:$P$532,2,0),"TBA")</f>
        <v>TBA</v>
      </c>
      <c r="D460" s="2" t="s">
        <v>116</v>
      </c>
      <c r="E460" s="2" t="s">
        <v>23</v>
      </c>
      <c r="F460" s="3">
        <v>512802</v>
      </c>
      <c r="G460" s="3">
        <v>0</v>
      </c>
      <c r="H460" s="4"/>
      <c r="I460" s="4"/>
      <c r="J460" s="4"/>
      <c r="K460" s="4"/>
      <c r="L460" s="4"/>
      <c r="M460" s="4"/>
    </row>
    <row r="461" spans="1:13" ht="15" customHeight="1" x14ac:dyDescent="0.35">
      <c r="A461" t="str">
        <f t="shared" si="7"/>
        <v>P612PN05C3732</v>
      </c>
      <c r="B461" t="str">
        <f>IFERROR(VLOOKUP($A461,'[5]Study Budget Mapping '!$O$2:$P$532,2,0),"TBA")</f>
        <v>TBA</v>
      </c>
      <c r="D461" s="2" t="s">
        <v>117</v>
      </c>
      <c r="E461" s="2" t="s">
        <v>15</v>
      </c>
      <c r="F461" s="3">
        <v>5000000</v>
      </c>
      <c r="G461" s="3">
        <v>0</v>
      </c>
      <c r="H461" s="4"/>
      <c r="I461" s="4"/>
      <c r="J461" s="4"/>
      <c r="K461" s="4"/>
      <c r="L461" s="4"/>
      <c r="M461" s="4"/>
    </row>
    <row r="462" spans="1:13" ht="15" customHeight="1" x14ac:dyDescent="0.35">
      <c r="A462" t="str">
        <f t="shared" si="7"/>
        <v>P612PN05C3733</v>
      </c>
      <c r="B462" t="str">
        <f>IFERROR(VLOOKUP($A462,'[5]Study Budget Mapping '!$O$2:$P$532,2,0),"TBA")</f>
        <v>TBA</v>
      </c>
      <c r="D462" s="2" t="s">
        <v>118</v>
      </c>
      <c r="E462" s="2" t="s">
        <v>22</v>
      </c>
      <c r="F462" s="3">
        <v>5000000</v>
      </c>
      <c r="G462" s="3">
        <v>0</v>
      </c>
      <c r="H462" s="4"/>
      <c r="I462" s="4"/>
      <c r="J462" s="4"/>
      <c r="K462" s="4"/>
      <c r="L462" s="4"/>
      <c r="M462" s="4"/>
    </row>
    <row r="463" spans="1:13" ht="15" customHeight="1" x14ac:dyDescent="0.35">
      <c r="A463" t="str">
        <f t="shared" si="7"/>
        <v>P620IM00C3731</v>
      </c>
      <c r="B463" t="str">
        <f>IFERROR(VLOOKUP($A463,'[5]Study Budget Mapping '!$O$2:$P$532,2,0),"TBA")</f>
        <v>TBA</v>
      </c>
      <c r="D463" s="2" t="s">
        <v>119</v>
      </c>
      <c r="E463" s="2" t="s">
        <v>13</v>
      </c>
      <c r="F463" s="3">
        <v>5598189</v>
      </c>
      <c r="G463" s="3">
        <v>2900000</v>
      </c>
      <c r="H463" s="4"/>
      <c r="I463" s="4"/>
      <c r="J463" s="4"/>
      <c r="K463" s="4"/>
      <c r="L463" s="4"/>
      <c r="M463" s="4"/>
    </row>
    <row r="464" spans="1:13" ht="15" customHeight="1" x14ac:dyDescent="0.35">
      <c r="A464" t="str">
        <f t="shared" si="7"/>
        <v>P620IM00C3731</v>
      </c>
      <c r="B464" t="str">
        <f>IFERROR(VLOOKUP($A464,'[5]Study Budget Mapping '!$O$2:$P$532,2,0),"TBA")</f>
        <v>TBA</v>
      </c>
      <c r="D464" s="2" t="s">
        <v>119</v>
      </c>
      <c r="E464" s="2" t="s">
        <v>14</v>
      </c>
      <c r="F464" s="3">
        <v>1960000</v>
      </c>
      <c r="G464" s="3">
        <v>1720000</v>
      </c>
      <c r="H464" s="4"/>
      <c r="I464" s="4"/>
      <c r="J464" s="4"/>
      <c r="K464" s="4"/>
      <c r="L464" s="4"/>
      <c r="M464" s="4"/>
    </row>
    <row r="465" spans="1:13" ht="15" customHeight="1" x14ac:dyDescent="0.35">
      <c r="A465" t="str">
        <f t="shared" si="7"/>
        <v>P620IM00C3731</v>
      </c>
      <c r="B465" t="str">
        <f>IFERROR(VLOOKUP($A465,'[5]Study Budget Mapping '!$O$2:$P$532,2,0),"TBA")</f>
        <v>TBA</v>
      </c>
      <c r="D465" s="2" t="s">
        <v>119</v>
      </c>
      <c r="E465" s="2" t="s">
        <v>19</v>
      </c>
      <c r="F465" s="3">
        <v>3700000</v>
      </c>
      <c r="G465" s="3">
        <v>4430000</v>
      </c>
      <c r="H465" s="4"/>
      <c r="I465" s="4"/>
      <c r="J465" s="4"/>
      <c r="K465" s="4"/>
      <c r="L465" s="4"/>
      <c r="M465" s="4"/>
    </row>
    <row r="466" spans="1:13" ht="15" customHeight="1" x14ac:dyDescent="0.35">
      <c r="A466" t="str">
        <f t="shared" si="7"/>
        <v>P620IM00C3731</v>
      </c>
      <c r="B466" t="str">
        <f>IFERROR(VLOOKUP($A466,'[5]Study Budget Mapping '!$O$2:$P$532,2,0),"TBA")</f>
        <v>TBA</v>
      </c>
      <c r="D466" s="2" t="s">
        <v>119</v>
      </c>
      <c r="E466" s="2" t="s">
        <v>20</v>
      </c>
      <c r="F466" s="3">
        <v>0</v>
      </c>
      <c r="G466" s="3">
        <v>650000</v>
      </c>
      <c r="H466" s="4"/>
      <c r="I466" s="4"/>
      <c r="J466" s="4"/>
      <c r="K466" s="4"/>
      <c r="L466" s="4"/>
      <c r="M466" s="4"/>
    </row>
    <row r="467" spans="1:13" ht="15" customHeight="1" x14ac:dyDescent="0.35">
      <c r="A467" t="str">
        <f t="shared" si="7"/>
        <v>P620IM00C3731</v>
      </c>
      <c r="B467" t="str">
        <f>IFERROR(VLOOKUP($A467,'[5]Study Budget Mapping '!$O$2:$P$532,2,0),"TBA")</f>
        <v>TBA</v>
      </c>
      <c r="D467" s="2" t="s">
        <v>119</v>
      </c>
      <c r="E467" s="2" t="s">
        <v>21</v>
      </c>
      <c r="F467" s="3">
        <v>0</v>
      </c>
      <c r="G467" s="3">
        <v>1290000</v>
      </c>
      <c r="H467" s="4"/>
      <c r="I467" s="4"/>
      <c r="J467" s="4"/>
      <c r="K467" s="4"/>
      <c r="L467" s="4"/>
      <c r="M467" s="4"/>
    </row>
    <row r="468" spans="1:13" ht="15" customHeight="1" x14ac:dyDescent="0.35">
      <c r="A468" t="str">
        <f t="shared" si="7"/>
        <v>P620IM00C3731</v>
      </c>
      <c r="B468" t="str">
        <f>IFERROR(VLOOKUP($A468,'[5]Study Budget Mapping '!$O$2:$P$532,2,0),"TBA")</f>
        <v>TBA</v>
      </c>
      <c r="D468" s="2" t="s">
        <v>119</v>
      </c>
      <c r="E468" s="2" t="s">
        <v>15</v>
      </c>
      <c r="F468" s="3">
        <v>13876000</v>
      </c>
      <c r="G468" s="3">
        <v>14620000</v>
      </c>
      <c r="H468" s="4"/>
      <c r="I468" s="4"/>
      <c r="J468" s="4"/>
      <c r="K468" s="4"/>
      <c r="L468" s="4"/>
      <c r="M468" s="4"/>
    </row>
    <row r="469" spans="1:13" ht="15" customHeight="1" x14ac:dyDescent="0.35">
      <c r="A469" t="str">
        <f t="shared" si="7"/>
        <v>P620IM00C3731</v>
      </c>
      <c r="B469" t="str">
        <f>IFERROR(VLOOKUP($A469,'[5]Study Budget Mapping '!$O$2:$P$532,2,0),"TBA")</f>
        <v>TBA</v>
      </c>
      <c r="D469" s="2" t="s">
        <v>119</v>
      </c>
      <c r="E469" s="2" t="s">
        <v>22</v>
      </c>
      <c r="F469" s="3">
        <v>0</v>
      </c>
      <c r="G469" s="3">
        <v>1680000</v>
      </c>
      <c r="H469" s="4"/>
      <c r="I469" s="4"/>
      <c r="J469" s="4"/>
      <c r="K469" s="4"/>
      <c r="L469" s="4"/>
      <c r="M469" s="4"/>
    </row>
    <row r="470" spans="1:13" ht="15" customHeight="1" x14ac:dyDescent="0.35">
      <c r="A470" t="str">
        <f t="shared" si="7"/>
        <v>P620IM00C3731</v>
      </c>
      <c r="B470" t="str">
        <f>IFERROR(VLOOKUP($A470,'[5]Study Budget Mapping '!$O$2:$P$532,2,0),"TBA")</f>
        <v>TBA</v>
      </c>
      <c r="D470" s="2" t="s">
        <v>119</v>
      </c>
      <c r="E470" s="2" t="s">
        <v>16</v>
      </c>
      <c r="F470" s="3">
        <v>3340000</v>
      </c>
      <c r="G470" s="3">
        <v>2600000</v>
      </c>
      <c r="H470" s="4"/>
      <c r="I470" s="4"/>
      <c r="J470" s="4"/>
      <c r="K470" s="4"/>
      <c r="L470" s="4"/>
      <c r="M470" s="4"/>
    </row>
    <row r="471" spans="1:13" ht="15" customHeight="1" x14ac:dyDescent="0.35">
      <c r="A471" t="str">
        <f t="shared" si="7"/>
        <v>P620IM00C3731</v>
      </c>
      <c r="B471" t="str">
        <f>IFERROR(VLOOKUP($A471,'[5]Study Budget Mapping '!$O$2:$P$532,2,0),"TBA")</f>
        <v>TBA</v>
      </c>
      <c r="D471" s="2" t="s">
        <v>119</v>
      </c>
      <c r="E471" s="2" t="s">
        <v>17</v>
      </c>
      <c r="F471" s="3">
        <v>460000</v>
      </c>
      <c r="G471" s="3">
        <v>630000</v>
      </c>
      <c r="H471" s="4"/>
      <c r="I471" s="4"/>
      <c r="J471" s="4"/>
      <c r="K471" s="4"/>
      <c r="L471" s="4"/>
      <c r="M471" s="4"/>
    </row>
    <row r="472" spans="1:13" ht="15" customHeight="1" x14ac:dyDescent="0.35">
      <c r="A472" t="str">
        <f t="shared" si="7"/>
        <v>P620IM00C3731</v>
      </c>
      <c r="B472" t="str">
        <f>IFERROR(VLOOKUP($A472,'[5]Study Budget Mapping '!$O$2:$P$532,2,0),"TBA")</f>
        <v>TBA</v>
      </c>
      <c r="D472" s="2" t="s">
        <v>119</v>
      </c>
      <c r="E472" s="2" t="s">
        <v>23</v>
      </c>
      <c r="F472" s="3">
        <v>590000</v>
      </c>
      <c r="G472" s="3">
        <v>0</v>
      </c>
      <c r="H472" s="4"/>
      <c r="I472" s="4"/>
      <c r="J472" s="4"/>
      <c r="K472" s="4"/>
      <c r="L472" s="4"/>
      <c r="M472" s="4"/>
    </row>
    <row r="473" spans="1:13" ht="15" customHeight="1" x14ac:dyDescent="0.35">
      <c r="A473" t="str">
        <f t="shared" si="7"/>
        <v>P620IM00C3731</v>
      </c>
      <c r="B473" t="str">
        <f>IFERROR(VLOOKUP($A473,'[5]Study Budget Mapping '!$O$2:$P$532,2,0),"TBA")</f>
        <v>TBA</v>
      </c>
      <c r="D473" s="2" t="s">
        <v>119</v>
      </c>
      <c r="E473" s="2" t="s">
        <v>24</v>
      </c>
      <c r="F473" s="3">
        <v>1250000</v>
      </c>
      <c r="G473" s="3">
        <v>70000</v>
      </c>
      <c r="H473" s="4"/>
      <c r="I473" s="4"/>
      <c r="J473" s="4"/>
      <c r="K473" s="4"/>
      <c r="L473" s="4"/>
      <c r="M473" s="4"/>
    </row>
    <row r="474" spans="1:13" ht="15" customHeight="1" x14ac:dyDescent="0.35">
      <c r="A474" t="str">
        <f t="shared" si="7"/>
        <v>P620IM00C4011</v>
      </c>
      <c r="B474" t="str">
        <f>IFERROR(VLOOKUP($A474,'[5]Study Budget Mapping '!$O$2:$P$532,2,0),"TBA")</f>
        <v>TBA</v>
      </c>
      <c r="D474" s="2" t="s">
        <v>120</v>
      </c>
      <c r="E474" s="2" t="s">
        <v>19</v>
      </c>
      <c r="F474" s="3">
        <v>2110000</v>
      </c>
      <c r="G474" s="3">
        <v>2110000</v>
      </c>
      <c r="H474" s="4"/>
      <c r="I474" s="4"/>
      <c r="J474" s="4"/>
      <c r="K474" s="4"/>
      <c r="L474" s="4"/>
      <c r="M474" s="4"/>
    </row>
    <row r="475" spans="1:13" ht="15" customHeight="1" x14ac:dyDescent="0.35">
      <c r="A475" t="str">
        <f t="shared" si="7"/>
        <v>P620IM00C6021</v>
      </c>
      <c r="B475" t="str">
        <f>IFERROR(VLOOKUP($A475,'[5]Study Budget Mapping '!$O$2:$P$532,2,0),"TBA")</f>
        <v>TBA</v>
      </c>
      <c r="D475" s="2" t="s">
        <v>121</v>
      </c>
      <c r="E475" s="2" t="s">
        <v>19</v>
      </c>
      <c r="F475" s="3">
        <v>141000</v>
      </c>
      <c r="G475" s="3">
        <v>141000</v>
      </c>
      <c r="H475" s="4"/>
      <c r="I475" s="4"/>
      <c r="J475" s="4"/>
      <c r="K475" s="4"/>
      <c r="L475" s="4"/>
      <c r="M475" s="4"/>
    </row>
    <row r="476" spans="1:13" ht="15" customHeight="1" x14ac:dyDescent="0.35">
      <c r="A476" t="str">
        <f t="shared" si="7"/>
        <v>P620IM07C4011</v>
      </c>
      <c r="B476" t="str">
        <f>IFERROR(VLOOKUP($A476,'[5]Study Budget Mapping '!$O$2:$P$532,2,0),"TBA")</f>
        <v>TBA</v>
      </c>
      <c r="D476" s="2" t="s">
        <v>122</v>
      </c>
      <c r="E476" s="2" t="s">
        <v>13</v>
      </c>
      <c r="F476" s="3">
        <v>7000000</v>
      </c>
      <c r="G476" s="3">
        <v>10500000</v>
      </c>
      <c r="H476" s="4"/>
      <c r="I476" s="4"/>
      <c r="J476" s="4"/>
      <c r="K476" s="4"/>
      <c r="L476" s="4"/>
      <c r="M476" s="4"/>
    </row>
    <row r="477" spans="1:13" ht="15" customHeight="1" x14ac:dyDescent="0.35">
      <c r="A477" t="str">
        <f t="shared" si="7"/>
        <v>P620IM07C4011</v>
      </c>
      <c r="B477" t="str">
        <f>IFERROR(VLOOKUP($A477,'[5]Study Budget Mapping '!$O$2:$P$532,2,0),"TBA")</f>
        <v>TBA</v>
      </c>
      <c r="D477" s="2" t="s">
        <v>122</v>
      </c>
      <c r="E477" s="2" t="s">
        <v>19</v>
      </c>
      <c r="F477" s="3">
        <v>1610000</v>
      </c>
      <c r="G477" s="3">
        <v>1223965</v>
      </c>
      <c r="H477" s="4"/>
      <c r="I477" s="4"/>
      <c r="J477" s="4"/>
      <c r="K477" s="4"/>
      <c r="L477" s="4"/>
      <c r="M477" s="4"/>
    </row>
    <row r="478" spans="1:13" ht="15" customHeight="1" x14ac:dyDescent="0.35">
      <c r="A478" t="str">
        <f t="shared" si="7"/>
        <v>P620IM07C4011</v>
      </c>
      <c r="B478" t="str">
        <f>IFERROR(VLOOKUP($A478,'[5]Study Budget Mapping '!$O$2:$P$532,2,0),"TBA")</f>
        <v>TBA</v>
      </c>
      <c r="D478" s="2" t="s">
        <v>122</v>
      </c>
      <c r="E478" s="2" t="s">
        <v>15</v>
      </c>
      <c r="F478" s="3">
        <v>6870000</v>
      </c>
      <c r="G478" s="3">
        <v>11320000</v>
      </c>
      <c r="H478" s="4"/>
      <c r="I478" s="4"/>
      <c r="J478" s="4"/>
      <c r="K478" s="4"/>
      <c r="L478" s="4"/>
      <c r="M478" s="4"/>
    </row>
    <row r="479" spans="1:13" ht="15" customHeight="1" x14ac:dyDescent="0.35">
      <c r="A479" t="str">
        <f t="shared" si="7"/>
        <v>P620IM07C4011</v>
      </c>
      <c r="B479" t="str">
        <f>IFERROR(VLOOKUP($A479,'[5]Study Budget Mapping '!$O$2:$P$532,2,0),"TBA")</f>
        <v>TBA</v>
      </c>
      <c r="D479" s="2" t="s">
        <v>122</v>
      </c>
      <c r="E479" s="2" t="s">
        <v>22</v>
      </c>
      <c r="F479" s="3">
        <v>0</v>
      </c>
      <c r="G479" s="3">
        <v>1300000</v>
      </c>
      <c r="H479" s="4"/>
      <c r="I479" s="4"/>
      <c r="J479" s="4"/>
      <c r="K479" s="4"/>
      <c r="L479" s="4"/>
      <c r="M479" s="4"/>
    </row>
    <row r="480" spans="1:13" ht="15" customHeight="1" x14ac:dyDescent="0.35">
      <c r="A480" t="str">
        <f t="shared" si="7"/>
        <v>P620IM07C4011</v>
      </c>
      <c r="B480" t="str">
        <f>IFERROR(VLOOKUP($A480,'[5]Study Budget Mapping '!$O$2:$P$532,2,0),"TBA")</f>
        <v>TBA</v>
      </c>
      <c r="D480" s="2" t="s">
        <v>122</v>
      </c>
      <c r="E480" s="2" t="s">
        <v>16</v>
      </c>
      <c r="F480" s="3">
        <v>1030000</v>
      </c>
      <c r="G480" s="3">
        <v>1245000</v>
      </c>
      <c r="H480" s="4"/>
      <c r="I480" s="4"/>
      <c r="J480" s="4"/>
      <c r="K480" s="4"/>
      <c r="L480" s="4"/>
      <c r="M480" s="4"/>
    </row>
    <row r="481" spans="1:13" ht="15" customHeight="1" x14ac:dyDescent="0.35">
      <c r="A481" t="str">
        <f t="shared" si="7"/>
        <v>P620IM07C4011</v>
      </c>
      <c r="B481" t="str">
        <f>IFERROR(VLOOKUP($A481,'[5]Study Budget Mapping '!$O$2:$P$532,2,0),"TBA")</f>
        <v>TBA</v>
      </c>
      <c r="D481" s="2" t="s">
        <v>122</v>
      </c>
      <c r="E481" s="2" t="s">
        <v>23</v>
      </c>
      <c r="F481" s="3">
        <v>0</v>
      </c>
      <c r="G481" s="3">
        <v>260000</v>
      </c>
      <c r="H481" s="4"/>
      <c r="I481" s="4"/>
      <c r="J481" s="4"/>
      <c r="K481" s="4"/>
      <c r="L481" s="4"/>
      <c r="M481" s="4"/>
    </row>
    <row r="482" spans="1:13" ht="15" customHeight="1" x14ac:dyDescent="0.35">
      <c r="A482" t="str">
        <f t="shared" si="7"/>
        <v>P620IM07C4731</v>
      </c>
      <c r="B482" t="str">
        <f>IFERROR(VLOOKUP($A482,'[5]Study Budget Mapping '!$O$2:$P$532,2,0),"TBA")</f>
        <v>TBA</v>
      </c>
      <c r="D482" s="2" t="s">
        <v>123</v>
      </c>
      <c r="E482" s="2" t="s">
        <v>13</v>
      </c>
      <c r="F482" s="3">
        <v>2680000</v>
      </c>
      <c r="G482" s="3">
        <v>5050000</v>
      </c>
      <c r="H482" s="4"/>
      <c r="I482" s="4"/>
      <c r="J482" s="4"/>
      <c r="K482" s="4"/>
      <c r="L482" s="4"/>
      <c r="M482" s="4"/>
    </row>
    <row r="483" spans="1:13" ht="15" customHeight="1" x14ac:dyDescent="0.35">
      <c r="A483" t="str">
        <f t="shared" si="7"/>
        <v>P620IM07C4731</v>
      </c>
      <c r="B483" t="str">
        <f>IFERROR(VLOOKUP($A483,'[5]Study Budget Mapping '!$O$2:$P$532,2,0),"TBA")</f>
        <v>TBA</v>
      </c>
      <c r="D483" s="2" t="s">
        <v>123</v>
      </c>
      <c r="E483" s="2" t="s">
        <v>14</v>
      </c>
      <c r="F483" s="3">
        <v>280000</v>
      </c>
      <c r="G483" s="3">
        <v>510000</v>
      </c>
      <c r="H483" s="4"/>
      <c r="I483" s="4"/>
      <c r="J483" s="4"/>
      <c r="K483" s="4"/>
      <c r="L483" s="4"/>
      <c r="M483" s="4"/>
    </row>
    <row r="484" spans="1:13" ht="15" customHeight="1" x14ac:dyDescent="0.35">
      <c r="A484" t="str">
        <f t="shared" si="7"/>
        <v>P620IM07C4731</v>
      </c>
      <c r="B484" t="str">
        <f>IFERROR(VLOOKUP($A484,'[5]Study Budget Mapping '!$O$2:$P$532,2,0),"TBA")</f>
        <v>TBA</v>
      </c>
      <c r="D484" s="2" t="s">
        <v>123</v>
      </c>
      <c r="E484" s="2" t="s">
        <v>19</v>
      </c>
      <c r="F484" s="3">
        <v>7290000</v>
      </c>
      <c r="G484" s="3">
        <v>7854000</v>
      </c>
      <c r="H484" s="4"/>
      <c r="I484" s="4"/>
      <c r="J484" s="4"/>
      <c r="K484" s="4"/>
      <c r="L484" s="4"/>
      <c r="M484" s="4"/>
    </row>
    <row r="485" spans="1:13" ht="15" customHeight="1" x14ac:dyDescent="0.35">
      <c r="A485" t="str">
        <f t="shared" si="7"/>
        <v>P620IM07C4731</v>
      </c>
      <c r="B485" t="str">
        <f>IFERROR(VLOOKUP($A485,'[5]Study Budget Mapping '!$O$2:$P$532,2,0),"TBA")</f>
        <v>TBA</v>
      </c>
      <c r="D485" s="2" t="s">
        <v>123</v>
      </c>
      <c r="E485" s="2" t="s">
        <v>15</v>
      </c>
      <c r="F485" s="3">
        <v>5880000</v>
      </c>
      <c r="G485" s="3">
        <v>6035000</v>
      </c>
      <c r="H485" s="4"/>
      <c r="I485" s="4"/>
      <c r="J485" s="4"/>
      <c r="K485" s="4"/>
      <c r="L485" s="4"/>
      <c r="M485" s="4"/>
    </row>
    <row r="486" spans="1:13" ht="15" customHeight="1" x14ac:dyDescent="0.35">
      <c r="A486" t="str">
        <f t="shared" si="7"/>
        <v>P620IM07C4731</v>
      </c>
      <c r="B486" t="str">
        <f>IFERROR(VLOOKUP($A486,'[5]Study Budget Mapping '!$O$2:$P$532,2,0),"TBA")</f>
        <v>TBA</v>
      </c>
      <c r="D486" s="2" t="s">
        <v>123</v>
      </c>
      <c r="E486" s="2" t="s">
        <v>16</v>
      </c>
      <c r="F486" s="3">
        <v>1580000</v>
      </c>
      <c r="G486" s="3">
        <v>1200000</v>
      </c>
      <c r="H486" s="4"/>
      <c r="I486" s="4"/>
      <c r="J486" s="4"/>
      <c r="K486" s="4"/>
      <c r="L486" s="4"/>
      <c r="M486" s="4"/>
    </row>
    <row r="487" spans="1:13" ht="15" customHeight="1" x14ac:dyDescent="0.35">
      <c r="A487" t="str">
        <f t="shared" si="7"/>
        <v>P620IM07C4731</v>
      </c>
      <c r="B487" t="str">
        <f>IFERROR(VLOOKUP($A487,'[5]Study Budget Mapping '!$O$2:$P$532,2,0),"TBA")</f>
        <v>TBA</v>
      </c>
      <c r="D487" s="2" t="s">
        <v>123</v>
      </c>
      <c r="E487" s="2" t="s">
        <v>17</v>
      </c>
      <c r="F487" s="3">
        <v>250000</v>
      </c>
      <c r="G487" s="3">
        <v>330000</v>
      </c>
      <c r="H487" s="4"/>
      <c r="I487" s="4"/>
      <c r="J487" s="4"/>
      <c r="K487" s="4"/>
      <c r="L487" s="4"/>
      <c r="M487" s="4"/>
    </row>
    <row r="488" spans="1:13" ht="15" customHeight="1" x14ac:dyDescent="0.35">
      <c r="A488" t="str">
        <f t="shared" si="7"/>
        <v>P620IM07C4731</v>
      </c>
      <c r="B488" t="str">
        <f>IFERROR(VLOOKUP($A488,'[5]Study Budget Mapping '!$O$2:$P$532,2,0),"TBA")</f>
        <v>TBA</v>
      </c>
      <c r="D488" s="2" t="s">
        <v>123</v>
      </c>
      <c r="E488" s="2" t="s">
        <v>23</v>
      </c>
      <c r="F488" s="3">
        <v>0</v>
      </c>
      <c r="G488" s="3">
        <v>15000</v>
      </c>
      <c r="H488" s="4"/>
      <c r="I488" s="4"/>
      <c r="J488" s="4"/>
      <c r="K488" s="4"/>
      <c r="L488" s="4"/>
      <c r="M488" s="4"/>
    </row>
    <row r="489" spans="1:13" ht="15" customHeight="1" x14ac:dyDescent="0.35">
      <c r="A489" t="str">
        <f t="shared" si="7"/>
        <v>P620IM07C4731</v>
      </c>
      <c r="B489" t="str">
        <f>IFERROR(VLOOKUP($A489,'[5]Study Budget Mapping '!$O$2:$P$532,2,0),"TBA")</f>
        <v>TBA</v>
      </c>
      <c r="D489" s="2" t="s">
        <v>123</v>
      </c>
      <c r="E489" s="2" t="s">
        <v>24</v>
      </c>
      <c r="F489" s="3">
        <v>700000</v>
      </c>
      <c r="G489" s="3">
        <v>610000</v>
      </c>
      <c r="H489" s="4"/>
      <c r="I489" s="4"/>
      <c r="J489" s="4"/>
      <c r="K489" s="4"/>
      <c r="L489" s="4"/>
      <c r="M489" s="4"/>
    </row>
    <row r="490" spans="1:13" ht="15" customHeight="1" x14ac:dyDescent="0.35">
      <c r="A490" t="str">
        <f t="shared" si="7"/>
        <v>P620IM07C4732</v>
      </c>
      <c r="B490" t="str">
        <f>IFERROR(VLOOKUP($A490,'[5]Study Budget Mapping '!$O$2:$P$532,2,0),"TBA")</f>
        <v>TBA</v>
      </c>
      <c r="D490" s="2" t="s">
        <v>124</v>
      </c>
      <c r="E490" s="2" t="s">
        <v>15</v>
      </c>
      <c r="F490" s="3">
        <v>5000000</v>
      </c>
      <c r="G490" s="3">
        <v>5000000</v>
      </c>
      <c r="H490" s="4"/>
      <c r="I490" s="4"/>
      <c r="J490" s="4"/>
      <c r="K490" s="4"/>
      <c r="L490" s="4"/>
      <c r="M490" s="4"/>
    </row>
    <row r="491" spans="1:13" ht="15" customHeight="1" x14ac:dyDescent="0.35">
      <c r="A491" t="str">
        <f t="shared" si="7"/>
        <v>P620IM07C6021</v>
      </c>
      <c r="B491" t="str">
        <f>IFERROR(VLOOKUP($A491,'[5]Study Budget Mapping '!$O$2:$P$532,2,0),"TBA")</f>
        <v>TBA</v>
      </c>
      <c r="D491" s="2" t="s">
        <v>125</v>
      </c>
      <c r="E491" s="2" t="s">
        <v>13</v>
      </c>
      <c r="F491" s="3">
        <v>85000</v>
      </c>
      <c r="G491" s="3">
        <v>126000</v>
      </c>
      <c r="H491" s="4"/>
      <c r="I491" s="4"/>
      <c r="J491" s="4"/>
      <c r="K491" s="4"/>
      <c r="L491" s="4"/>
      <c r="M491" s="4"/>
    </row>
    <row r="492" spans="1:13" ht="15" customHeight="1" x14ac:dyDescent="0.35">
      <c r="A492" t="str">
        <f t="shared" si="7"/>
        <v>P620IM07C6021</v>
      </c>
      <c r="B492" t="str">
        <f>IFERROR(VLOOKUP($A492,'[5]Study Budget Mapping '!$O$2:$P$532,2,0),"TBA")</f>
        <v>TBA</v>
      </c>
      <c r="D492" s="2" t="s">
        <v>125</v>
      </c>
      <c r="E492" s="2" t="s">
        <v>19</v>
      </c>
      <c r="F492" s="3">
        <v>56000</v>
      </c>
      <c r="G492" s="3">
        <v>57000</v>
      </c>
      <c r="H492" s="4"/>
      <c r="I492" s="4"/>
      <c r="J492" s="4"/>
      <c r="K492" s="4"/>
      <c r="L492" s="4"/>
      <c r="M492" s="4"/>
    </row>
    <row r="493" spans="1:13" ht="15" customHeight="1" x14ac:dyDescent="0.35">
      <c r="A493" t="str">
        <f t="shared" si="7"/>
        <v>P620IM08C2931</v>
      </c>
      <c r="B493" t="str">
        <f>IFERROR(VLOOKUP($A493,'[5]Study Budget Mapping '!$O$2:$P$532,2,0),"TBA")</f>
        <v>TBA</v>
      </c>
      <c r="D493" s="2" t="s">
        <v>126</v>
      </c>
      <c r="E493" s="2" t="s">
        <v>13</v>
      </c>
      <c r="F493" s="3">
        <v>6700000</v>
      </c>
      <c r="G493" s="3">
        <v>6660000</v>
      </c>
      <c r="H493" s="4"/>
      <c r="I493" s="4"/>
      <c r="J493" s="4"/>
      <c r="K493" s="4"/>
      <c r="L493" s="4"/>
      <c r="M493" s="4"/>
    </row>
    <row r="494" spans="1:13" ht="15" customHeight="1" x14ac:dyDescent="0.35">
      <c r="A494" t="str">
        <f t="shared" si="7"/>
        <v>P620IM08C2931</v>
      </c>
      <c r="B494" t="str">
        <f>IFERROR(VLOOKUP($A494,'[5]Study Budget Mapping '!$O$2:$P$532,2,0),"TBA")</f>
        <v>TBA</v>
      </c>
      <c r="D494" s="2" t="s">
        <v>126</v>
      </c>
      <c r="E494" s="2" t="s">
        <v>14</v>
      </c>
      <c r="F494" s="3">
        <v>1200000</v>
      </c>
      <c r="G494" s="3">
        <v>1520000</v>
      </c>
      <c r="H494" s="4"/>
      <c r="I494" s="4"/>
      <c r="J494" s="4"/>
      <c r="K494" s="4"/>
      <c r="L494" s="4"/>
      <c r="M494" s="4"/>
    </row>
    <row r="495" spans="1:13" ht="15" customHeight="1" x14ac:dyDescent="0.35">
      <c r="A495" t="str">
        <f t="shared" si="7"/>
        <v>P620IM08C2931</v>
      </c>
      <c r="B495" t="str">
        <f>IFERROR(VLOOKUP($A495,'[5]Study Budget Mapping '!$O$2:$P$532,2,0),"TBA")</f>
        <v>TBA</v>
      </c>
      <c r="D495" s="2" t="s">
        <v>126</v>
      </c>
      <c r="E495" s="2" t="s">
        <v>19</v>
      </c>
      <c r="F495" s="3">
        <v>1610000</v>
      </c>
      <c r="G495" s="3">
        <v>1589000</v>
      </c>
      <c r="H495" s="4"/>
      <c r="I495" s="4"/>
      <c r="J495" s="4"/>
      <c r="K495" s="4"/>
      <c r="L495" s="4"/>
      <c r="M495" s="4"/>
    </row>
    <row r="496" spans="1:13" ht="15" customHeight="1" x14ac:dyDescent="0.35">
      <c r="A496" t="str">
        <f t="shared" si="7"/>
        <v>P620IM08C2931</v>
      </c>
      <c r="B496" t="str">
        <f>IFERROR(VLOOKUP($A496,'[5]Study Budget Mapping '!$O$2:$P$532,2,0),"TBA")</f>
        <v>TBA</v>
      </c>
      <c r="D496" s="2" t="s">
        <v>126</v>
      </c>
      <c r="E496" s="2" t="s">
        <v>20</v>
      </c>
      <c r="F496" s="3">
        <v>100000</v>
      </c>
      <c r="G496" s="3">
        <v>110000</v>
      </c>
      <c r="H496" s="4"/>
      <c r="I496" s="4"/>
      <c r="J496" s="4"/>
      <c r="K496" s="4"/>
      <c r="L496" s="4"/>
      <c r="M496" s="4"/>
    </row>
    <row r="497" spans="1:13" ht="15" customHeight="1" x14ac:dyDescent="0.35">
      <c r="A497" t="str">
        <f t="shared" si="7"/>
        <v>P620IM08C2931</v>
      </c>
      <c r="B497" t="str">
        <f>IFERROR(VLOOKUP($A497,'[5]Study Budget Mapping '!$O$2:$P$532,2,0),"TBA")</f>
        <v>TBA</v>
      </c>
      <c r="D497" s="2" t="s">
        <v>126</v>
      </c>
      <c r="E497" s="2" t="s">
        <v>15</v>
      </c>
      <c r="F497" s="3">
        <v>13000000</v>
      </c>
      <c r="G497" s="3">
        <v>12391000</v>
      </c>
      <c r="H497" s="4"/>
      <c r="I497" s="4"/>
      <c r="J497" s="4"/>
      <c r="K497" s="4"/>
      <c r="L497" s="4"/>
      <c r="M497" s="4"/>
    </row>
    <row r="498" spans="1:13" ht="15" customHeight="1" x14ac:dyDescent="0.35">
      <c r="A498" t="str">
        <f t="shared" si="7"/>
        <v>P620IM08C2931</v>
      </c>
      <c r="B498" t="str">
        <f>IFERROR(VLOOKUP($A498,'[5]Study Budget Mapping '!$O$2:$P$532,2,0),"TBA")</f>
        <v>TBA</v>
      </c>
      <c r="D498" s="2" t="s">
        <v>126</v>
      </c>
      <c r="E498" s="2" t="s">
        <v>16</v>
      </c>
      <c r="F498" s="3">
        <v>2300000</v>
      </c>
      <c r="G498" s="3">
        <v>2720000</v>
      </c>
      <c r="H498" s="4"/>
      <c r="I498" s="4"/>
      <c r="J498" s="4"/>
      <c r="K498" s="4"/>
      <c r="L498" s="4"/>
      <c r="M498" s="4"/>
    </row>
    <row r="499" spans="1:13" ht="15" customHeight="1" x14ac:dyDescent="0.35">
      <c r="A499" t="str">
        <f t="shared" si="7"/>
        <v>P620IM08C2931</v>
      </c>
      <c r="B499" t="str">
        <f>IFERROR(VLOOKUP($A499,'[5]Study Budget Mapping '!$O$2:$P$532,2,0),"TBA")</f>
        <v>TBA</v>
      </c>
      <c r="D499" s="2" t="s">
        <v>126</v>
      </c>
      <c r="E499" s="2" t="s">
        <v>17</v>
      </c>
      <c r="F499" s="3">
        <v>500000</v>
      </c>
      <c r="G499" s="3">
        <v>500000</v>
      </c>
      <c r="H499" s="4"/>
      <c r="I499" s="4"/>
      <c r="J499" s="4"/>
      <c r="K499" s="4"/>
      <c r="L499" s="4"/>
      <c r="M499" s="4"/>
    </row>
    <row r="500" spans="1:13" ht="15" customHeight="1" x14ac:dyDescent="0.35">
      <c r="A500" t="str">
        <f t="shared" si="7"/>
        <v>P620IM08C2931</v>
      </c>
      <c r="B500" t="str">
        <f>IFERROR(VLOOKUP($A500,'[5]Study Budget Mapping '!$O$2:$P$532,2,0),"TBA")</f>
        <v>TBA</v>
      </c>
      <c r="D500" s="2" t="s">
        <v>126</v>
      </c>
      <c r="E500" s="2" t="s">
        <v>23</v>
      </c>
      <c r="F500" s="3">
        <v>100000</v>
      </c>
      <c r="G500" s="3">
        <v>20000</v>
      </c>
      <c r="H500" s="4"/>
      <c r="I500" s="4"/>
      <c r="J500" s="4"/>
      <c r="K500" s="4"/>
      <c r="L500" s="4"/>
      <c r="M500" s="4"/>
    </row>
    <row r="501" spans="1:13" ht="15" customHeight="1" x14ac:dyDescent="0.35">
      <c r="A501" t="str">
        <f t="shared" si="7"/>
        <v>P620IM08C2931</v>
      </c>
      <c r="B501" t="str">
        <f>IFERROR(VLOOKUP($A501,'[5]Study Budget Mapping '!$O$2:$P$532,2,0),"TBA")</f>
        <v>TBA</v>
      </c>
      <c r="D501" s="2" t="s">
        <v>126</v>
      </c>
      <c r="E501" s="2" t="s">
        <v>24</v>
      </c>
      <c r="F501" s="3">
        <v>1200000</v>
      </c>
      <c r="G501" s="3">
        <v>2120000</v>
      </c>
      <c r="H501" s="4"/>
      <c r="I501" s="4"/>
      <c r="J501" s="4"/>
      <c r="K501" s="4"/>
      <c r="L501" s="4"/>
      <c r="M501" s="4"/>
    </row>
    <row r="502" spans="1:13" ht="15" customHeight="1" x14ac:dyDescent="0.35">
      <c r="A502" t="str">
        <f t="shared" si="7"/>
        <v>P620IM08C3735</v>
      </c>
      <c r="B502" t="str">
        <f>IFERROR(VLOOKUP($A502,'[5]Study Budget Mapping '!$O$2:$P$532,2,0),"TBA")</f>
        <v>TBA</v>
      </c>
      <c r="D502" s="2" t="s">
        <v>127</v>
      </c>
      <c r="E502" s="2" t="s">
        <v>13</v>
      </c>
      <c r="F502" s="3">
        <v>6121003.8502399996</v>
      </c>
      <c r="G502" s="3">
        <v>6121003.8502399996</v>
      </c>
      <c r="H502" s="4"/>
      <c r="I502" s="4"/>
      <c r="J502" s="4"/>
      <c r="K502" s="4"/>
      <c r="L502" s="4"/>
      <c r="M502" s="4"/>
    </row>
    <row r="503" spans="1:13" ht="15" customHeight="1" x14ac:dyDescent="0.35">
      <c r="A503" t="str">
        <f t="shared" si="7"/>
        <v>P620IM08C3735</v>
      </c>
      <c r="B503" t="str">
        <f>IFERROR(VLOOKUP($A503,'[5]Study Budget Mapping '!$O$2:$P$532,2,0),"TBA")</f>
        <v>TBA</v>
      </c>
      <c r="D503" s="2" t="s">
        <v>127</v>
      </c>
      <c r="E503" s="2" t="s">
        <v>14</v>
      </c>
      <c r="F503" s="3">
        <v>1990167</v>
      </c>
      <c r="G503" s="3">
        <v>1990167</v>
      </c>
      <c r="H503" s="4"/>
      <c r="I503" s="4"/>
      <c r="J503" s="4"/>
      <c r="K503" s="4"/>
      <c r="L503" s="4"/>
      <c r="M503" s="4"/>
    </row>
    <row r="504" spans="1:13" ht="15" customHeight="1" x14ac:dyDescent="0.35">
      <c r="A504" t="str">
        <f t="shared" si="7"/>
        <v>P620IM08C3735</v>
      </c>
      <c r="B504" t="str">
        <f>IFERROR(VLOOKUP($A504,'[5]Study Budget Mapping '!$O$2:$P$532,2,0),"TBA")</f>
        <v>TBA</v>
      </c>
      <c r="D504" s="2" t="s">
        <v>127</v>
      </c>
      <c r="E504" s="2" t="s">
        <v>19</v>
      </c>
      <c r="F504" s="3">
        <v>1106023</v>
      </c>
      <c r="G504" s="3">
        <v>1106023</v>
      </c>
      <c r="H504" s="4"/>
      <c r="I504" s="4"/>
      <c r="J504" s="4"/>
      <c r="K504" s="4"/>
      <c r="L504" s="4"/>
      <c r="M504" s="4"/>
    </row>
    <row r="505" spans="1:13" ht="15" customHeight="1" x14ac:dyDescent="0.35">
      <c r="A505" t="str">
        <f t="shared" si="7"/>
        <v>P620IM08C3735</v>
      </c>
      <c r="B505" t="str">
        <f>IFERROR(VLOOKUP($A505,'[5]Study Budget Mapping '!$O$2:$P$532,2,0),"TBA")</f>
        <v>TBA</v>
      </c>
      <c r="D505" s="2" t="s">
        <v>127</v>
      </c>
      <c r="E505" s="2" t="s">
        <v>15</v>
      </c>
      <c r="F505" s="3">
        <v>10421038.810000001</v>
      </c>
      <c r="G505" s="3">
        <v>10421038.810000001</v>
      </c>
      <c r="H505" s="4"/>
      <c r="I505" s="4"/>
      <c r="J505" s="4"/>
      <c r="K505" s="4"/>
      <c r="L505" s="4"/>
      <c r="M505" s="4"/>
    </row>
    <row r="506" spans="1:13" ht="15" customHeight="1" x14ac:dyDescent="0.35">
      <c r="A506" t="str">
        <f t="shared" si="7"/>
        <v>P620IM08C3735</v>
      </c>
      <c r="B506" t="str">
        <f>IFERROR(VLOOKUP($A506,'[5]Study Budget Mapping '!$O$2:$P$532,2,0),"TBA")</f>
        <v>TBA</v>
      </c>
      <c r="D506" s="2" t="s">
        <v>127</v>
      </c>
      <c r="E506" s="2" t="s">
        <v>16</v>
      </c>
      <c r="F506" s="3">
        <v>1663495</v>
      </c>
      <c r="G506" s="3">
        <v>1663495</v>
      </c>
      <c r="H506" s="4"/>
      <c r="I506" s="4"/>
      <c r="J506" s="4"/>
      <c r="K506" s="4"/>
      <c r="L506" s="4"/>
      <c r="M506" s="4"/>
    </row>
    <row r="507" spans="1:13" ht="15" customHeight="1" x14ac:dyDescent="0.35">
      <c r="A507" t="str">
        <f t="shared" si="7"/>
        <v>P620IM08C3735</v>
      </c>
      <c r="B507" t="str">
        <f>IFERROR(VLOOKUP($A507,'[5]Study Budget Mapping '!$O$2:$P$532,2,0),"TBA")</f>
        <v>TBA</v>
      </c>
      <c r="D507" s="2" t="s">
        <v>127</v>
      </c>
      <c r="E507" s="2" t="s">
        <v>17</v>
      </c>
      <c r="F507" s="3">
        <v>418280</v>
      </c>
      <c r="G507" s="3">
        <v>418280</v>
      </c>
      <c r="H507" s="4"/>
      <c r="I507" s="4"/>
      <c r="J507" s="4"/>
      <c r="K507" s="4"/>
      <c r="L507" s="4"/>
      <c r="M507" s="4"/>
    </row>
    <row r="508" spans="1:13" ht="15" customHeight="1" x14ac:dyDescent="0.35">
      <c r="A508" t="str">
        <f t="shared" si="7"/>
        <v>P620IM08C3735</v>
      </c>
      <c r="B508" t="str">
        <f>IFERROR(VLOOKUP($A508,'[5]Study Budget Mapping '!$O$2:$P$532,2,0),"TBA")</f>
        <v>TBA</v>
      </c>
      <c r="D508" s="2" t="s">
        <v>127</v>
      </c>
      <c r="E508" s="2" t="s">
        <v>24</v>
      </c>
      <c r="F508" s="3">
        <v>1955812</v>
      </c>
      <c r="G508" s="3">
        <v>1955812</v>
      </c>
      <c r="H508" s="4"/>
      <c r="I508" s="4"/>
      <c r="J508" s="4"/>
      <c r="K508" s="4"/>
      <c r="L508" s="4"/>
      <c r="M508" s="4"/>
    </row>
    <row r="509" spans="1:13" ht="15" customHeight="1" x14ac:dyDescent="0.35">
      <c r="A509" t="str">
        <f t="shared" si="7"/>
        <v>P620IM08C3736</v>
      </c>
      <c r="B509" t="str">
        <f>IFERROR(VLOOKUP($A509,'[5]Study Budget Mapping '!$O$2:$P$532,2,0),"TBA")</f>
        <v>TBA</v>
      </c>
      <c r="D509" s="2" t="s">
        <v>128</v>
      </c>
      <c r="E509" s="2" t="s">
        <v>13</v>
      </c>
      <c r="F509" s="3">
        <v>5519675.2458602097</v>
      </c>
      <c r="G509" s="3">
        <v>6800000</v>
      </c>
      <c r="H509" s="4"/>
      <c r="I509" s="4"/>
      <c r="J509" s="4"/>
      <c r="K509" s="4"/>
      <c r="L509" s="4"/>
      <c r="M509" s="4"/>
    </row>
    <row r="510" spans="1:13" ht="15" customHeight="1" x14ac:dyDescent="0.35">
      <c r="A510" t="str">
        <f t="shared" si="7"/>
        <v>P620IM08C3736</v>
      </c>
      <c r="B510" t="str">
        <f>IFERROR(VLOOKUP($A510,'[5]Study Budget Mapping '!$O$2:$P$532,2,0),"TBA")</f>
        <v>TBA</v>
      </c>
      <c r="D510" s="2" t="s">
        <v>128</v>
      </c>
      <c r="E510" s="2" t="s">
        <v>14</v>
      </c>
      <c r="F510" s="3">
        <v>1099786.99</v>
      </c>
      <c r="G510" s="3">
        <v>1500000</v>
      </c>
      <c r="H510" s="4"/>
      <c r="I510" s="4"/>
      <c r="J510" s="4"/>
      <c r="K510" s="4"/>
      <c r="L510" s="4"/>
      <c r="M510" s="4"/>
    </row>
    <row r="511" spans="1:13" ht="15" customHeight="1" x14ac:dyDescent="0.35">
      <c r="A511" t="str">
        <f t="shared" si="7"/>
        <v>P620IM08C3736</v>
      </c>
      <c r="B511" t="str">
        <f>IFERROR(VLOOKUP($A511,'[5]Study Budget Mapping '!$O$2:$P$532,2,0),"TBA")</f>
        <v>TBA</v>
      </c>
      <c r="D511" s="2" t="s">
        <v>128</v>
      </c>
      <c r="E511" s="2" t="s">
        <v>19</v>
      </c>
      <c r="F511" s="3">
        <v>1057471.06</v>
      </c>
      <c r="G511" s="3">
        <v>1730000</v>
      </c>
      <c r="H511" s="4"/>
      <c r="I511" s="4"/>
      <c r="J511" s="4"/>
      <c r="K511" s="4"/>
      <c r="L511" s="4"/>
      <c r="M511" s="4"/>
    </row>
    <row r="512" spans="1:13" ht="15" customHeight="1" x14ac:dyDescent="0.35">
      <c r="A512" t="str">
        <f t="shared" si="7"/>
        <v>P620IM08C3736</v>
      </c>
      <c r="B512" t="str">
        <f>IFERROR(VLOOKUP($A512,'[5]Study Budget Mapping '!$O$2:$P$532,2,0),"TBA")</f>
        <v>TBA</v>
      </c>
      <c r="D512" s="2" t="s">
        <v>128</v>
      </c>
      <c r="E512" s="2" t="s">
        <v>20</v>
      </c>
      <c r="F512" s="3">
        <v>93463.604999999996</v>
      </c>
      <c r="G512" s="3">
        <v>0</v>
      </c>
      <c r="H512" s="4"/>
      <c r="I512" s="4"/>
      <c r="J512" s="4"/>
      <c r="K512" s="4"/>
      <c r="L512" s="4"/>
      <c r="M512" s="4"/>
    </row>
    <row r="513" spans="1:13" ht="15" customHeight="1" x14ac:dyDescent="0.35">
      <c r="A513" t="str">
        <f t="shared" si="7"/>
        <v>P620IM08C3736</v>
      </c>
      <c r="B513" t="str">
        <f>IFERROR(VLOOKUP($A513,'[5]Study Budget Mapping '!$O$2:$P$532,2,0),"TBA")</f>
        <v>TBA</v>
      </c>
      <c r="D513" s="2" t="s">
        <v>128</v>
      </c>
      <c r="E513" s="2" t="s">
        <v>15</v>
      </c>
      <c r="F513" s="3">
        <v>8366894.2989987396</v>
      </c>
      <c r="G513" s="3">
        <v>10240000</v>
      </c>
      <c r="H513" s="4"/>
      <c r="I513" s="4"/>
      <c r="J513" s="4"/>
      <c r="K513" s="4"/>
      <c r="L513" s="4"/>
      <c r="M513" s="4"/>
    </row>
    <row r="514" spans="1:13" ht="15" customHeight="1" x14ac:dyDescent="0.35">
      <c r="A514" t="str">
        <f t="shared" si="7"/>
        <v>P620IM08C3736</v>
      </c>
      <c r="B514" t="str">
        <f>IFERROR(VLOOKUP($A514,'[5]Study Budget Mapping '!$O$2:$P$532,2,0),"TBA")</f>
        <v>TBA</v>
      </c>
      <c r="D514" s="2" t="s">
        <v>128</v>
      </c>
      <c r="E514" s="2" t="s">
        <v>16</v>
      </c>
      <c r="F514" s="3">
        <v>1619279.298</v>
      </c>
      <c r="G514" s="3">
        <v>2100000</v>
      </c>
      <c r="H514" s="4"/>
      <c r="I514" s="4"/>
      <c r="J514" s="4"/>
      <c r="K514" s="4"/>
      <c r="L514" s="4"/>
      <c r="M514" s="4"/>
    </row>
    <row r="515" spans="1:13" ht="15" customHeight="1" x14ac:dyDescent="0.35">
      <c r="A515" t="str">
        <f t="shared" ref="A515:A578" si="8">TRIM(_xlfn.TEXTBEFORE(D515,"-",1))</f>
        <v>P620IM08C3736</v>
      </c>
      <c r="B515" t="str">
        <f>IFERROR(VLOOKUP($A515,'[5]Study Budget Mapping '!$O$2:$P$532,2,0),"TBA")</f>
        <v>TBA</v>
      </c>
      <c r="D515" s="2" t="s">
        <v>128</v>
      </c>
      <c r="E515" s="2" t="s">
        <v>17</v>
      </c>
      <c r="F515" s="3">
        <v>247126</v>
      </c>
      <c r="G515" s="3">
        <v>0</v>
      </c>
      <c r="H515" s="4"/>
      <c r="I515" s="4"/>
      <c r="J515" s="4"/>
      <c r="K515" s="4"/>
      <c r="L515" s="4"/>
      <c r="M515" s="4"/>
    </row>
    <row r="516" spans="1:13" ht="15" customHeight="1" x14ac:dyDescent="0.35">
      <c r="A516" t="str">
        <f t="shared" si="8"/>
        <v>P620IM08C3736</v>
      </c>
      <c r="B516" t="str">
        <f>IFERROR(VLOOKUP($A516,'[5]Study Budget Mapping '!$O$2:$P$532,2,0),"TBA")</f>
        <v>TBA</v>
      </c>
      <c r="D516" s="2" t="s">
        <v>128</v>
      </c>
      <c r="E516" s="2" t="s">
        <v>24</v>
      </c>
      <c r="F516" s="3">
        <v>1710528.4</v>
      </c>
      <c r="G516" s="3">
        <v>1800000</v>
      </c>
      <c r="H516" s="4"/>
      <c r="I516" s="4"/>
      <c r="J516" s="4"/>
      <c r="K516" s="4"/>
      <c r="L516" s="4"/>
      <c r="M516" s="4"/>
    </row>
    <row r="517" spans="1:13" ht="15" customHeight="1" x14ac:dyDescent="0.35">
      <c r="A517" t="str">
        <f t="shared" si="8"/>
        <v>P620IM08C3737</v>
      </c>
      <c r="B517" t="str">
        <f>IFERROR(VLOOKUP($A517,'[5]Study Budget Mapping '!$O$2:$P$532,2,0),"TBA")</f>
        <v>TBA</v>
      </c>
      <c r="D517" s="2" t="s">
        <v>129</v>
      </c>
      <c r="E517" s="2" t="s">
        <v>13</v>
      </c>
      <c r="F517" s="3">
        <v>3780000</v>
      </c>
      <c r="G517" s="3">
        <v>3797612.3296012301</v>
      </c>
      <c r="H517" s="4"/>
      <c r="I517" s="4"/>
      <c r="J517" s="4"/>
      <c r="K517" s="4"/>
      <c r="L517" s="4"/>
      <c r="M517" s="4"/>
    </row>
    <row r="518" spans="1:13" ht="15" customHeight="1" x14ac:dyDescent="0.35">
      <c r="A518" t="str">
        <f t="shared" si="8"/>
        <v>P620IM08C3737</v>
      </c>
      <c r="B518" t="str">
        <f>IFERROR(VLOOKUP($A518,'[5]Study Budget Mapping '!$O$2:$P$532,2,0),"TBA")</f>
        <v>TBA</v>
      </c>
      <c r="D518" s="2" t="s">
        <v>129</v>
      </c>
      <c r="E518" s="2" t="s">
        <v>14</v>
      </c>
      <c r="F518" s="3">
        <v>590000</v>
      </c>
      <c r="G518" s="3">
        <v>490000</v>
      </c>
      <c r="H518" s="4"/>
      <c r="I518" s="4"/>
      <c r="J518" s="4"/>
      <c r="K518" s="4"/>
      <c r="L518" s="4"/>
      <c r="M518" s="4"/>
    </row>
    <row r="519" spans="1:13" ht="15" customHeight="1" x14ac:dyDescent="0.35">
      <c r="A519" t="str">
        <f t="shared" si="8"/>
        <v>P620IM08C3737</v>
      </c>
      <c r="B519" t="str">
        <f>IFERROR(VLOOKUP($A519,'[5]Study Budget Mapping '!$O$2:$P$532,2,0),"TBA")</f>
        <v>TBA</v>
      </c>
      <c r="D519" s="2" t="s">
        <v>129</v>
      </c>
      <c r="E519" s="2" t="s">
        <v>19</v>
      </c>
      <c r="F519" s="3">
        <v>3700000</v>
      </c>
      <c r="G519" s="3">
        <v>4208097.5</v>
      </c>
      <c r="H519" s="4"/>
      <c r="I519" s="4"/>
      <c r="J519" s="4"/>
      <c r="K519" s="4"/>
      <c r="L519" s="4"/>
      <c r="M519" s="4"/>
    </row>
    <row r="520" spans="1:13" ht="15" customHeight="1" x14ac:dyDescent="0.35">
      <c r="A520" t="str">
        <f t="shared" si="8"/>
        <v>P620IM08C3737</v>
      </c>
      <c r="B520" t="str">
        <f>IFERROR(VLOOKUP($A520,'[5]Study Budget Mapping '!$O$2:$P$532,2,0),"TBA")</f>
        <v>TBA</v>
      </c>
      <c r="D520" s="2" t="s">
        <v>129</v>
      </c>
      <c r="E520" s="2" t="s">
        <v>15</v>
      </c>
      <c r="F520" s="3">
        <v>5590000</v>
      </c>
      <c r="G520" s="3">
        <v>10230000</v>
      </c>
      <c r="H520" s="4"/>
      <c r="I520" s="4"/>
      <c r="J520" s="4"/>
      <c r="K520" s="4"/>
      <c r="L520" s="4"/>
      <c r="M520" s="4"/>
    </row>
    <row r="521" spans="1:13" ht="15" customHeight="1" x14ac:dyDescent="0.35">
      <c r="A521" t="str">
        <f t="shared" si="8"/>
        <v>P620IM08C3737</v>
      </c>
      <c r="B521" t="str">
        <f>IFERROR(VLOOKUP($A521,'[5]Study Budget Mapping '!$O$2:$P$532,2,0),"TBA")</f>
        <v>TBA</v>
      </c>
      <c r="D521" s="2" t="s">
        <v>129</v>
      </c>
      <c r="E521" s="2" t="s">
        <v>16</v>
      </c>
      <c r="F521" s="3">
        <v>860000</v>
      </c>
      <c r="G521" s="3">
        <v>1510000</v>
      </c>
      <c r="H521" s="4"/>
      <c r="I521" s="4"/>
      <c r="J521" s="4"/>
      <c r="K521" s="4"/>
      <c r="L521" s="4"/>
      <c r="M521" s="4"/>
    </row>
    <row r="522" spans="1:13" ht="15" customHeight="1" x14ac:dyDescent="0.35">
      <c r="A522" t="str">
        <f t="shared" si="8"/>
        <v>P620IM08C3737</v>
      </c>
      <c r="B522" t="str">
        <f>IFERROR(VLOOKUP($A522,'[5]Study Budget Mapping '!$O$2:$P$532,2,0),"TBA")</f>
        <v>TBA</v>
      </c>
      <c r="D522" s="2" t="s">
        <v>129</v>
      </c>
      <c r="E522" s="2" t="s">
        <v>17</v>
      </c>
      <c r="F522" s="3">
        <v>320000</v>
      </c>
      <c r="G522" s="3">
        <v>360000</v>
      </c>
      <c r="H522" s="4"/>
      <c r="I522" s="4"/>
      <c r="J522" s="4"/>
      <c r="K522" s="4"/>
      <c r="L522" s="4"/>
      <c r="M522" s="4"/>
    </row>
    <row r="523" spans="1:13" ht="15" customHeight="1" x14ac:dyDescent="0.35">
      <c r="A523" t="str">
        <f t="shared" si="8"/>
        <v>P620IM08C3737</v>
      </c>
      <c r="B523" t="str">
        <f>IFERROR(VLOOKUP($A523,'[5]Study Budget Mapping '!$O$2:$P$532,2,0),"TBA")</f>
        <v>TBA</v>
      </c>
      <c r="D523" s="2" t="s">
        <v>129</v>
      </c>
      <c r="E523" s="2" t="s">
        <v>24</v>
      </c>
      <c r="F523" s="3">
        <v>1050000</v>
      </c>
      <c r="G523" s="3">
        <v>820000</v>
      </c>
      <c r="H523" s="4"/>
      <c r="I523" s="4"/>
      <c r="J523" s="4"/>
      <c r="K523" s="4"/>
      <c r="L523" s="4"/>
      <c r="M523" s="4"/>
    </row>
    <row r="524" spans="1:13" ht="15" customHeight="1" x14ac:dyDescent="0.35">
      <c r="A524" t="str">
        <f t="shared" si="8"/>
        <v>P620IM08C3737</v>
      </c>
      <c r="B524" t="str">
        <f>IFERROR(VLOOKUP($A524,'[5]Study Budget Mapping '!$O$2:$P$532,2,0),"TBA")</f>
        <v>TBA</v>
      </c>
      <c r="D524" s="2" t="s">
        <v>129</v>
      </c>
      <c r="E524" s="2" t="s">
        <v>32</v>
      </c>
      <c r="F524" s="3">
        <v>200000</v>
      </c>
      <c r="G524" s="3">
        <v>0</v>
      </c>
      <c r="H524" s="4"/>
      <c r="I524" s="4"/>
      <c r="J524" s="4"/>
      <c r="K524" s="4"/>
      <c r="L524" s="4"/>
      <c r="M524" s="4"/>
    </row>
    <row r="525" spans="1:13" ht="15" customHeight="1" x14ac:dyDescent="0.35">
      <c r="A525" t="str">
        <f t="shared" si="8"/>
        <v>P620IM08C3738</v>
      </c>
      <c r="B525" t="str">
        <f>IFERROR(VLOOKUP($A525,'[5]Study Budget Mapping '!$O$2:$P$532,2,0),"TBA")</f>
        <v>TBA</v>
      </c>
      <c r="D525" s="2" t="s">
        <v>130</v>
      </c>
      <c r="E525" s="2" t="s">
        <v>15</v>
      </c>
      <c r="F525" s="3">
        <v>5000000</v>
      </c>
      <c r="G525" s="3">
        <v>5000000</v>
      </c>
      <c r="H525" s="4"/>
      <c r="I525" s="4"/>
      <c r="J525" s="4"/>
      <c r="K525" s="4"/>
      <c r="L525" s="4"/>
      <c r="M525" s="4"/>
    </row>
    <row r="526" spans="1:13" ht="15" customHeight="1" x14ac:dyDescent="0.35">
      <c r="A526" t="str">
        <f t="shared" si="8"/>
        <v>P620IM08C3911</v>
      </c>
      <c r="B526" t="str">
        <f>IFERROR(VLOOKUP($A526,'[5]Study Budget Mapping '!$O$2:$P$532,2,0),"TBA")</f>
        <v>TBA</v>
      </c>
      <c r="D526" s="2" t="s">
        <v>131</v>
      </c>
      <c r="E526" s="2" t="s">
        <v>13</v>
      </c>
      <c r="F526" s="3">
        <v>3361982</v>
      </c>
      <c r="G526" s="3">
        <v>3361982</v>
      </c>
      <c r="H526" s="4"/>
      <c r="I526" s="4"/>
      <c r="J526" s="4"/>
      <c r="K526" s="4"/>
      <c r="L526" s="4"/>
      <c r="M526" s="4"/>
    </row>
    <row r="527" spans="1:13" ht="15" customHeight="1" x14ac:dyDescent="0.35">
      <c r="A527" t="str">
        <f t="shared" si="8"/>
        <v>P620IM08C3911</v>
      </c>
      <c r="B527" t="str">
        <f>IFERROR(VLOOKUP($A527,'[5]Study Budget Mapping '!$O$2:$P$532,2,0),"TBA")</f>
        <v>TBA</v>
      </c>
      <c r="D527" s="2" t="s">
        <v>131</v>
      </c>
      <c r="E527" s="2" t="s">
        <v>14</v>
      </c>
      <c r="F527" s="3">
        <v>280428</v>
      </c>
      <c r="G527" s="3">
        <v>280428</v>
      </c>
      <c r="H527" s="4"/>
      <c r="I527" s="4"/>
      <c r="J527" s="4"/>
      <c r="K527" s="4"/>
      <c r="L527" s="4"/>
      <c r="M527" s="4"/>
    </row>
    <row r="528" spans="1:13" ht="15" customHeight="1" x14ac:dyDescent="0.35">
      <c r="A528" t="str">
        <f t="shared" si="8"/>
        <v>P620IM08C3911</v>
      </c>
      <c r="B528" t="str">
        <f>IFERROR(VLOOKUP($A528,'[5]Study Budget Mapping '!$O$2:$P$532,2,0),"TBA")</f>
        <v>TBA</v>
      </c>
      <c r="D528" s="2" t="s">
        <v>131</v>
      </c>
      <c r="E528" s="2" t="s">
        <v>19</v>
      </c>
      <c r="F528" s="3">
        <v>709574</v>
      </c>
      <c r="G528" s="3">
        <v>709574</v>
      </c>
      <c r="H528" s="4"/>
      <c r="I528" s="4"/>
      <c r="J528" s="4"/>
      <c r="K528" s="4"/>
      <c r="L528" s="4"/>
      <c r="M528" s="4"/>
    </row>
    <row r="529" spans="1:13" ht="15" customHeight="1" x14ac:dyDescent="0.35">
      <c r="A529" t="str">
        <f t="shared" si="8"/>
        <v>P620IM08C3911</v>
      </c>
      <c r="B529" t="str">
        <f>IFERROR(VLOOKUP($A529,'[5]Study Budget Mapping '!$O$2:$P$532,2,0),"TBA")</f>
        <v>TBA</v>
      </c>
      <c r="D529" s="2" t="s">
        <v>131</v>
      </c>
      <c r="E529" s="2" t="s">
        <v>15</v>
      </c>
      <c r="F529" s="3">
        <v>5699070</v>
      </c>
      <c r="G529" s="3">
        <v>5699070</v>
      </c>
      <c r="H529" s="4"/>
      <c r="I529" s="4"/>
      <c r="J529" s="4"/>
      <c r="K529" s="4"/>
      <c r="L529" s="4"/>
      <c r="M529" s="4"/>
    </row>
    <row r="530" spans="1:13" ht="15" customHeight="1" x14ac:dyDescent="0.35">
      <c r="A530" t="str">
        <f t="shared" si="8"/>
        <v>P620IM08C3911</v>
      </c>
      <c r="B530" t="str">
        <f>IFERROR(VLOOKUP($A530,'[5]Study Budget Mapping '!$O$2:$P$532,2,0),"TBA")</f>
        <v>TBA</v>
      </c>
      <c r="D530" s="2" t="s">
        <v>131</v>
      </c>
      <c r="E530" s="2" t="s">
        <v>16</v>
      </c>
      <c r="F530" s="3">
        <v>1213422</v>
      </c>
      <c r="G530" s="3">
        <v>1213422</v>
      </c>
      <c r="H530" s="4"/>
      <c r="I530" s="4"/>
      <c r="J530" s="4"/>
      <c r="K530" s="4"/>
      <c r="L530" s="4"/>
      <c r="M530" s="4"/>
    </row>
    <row r="531" spans="1:13" ht="15" customHeight="1" x14ac:dyDescent="0.35">
      <c r="A531" t="str">
        <f t="shared" si="8"/>
        <v>P620IM08C3911</v>
      </c>
      <c r="B531" t="str">
        <f>IFERROR(VLOOKUP($A531,'[5]Study Budget Mapping '!$O$2:$P$532,2,0),"TBA")</f>
        <v>TBA</v>
      </c>
      <c r="D531" s="2" t="s">
        <v>131</v>
      </c>
      <c r="E531" s="2" t="s">
        <v>17</v>
      </c>
      <c r="F531" s="3">
        <v>241896</v>
      </c>
      <c r="G531" s="3">
        <v>241896</v>
      </c>
      <c r="H531" s="4"/>
      <c r="I531" s="4"/>
      <c r="J531" s="4"/>
      <c r="K531" s="4"/>
      <c r="L531" s="4"/>
      <c r="M531" s="4"/>
    </row>
    <row r="532" spans="1:13" ht="15" customHeight="1" x14ac:dyDescent="0.35">
      <c r="A532" t="str">
        <f t="shared" si="8"/>
        <v>P620IM08C3911</v>
      </c>
      <c r="B532" t="str">
        <f>IFERROR(VLOOKUP($A532,'[5]Study Budget Mapping '!$O$2:$P$532,2,0),"TBA")</f>
        <v>TBA</v>
      </c>
      <c r="D532" s="2" t="s">
        <v>131</v>
      </c>
      <c r="E532" s="2" t="s">
        <v>24</v>
      </c>
      <c r="F532" s="3">
        <v>414000</v>
      </c>
      <c r="G532" s="3">
        <v>414000</v>
      </c>
      <c r="H532" s="4"/>
      <c r="I532" s="4"/>
      <c r="J532" s="4"/>
      <c r="K532" s="4"/>
      <c r="L532" s="4"/>
      <c r="M532" s="4"/>
    </row>
    <row r="533" spans="1:13" ht="15" customHeight="1" x14ac:dyDescent="0.35">
      <c r="A533" t="str">
        <f t="shared" si="8"/>
        <v>P620IM08C3921</v>
      </c>
      <c r="B533" t="str">
        <f>IFERROR(VLOOKUP($A533,'[5]Study Budget Mapping '!$O$2:$P$532,2,0),"TBA")</f>
        <v>TBA</v>
      </c>
      <c r="D533" s="2" t="s">
        <v>132</v>
      </c>
      <c r="E533" s="2" t="s">
        <v>13</v>
      </c>
      <c r="F533" s="3">
        <v>2679400.2202362092</v>
      </c>
      <c r="G533" s="3">
        <v>23800000</v>
      </c>
      <c r="H533" s="4"/>
      <c r="I533" s="4"/>
      <c r="J533" s="4"/>
      <c r="K533" s="4"/>
      <c r="L533" s="4"/>
      <c r="M533" s="4"/>
    </row>
    <row r="534" spans="1:13" ht="15" customHeight="1" x14ac:dyDescent="0.35">
      <c r="A534" t="str">
        <f t="shared" si="8"/>
        <v>P620IM08C3921</v>
      </c>
      <c r="B534" t="str">
        <f>IFERROR(VLOOKUP($A534,'[5]Study Budget Mapping '!$O$2:$P$532,2,0),"TBA")</f>
        <v>TBA</v>
      </c>
      <c r="D534" s="2" t="s">
        <v>132</v>
      </c>
      <c r="E534" s="2" t="s">
        <v>14</v>
      </c>
      <c r="F534" s="3">
        <v>1318360.182728945</v>
      </c>
      <c r="G534" s="3">
        <v>7030000</v>
      </c>
      <c r="H534" s="4"/>
      <c r="I534" s="4"/>
      <c r="J534" s="4"/>
      <c r="K534" s="4"/>
      <c r="L534" s="4"/>
      <c r="M534" s="4"/>
    </row>
    <row r="535" spans="1:13" ht="15" customHeight="1" x14ac:dyDescent="0.35">
      <c r="A535" t="str">
        <f t="shared" si="8"/>
        <v>P620IM08C3921</v>
      </c>
      <c r="B535" t="str">
        <f>IFERROR(VLOOKUP($A535,'[5]Study Budget Mapping '!$O$2:$P$532,2,0),"TBA")</f>
        <v>TBA</v>
      </c>
      <c r="D535" s="2" t="s">
        <v>132</v>
      </c>
      <c r="E535" s="2" t="s">
        <v>19</v>
      </c>
      <c r="F535" s="3">
        <v>105402.05015256121</v>
      </c>
      <c r="G535" s="3">
        <v>150000</v>
      </c>
      <c r="H535" s="4"/>
      <c r="I535" s="4"/>
      <c r="J535" s="4"/>
      <c r="K535" s="4"/>
      <c r="L535" s="4"/>
      <c r="M535" s="4"/>
    </row>
    <row r="536" spans="1:13" ht="15" customHeight="1" x14ac:dyDescent="0.35">
      <c r="A536" t="str">
        <f t="shared" si="8"/>
        <v>P620IM08C3921</v>
      </c>
      <c r="B536" t="str">
        <f>IFERROR(VLOOKUP($A536,'[5]Study Budget Mapping '!$O$2:$P$532,2,0),"TBA")</f>
        <v>TBA</v>
      </c>
      <c r="D536" s="2" t="s">
        <v>132</v>
      </c>
      <c r="E536" s="2" t="s">
        <v>15</v>
      </c>
      <c r="F536" s="3">
        <v>5347923.7129477793</v>
      </c>
      <c r="G536" s="3">
        <v>45920000</v>
      </c>
      <c r="H536" s="4"/>
      <c r="I536" s="4"/>
      <c r="J536" s="4"/>
      <c r="K536" s="4"/>
      <c r="L536" s="4"/>
      <c r="M536" s="4"/>
    </row>
    <row r="537" spans="1:13" ht="15" customHeight="1" x14ac:dyDescent="0.35">
      <c r="A537" t="str">
        <f t="shared" si="8"/>
        <v>P620IM08C3921</v>
      </c>
      <c r="B537" t="str">
        <f>IFERROR(VLOOKUP($A537,'[5]Study Budget Mapping '!$O$2:$P$532,2,0),"TBA")</f>
        <v>TBA</v>
      </c>
      <c r="D537" s="2" t="s">
        <v>132</v>
      </c>
      <c r="E537" s="2" t="s">
        <v>22</v>
      </c>
      <c r="F537" s="3">
        <v>0</v>
      </c>
      <c r="G537" s="3">
        <v>2190000</v>
      </c>
      <c r="H537" s="4"/>
      <c r="I537" s="4"/>
      <c r="J537" s="4"/>
      <c r="K537" s="4"/>
      <c r="L537" s="4"/>
      <c r="M537" s="4"/>
    </row>
    <row r="538" spans="1:13" ht="15" customHeight="1" x14ac:dyDescent="0.35">
      <c r="A538" t="str">
        <f t="shared" si="8"/>
        <v>P620IM08C3921</v>
      </c>
      <c r="B538" t="str">
        <f>IFERROR(VLOOKUP($A538,'[5]Study Budget Mapping '!$O$2:$P$532,2,0),"TBA")</f>
        <v>TBA</v>
      </c>
      <c r="D538" s="2" t="s">
        <v>132</v>
      </c>
      <c r="E538" s="2" t="s">
        <v>16</v>
      </c>
      <c r="F538" s="3">
        <v>697046.62418838812</v>
      </c>
      <c r="G538" s="3">
        <v>6440000</v>
      </c>
      <c r="H538" s="4"/>
      <c r="I538" s="4"/>
      <c r="J538" s="4"/>
      <c r="K538" s="4"/>
      <c r="L538" s="4"/>
      <c r="M538" s="4"/>
    </row>
    <row r="539" spans="1:13" ht="15" customHeight="1" x14ac:dyDescent="0.35">
      <c r="A539" t="str">
        <f t="shared" si="8"/>
        <v>P620IM08C3921</v>
      </c>
      <c r="B539" t="str">
        <f>IFERROR(VLOOKUP($A539,'[5]Study Budget Mapping '!$O$2:$P$532,2,0),"TBA")</f>
        <v>TBA</v>
      </c>
      <c r="D539" s="2" t="s">
        <v>132</v>
      </c>
      <c r="E539" s="2" t="s">
        <v>17</v>
      </c>
      <c r="F539" s="3">
        <v>302142.20974611788</v>
      </c>
      <c r="G539" s="3">
        <v>1050000</v>
      </c>
      <c r="H539" s="4"/>
      <c r="I539" s="4"/>
      <c r="J539" s="4"/>
      <c r="K539" s="4"/>
      <c r="L539" s="4"/>
      <c r="M539" s="4"/>
    </row>
    <row r="540" spans="1:13" ht="15" customHeight="1" x14ac:dyDescent="0.35">
      <c r="A540" t="str">
        <f t="shared" si="8"/>
        <v>P620IM08C3921</v>
      </c>
      <c r="B540" t="str">
        <f>IFERROR(VLOOKUP($A540,'[5]Study Budget Mapping '!$O$2:$P$532,2,0),"TBA")</f>
        <v>TBA</v>
      </c>
      <c r="D540" s="2" t="s">
        <v>132</v>
      </c>
      <c r="E540" s="2" t="s">
        <v>24</v>
      </c>
      <c r="F540" s="3">
        <v>0</v>
      </c>
      <c r="G540" s="3">
        <v>3830000</v>
      </c>
      <c r="H540" s="4"/>
      <c r="I540" s="4"/>
      <c r="J540" s="4"/>
      <c r="K540" s="4"/>
      <c r="L540" s="4"/>
      <c r="M540" s="4"/>
    </row>
    <row r="541" spans="1:13" ht="15" customHeight="1" x14ac:dyDescent="0.35">
      <c r="A541" t="str">
        <f t="shared" si="8"/>
        <v>P620IM08C3931</v>
      </c>
      <c r="B541" t="str">
        <f>IFERROR(VLOOKUP($A541,'[5]Study Budget Mapping '!$O$2:$P$532,2,0),"TBA")</f>
        <v>TBA</v>
      </c>
      <c r="D541" s="2" t="s">
        <v>133</v>
      </c>
      <c r="E541" s="2" t="s">
        <v>13</v>
      </c>
      <c r="F541" s="3">
        <v>17781600</v>
      </c>
      <c r="G541" s="3">
        <v>50970000</v>
      </c>
      <c r="H541" s="4"/>
      <c r="I541" s="4"/>
      <c r="J541" s="4"/>
      <c r="K541" s="4"/>
      <c r="L541" s="4"/>
      <c r="M541" s="4"/>
    </row>
    <row r="542" spans="1:13" ht="15" customHeight="1" x14ac:dyDescent="0.35">
      <c r="A542" t="str">
        <f t="shared" si="8"/>
        <v>P620IM08C3931</v>
      </c>
      <c r="B542" t="str">
        <f>IFERROR(VLOOKUP($A542,'[5]Study Budget Mapping '!$O$2:$P$532,2,0),"TBA")</f>
        <v>TBA</v>
      </c>
      <c r="D542" s="2" t="s">
        <v>133</v>
      </c>
      <c r="E542" s="2" t="s">
        <v>14</v>
      </c>
      <c r="F542" s="3">
        <v>7410376</v>
      </c>
      <c r="G542" s="3">
        <v>26371355</v>
      </c>
      <c r="H542" s="4"/>
      <c r="I542" s="4"/>
      <c r="J542" s="4"/>
      <c r="K542" s="4"/>
      <c r="L542" s="4"/>
      <c r="M542" s="4"/>
    </row>
    <row r="543" spans="1:13" ht="15" customHeight="1" x14ac:dyDescent="0.35">
      <c r="A543" t="str">
        <f t="shared" si="8"/>
        <v>P620IM08C3931</v>
      </c>
      <c r="B543" t="str">
        <f>IFERROR(VLOOKUP($A543,'[5]Study Budget Mapping '!$O$2:$P$532,2,0),"TBA")</f>
        <v>TBA</v>
      </c>
      <c r="D543" s="2" t="s">
        <v>133</v>
      </c>
      <c r="E543" s="2" t="s">
        <v>19</v>
      </c>
      <c r="F543" s="3">
        <v>0</v>
      </c>
      <c r="G543" s="3">
        <v>667000</v>
      </c>
      <c r="H543" s="4"/>
      <c r="I543" s="4"/>
      <c r="J543" s="4"/>
      <c r="K543" s="4"/>
      <c r="L543" s="4"/>
      <c r="M543" s="4"/>
    </row>
    <row r="544" spans="1:13" ht="15" customHeight="1" x14ac:dyDescent="0.35">
      <c r="A544" t="str">
        <f t="shared" si="8"/>
        <v>P620IM08C3931</v>
      </c>
      <c r="B544" t="str">
        <f>IFERROR(VLOOKUP($A544,'[5]Study Budget Mapping '!$O$2:$P$532,2,0),"TBA")</f>
        <v>TBA</v>
      </c>
      <c r="D544" s="2" t="s">
        <v>133</v>
      </c>
      <c r="E544" s="2" t="s">
        <v>15</v>
      </c>
      <c r="F544" s="3">
        <v>46074659</v>
      </c>
      <c r="G544" s="3">
        <v>110490000</v>
      </c>
      <c r="H544" s="4"/>
      <c r="I544" s="4"/>
      <c r="J544" s="4"/>
      <c r="K544" s="4"/>
      <c r="L544" s="4"/>
      <c r="M544" s="4"/>
    </row>
    <row r="545" spans="1:13" ht="15" customHeight="1" x14ac:dyDescent="0.35">
      <c r="A545" t="str">
        <f t="shared" si="8"/>
        <v>P620IM08C3931</v>
      </c>
      <c r="B545" t="str">
        <f>IFERROR(VLOOKUP($A545,'[5]Study Budget Mapping '!$O$2:$P$532,2,0),"TBA")</f>
        <v>TBA</v>
      </c>
      <c r="D545" s="2" t="s">
        <v>133</v>
      </c>
      <c r="E545" s="2" t="s">
        <v>16</v>
      </c>
      <c r="F545" s="3">
        <v>8982643</v>
      </c>
      <c r="G545" s="3">
        <v>11500000</v>
      </c>
      <c r="H545" s="4"/>
      <c r="I545" s="4"/>
      <c r="J545" s="4"/>
      <c r="K545" s="4"/>
      <c r="L545" s="4"/>
      <c r="M545" s="4"/>
    </row>
    <row r="546" spans="1:13" ht="15" customHeight="1" x14ac:dyDescent="0.35">
      <c r="A546" t="str">
        <f t="shared" si="8"/>
        <v>P620IM08C3931</v>
      </c>
      <c r="B546" t="str">
        <f>IFERROR(VLOOKUP($A546,'[5]Study Budget Mapping '!$O$2:$P$532,2,0),"TBA")</f>
        <v>TBA</v>
      </c>
      <c r="D546" s="2" t="s">
        <v>133</v>
      </c>
      <c r="E546" s="2" t="s">
        <v>24</v>
      </c>
      <c r="F546" s="3">
        <v>0</v>
      </c>
      <c r="G546" s="3">
        <v>1920000</v>
      </c>
      <c r="H546" s="4"/>
      <c r="I546" s="4"/>
      <c r="J546" s="4"/>
      <c r="K546" s="4"/>
      <c r="L546" s="4"/>
      <c r="M546" s="4"/>
    </row>
    <row r="547" spans="1:13" ht="15" customHeight="1" x14ac:dyDescent="0.35">
      <c r="A547" t="str">
        <f t="shared" si="8"/>
        <v>P620IM08C4012</v>
      </c>
      <c r="B547" t="str">
        <f>IFERROR(VLOOKUP($A547,'[5]Study Budget Mapping '!$O$2:$P$532,2,0),"TBA")</f>
        <v>TBA</v>
      </c>
      <c r="D547" s="2" t="s">
        <v>134</v>
      </c>
      <c r="E547" s="2" t="s">
        <v>13</v>
      </c>
      <c r="F547" s="3">
        <v>8720000</v>
      </c>
      <c r="G547" s="3">
        <v>9060000</v>
      </c>
      <c r="H547" s="4"/>
      <c r="I547" s="4"/>
      <c r="J547" s="4"/>
      <c r="K547" s="4"/>
      <c r="L547" s="4"/>
      <c r="M547" s="4"/>
    </row>
    <row r="548" spans="1:13" ht="15" customHeight="1" x14ac:dyDescent="0.35">
      <c r="A548" t="str">
        <f t="shared" si="8"/>
        <v>P620IM08C4012</v>
      </c>
      <c r="B548" t="str">
        <f>IFERROR(VLOOKUP($A548,'[5]Study Budget Mapping '!$O$2:$P$532,2,0),"TBA")</f>
        <v>TBA</v>
      </c>
      <c r="D548" s="2" t="s">
        <v>134</v>
      </c>
      <c r="E548" s="2" t="s">
        <v>19</v>
      </c>
      <c r="F548" s="3">
        <v>0</v>
      </c>
      <c r="G548" s="3">
        <v>200000</v>
      </c>
      <c r="H548" s="4"/>
      <c r="I548" s="4"/>
      <c r="J548" s="4"/>
      <c r="K548" s="4"/>
      <c r="L548" s="4"/>
      <c r="M548" s="4"/>
    </row>
    <row r="549" spans="1:13" ht="15" customHeight="1" x14ac:dyDescent="0.35">
      <c r="A549" t="str">
        <f t="shared" si="8"/>
        <v>P620IM08C4013</v>
      </c>
      <c r="B549" t="str">
        <f>IFERROR(VLOOKUP($A549,'[5]Study Budget Mapping '!$O$2:$P$532,2,0),"TBA")</f>
        <v>TBA</v>
      </c>
      <c r="D549" s="2" t="s">
        <v>135</v>
      </c>
      <c r="E549" s="2" t="s">
        <v>13</v>
      </c>
      <c r="F549" s="3">
        <v>5690000</v>
      </c>
      <c r="G549" s="3">
        <v>5690000</v>
      </c>
      <c r="H549" s="4"/>
      <c r="I549" s="4"/>
      <c r="J549" s="4"/>
      <c r="K549" s="4"/>
      <c r="L549" s="4"/>
      <c r="M549" s="4"/>
    </row>
    <row r="550" spans="1:13" ht="15" customHeight="1" x14ac:dyDescent="0.35">
      <c r="A550" t="str">
        <f t="shared" si="8"/>
        <v>P620IM08C4013</v>
      </c>
      <c r="B550" t="str">
        <f>IFERROR(VLOOKUP($A550,'[5]Study Budget Mapping '!$O$2:$P$532,2,0),"TBA")</f>
        <v>TBA</v>
      </c>
      <c r="D550" s="2" t="s">
        <v>135</v>
      </c>
      <c r="E550" s="2" t="s">
        <v>14</v>
      </c>
      <c r="F550" s="3">
        <v>630000</v>
      </c>
      <c r="G550" s="3">
        <v>630000</v>
      </c>
      <c r="H550" s="4"/>
      <c r="I550" s="4"/>
      <c r="J550" s="4"/>
      <c r="K550" s="4"/>
      <c r="L550" s="4"/>
      <c r="M550" s="4"/>
    </row>
    <row r="551" spans="1:13" ht="15" customHeight="1" x14ac:dyDescent="0.35">
      <c r="A551" t="str">
        <f t="shared" si="8"/>
        <v>P620IM08C4013</v>
      </c>
      <c r="B551" t="str">
        <f>IFERROR(VLOOKUP($A551,'[5]Study Budget Mapping '!$O$2:$P$532,2,0),"TBA")</f>
        <v>TBA</v>
      </c>
      <c r="D551" s="2" t="s">
        <v>135</v>
      </c>
      <c r="E551" s="2" t="s">
        <v>19</v>
      </c>
      <c r="F551" s="3">
        <v>50000</v>
      </c>
      <c r="G551" s="3">
        <v>50000</v>
      </c>
      <c r="H551" s="4"/>
      <c r="I551" s="4"/>
      <c r="J551" s="4"/>
      <c r="K551" s="4"/>
      <c r="L551" s="4"/>
      <c r="M551" s="4"/>
    </row>
    <row r="552" spans="1:13" ht="15" customHeight="1" x14ac:dyDescent="0.35">
      <c r="A552" t="str">
        <f t="shared" si="8"/>
        <v>P620IM08C4013</v>
      </c>
      <c r="B552" t="str">
        <f>IFERROR(VLOOKUP($A552,'[5]Study Budget Mapping '!$O$2:$P$532,2,0),"TBA")</f>
        <v>TBA</v>
      </c>
      <c r="D552" s="2" t="s">
        <v>135</v>
      </c>
      <c r="E552" s="2" t="s">
        <v>15</v>
      </c>
      <c r="F552" s="3">
        <v>7800000</v>
      </c>
      <c r="G552" s="3">
        <v>7800000</v>
      </c>
      <c r="H552" s="4"/>
      <c r="I552" s="4"/>
      <c r="J552" s="4"/>
      <c r="K552" s="4"/>
      <c r="L552" s="4"/>
      <c r="M552" s="4"/>
    </row>
    <row r="553" spans="1:13" ht="15" customHeight="1" x14ac:dyDescent="0.35">
      <c r="A553" t="str">
        <f t="shared" si="8"/>
        <v>P620IM08C4013</v>
      </c>
      <c r="B553" t="str">
        <f>IFERROR(VLOOKUP($A553,'[5]Study Budget Mapping '!$O$2:$P$532,2,0),"TBA")</f>
        <v>TBA</v>
      </c>
      <c r="D553" s="2" t="s">
        <v>135</v>
      </c>
      <c r="E553" s="2" t="s">
        <v>16</v>
      </c>
      <c r="F553" s="3">
        <v>3490000</v>
      </c>
      <c r="G553" s="3">
        <v>3490000</v>
      </c>
      <c r="H553" s="4"/>
      <c r="I553" s="4"/>
      <c r="J553" s="4"/>
      <c r="K553" s="4"/>
      <c r="L553" s="4"/>
      <c r="M553" s="4"/>
    </row>
    <row r="554" spans="1:13" ht="15" customHeight="1" x14ac:dyDescent="0.35">
      <c r="A554" t="str">
        <f t="shared" si="8"/>
        <v>P620IM08C4014</v>
      </c>
      <c r="B554" t="str">
        <f>IFERROR(VLOOKUP($A554,'[5]Study Budget Mapping '!$O$2:$P$532,2,0),"TBA")</f>
        <v>TBA</v>
      </c>
      <c r="D554" s="2" t="s">
        <v>136</v>
      </c>
      <c r="E554" s="2" t="s">
        <v>13</v>
      </c>
      <c r="F554" s="3">
        <v>5638500</v>
      </c>
      <c r="G554" s="3">
        <v>0</v>
      </c>
      <c r="H554" s="4"/>
      <c r="I554" s="4"/>
      <c r="J554" s="4"/>
      <c r="K554" s="4"/>
      <c r="L554" s="4"/>
      <c r="M554" s="4"/>
    </row>
    <row r="555" spans="1:13" ht="15" customHeight="1" x14ac:dyDescent="0.35">
      <c r="A555" t="str">
        <f t="shared" si="8"/>
        <v>P620IM08C4014</v>
      </c>
      <c r="B555" t="str">
        <f>IFERROR(VLOOKUP($A555,'[5]Study Budget Mapping '!$O$2:$P$532,2,0),"TBA")</f>
        <v>TBA</v>
      </c>
      <c r="D555" s="2" t="s">
        <v>136</v>
      </c>
      <c r="E555" s="2" t="s">
        <v>19</v>
      </c>
      <c r="F555" s="3">
        <v>0</v>
      </c>
      <c r="G555" s="3">
        <v>5780000</v>
      </c>
      <c r="H555" s="4"/>
      <c r="I555" s="4"/>
      <c r="J555" s="4"/>
      <c r="K555" s="4"/>
      <c r="L555" s="4"/>
      <c r="M555" s="4"/>
    </row>
    <row r="556" spans="1:13" ht="15" customHeight="1" x14ac:dyDescent="0.35">
      <c r="A556" t="str">
        <f t="shared" si="8"/>
        <v>P620IM08C4602</v>
      </c>
      <c r="B556" t="str">
        <f>IFERROR(VLOOKUP($A556,'[5]Study Budget Mapping '!$O$2:$P$532,2,0),"TBA")</f>
        <v>TBA</v>
      </c>
      <c r="D556" s="2" t="s">
        <v>137</v>
      </c>
      <c r="E556" s="2" t="s">
        <v>13</v>
      </c>
      <c r="F556" s="3">
        <v>820000</v>
      </c>
      <c r="G556" s="3">
        <v>820000</v>
      </c>
      <c r="H556" s="4"/>
      <c r="I556" s="4"/>
      <c r="J556" s="4"/>
      <c r="K556" s="4"/>
      <c r="L556" s="4"/>
      <c r="M556" s="4"/>
    </row>
    <row r="557" spans="1:13" ht="15" customHeight="1" x14ac:dyDescent="0.35">
      <c r="A557" t="str">
        <f t="shared" si="8"/>
        <v>P620IM08C4602</v>
      </c>
      <c r="B557" t="str">
        <f>IFERROR(VLOOKUP($A557,'[5]Study Budget Mapping '!$O$2:$P$532,2,0),"TBA")</f>
        <v>TBA</v>
      </c>
      <c r="D557" s="2" t="s">
        <v>137</v>
      </c>
      <c r="E557" s="2" t="s">
        <v>14</v>
      </c>
      <c r="F557" s="3">
        <v>1550000</v>
      </c>
      <c r="G557" s="3">
        <v>1550000</v>
      </c>
      <c r="H557" s="4"/>
      <c r="I557" s="4"/>
      <c r="J557" s="4"/>
      <c r="K557" s="4"/>
      <c r="L557" s="4"/>
      <c r="M557" s="4"/>
    </row>
    <row r="558" spans="1:13" ht="15" customHeight="1" x14ac:dyDescent="0.35">
      <c r="A558" t="str">
        <f t="shared" si="8"/>
        <v>P620IM08C4602</v>
      </c>
      <c r="B558" t="str">
        <f>IFERROR(VLOOKUP($A558,'[5]Study Budget Mapping '!$O$2:$P$532,2,0),"TBA")</f>
        <v>TBA</v>
      </c>
      <c r="D558" s="2" t="s">
        <v>137</v>
      </c>
      <c r="E558" s="2" t="s">
        <v>19</v>
      </c>
      <c r="F558" s="3">
        <v>30000</v>
      </c>
      <c r="G558" s="3">
        <v>30000</v>
      </c>
      <c r="H558" s="4"/>
      <c r="I558" s="4"/>
      <c r="J558" s="4"/>
      <c r="K558" s="4"/>
      <c r="L558" s="4"/>
      <c r="M558" s="4"/>
    </row>
    <row r="559" spans="1:13" ht="15" customHeight="1" x14ac:dyDescent="0.35">
      <c r="A559" t="str">
        <f t="shared" si="8"/>
        <v>P620IM08C4602</v>
      </c>
      <c r="B559" t="str">
        <f>IFERROR(VLOOKUP($A559,'[5]Study Budget Mapping '!$O$2:$P$532,2,0),"TBA")</f>
        <v>TBA</v>
      </c>
      <c r="D559" s="2" t="s">
        <v>137</v>
      </c>
      <c r="E559" s="2" t="s">
        <v>15</v>
      </c>
      <c r="F559" s="3">
        <v>2710000</v>
      </c>
      <c r="G559" s="3">
        <v>2710000</v>
      </c>
      <c r="H559" s="4"/>
      <c r="I559" s="4"/>
      <c r="J559" s="4"/>
      <c r="K559" s="4"/>
      <c r="L559" s="4"/>
      <c r="M559" s="4"/>
    </row>
    <row r="560" spans="1:13" ht="15" customHeight="1" x14ac:dyDescent="0.35">
      <c r="A560" t="str">
        <f t="shared" si="8"/>
        <v>P620IM08C4602</v>
      </c>
      <c r="B560" t="str">
        <f>IFERROR(VLOOKUP($A560,'[5]Study Budget Mapping '!$O$2:$P$532,2,0),"TBA")</f>
        <v>TBA</v>
      </c>
      <c r="D560" s="2" t="s">
        <v>137</v>
      </c>
      <c r="E560" s="2" t="s">
        <v>16</v>
      </c>
      <c r="F560" s="3">
        <v>510000</v>
      </c>
      <c r="G560" s="3">
        <v>510000</v>
      </c>
      <c r="H560" s="4"/>
      <c r="I560" s="4"/>
      <c r="J560" s="4"/>
      <c r="K560" s="4"/>
      <c r="L560" s="4"/>
      <c r="M560" s="4"/>
    </row>
    <row r="561" spans="1:13" ht="15" customHeight="1" x14ac:dyDescent="0.35">
      <c r="A561" t="str">
        <f t="shared" si="8"/>
        <v>P620IM08C4602</v>
      </c>
      <c r="B561" t="str">
        <f>IFERROR(VLOOKUP($A561,'[5]Study Budget Mapping '!$O$2:$P$532,2,0),"TBA")</f>
        <v>TBA</v>
      </c>
      <c r="D561" s="2" t="s">
        <v>137</v>
      </c>
      <c r="E561" s="2" t="s">
        <v>23</v>
      </c>
      <c r="F561" s="3">
        <v>131000</v>
      </c>
      <c r="G561" s="3">
        <v>131000</v>
      </c>
      <c r="H561" s="4"/>
      <c r="I561" s="4"/>
      <c r="J561" s="4"/>
      <c r="K561" s="4"/>
      <c r="L561" s="4"/>
      <c r="M561" s="4"/>
    </row>
    <row r="562" spans="1:13" ht="15" customHeight="1" x14ac:dyDescent="0.35">
      <c r="A562" t="str">
        <f t="shared" si="8"/>
        <v>P620IM08C4602</v>
      </c>
      <c r="B562" t="str">
        <f>IFERROR(VLOOKUP($A562,'[5]Study Budget Mapping '!$O$2:$P$532,2,0),"TBA")</f>
        <v>TBA</v>
      </c>
      <c r="D562" s="2" t="s">
        <v>137</v>
      </c>
      <c r="E562" s="2" t="s">
        <v>32</v>
      </c>
      <c r="F562" s="3">
        <v>530000</v>
      </c>
      <c r="G562" s="3">
        <v>530000</v>
      </c>
      <c r="H562" s="4"/>
      <c r="I562" s="4"/>
      <c r="J562" s="4"/>
      <c r="K562" s="4"/>
      <c r="L562" s="4"/>
      <c r="M562" s="4"/>
    </row>
    <row r="563" spans="1:13" ht="15" customHeight="1" x14ac:dyDescent="0.35">
      <c r="A563" t="str">
        <f t="shared" si="8"/>
        <v>P620IM08C4611</v>
      </c>
      <c r="B563" t="str">
        <f>IFERROR(VLOOKUP($A563,'[5]Study Budget Mapping '!$O$2:$P$532,2,0),"TBA")</f>
        <v>TBA</v>
      </c>
      <c r="D563" s="2" t="s">
        <v>138</v>
      </c>
      <c r="E563" s="2" t="s">
        <v>13</v>
      </c>
      <c r="F563" s="3">
        <v>1640000</v>
      </c>
      <c r="G563" s="3">
        <v>1620000</v>
      </c>
      <c r="H563" s="4"/>
      <c r="I563" s="4"/>
      <c r="J563" s="4"/>
      <c r="K563" s="4"/>
      <c r="L563" s="4"/>
      <c r="M563" s="4"/>
    </row>
    <row r="564" spans="1:13" ht="15" customHeight="1" x14ac:dyDescent="0.35">
      <c r="A564" t="str">
        <f t="shared" si="8"/>
        <v>P620IM08C4611</v>
      </c>
      <c r="B564" t="str">
        <f>IFERROR(VLOOKUP($A564,'[5]Study Budget Mapping '!$O$2:$P$532,2,0),"TBA")</f>
        <v>TBA</v>
      </c>
      <c r="D564" s="2" t="s">
        <v>138</v>
      </c>
      <c r="E564" s="2" t="s">
        <v>19</v>
      </c>
      <c r="F564" s="3">
        <v>1930000</v>
      </c>
      <c r="G564" s="3">
        <v>1827000</v>
      </c>
      <c r="H564" s="4"/>
      <c r="I564" s="4"/>
      <c r="J564" s="4"/>
      <c r="K564" s="4"/>
      <c r="L564" s="4"/>
      <c r="M564" s="4"/>
    </row>
    <row r="565" spans="1:13" ht="15" customHeight="1" x14ac:dyDescent="0.35">
      <c r="A565" t="str">
        <f t="shared" si="8"/>
        <v>P620IM08C4611</v>
      </c>
      <c r="B565" t="str">
        <f>IFERROR(VLOOKUP($A565,'[5]Study Budget Mapping '!$O$2:$P$532,2,0),"TBA")</f>
        <v>TBA</v>
      </c>
      <c r="D565" s="2" t="s">
        <v>138</v>
      </c>
      <c r="E565" s="2" t="s">
        <v>15</v>
      </c>
      <c r="F565" s="3">
        <v>1740000</v>
      </c>
      <c r="G565" s="3">
        <v>1750000</v>
      </c>
      <c r="H565" s="4"/>
      <c r="I565" s="4"/>
      <c r="J565" s="4"/>
      <c r="K565" s="4"/>
      <c r="L565" s="4"/>
      <c r="M565" s="4"/>
    </row>
    <row r="566" spans="1:13" ht="15" customHeight="1" x14ac:dyDescent="0.35">
      <c r="A566" t="str">
        <f t="shared" si="8"/>
        <v>P620IM08C4611</v>
      </c>
      <c r="B566" t="str">
        <f>IFERROR(VLOOKUP($A566,'[5]Study Budget Mapping '!$O$2:$P$532,2,0),"TBA")</f>
        <v>TBA</v>
      </c>
      <c r="D566" s="2" t="s">
        <v>138</v>
      </c>
      <c r="E566" s="2" t="s">
        <v>16</v>
      </c>
      <c r="F566" s="3">
        <v>0</v>
      </c>
      <c r="G566" s="3">
        <v>210000</v>
      </c>
      <c r="H566" s="4"/>
      <c r="I566" s="4"/>
      <c r="J566" s="4"/>
      <c r="K566" s="4"/>
      <c r="L566" s="4"/>
      <c r="M566" s="4"/>
    </row>
    <row r="567" spans="1:13" ht="15" customHeight="1" x14ac:dyDescent="0.35">
      <c r="A567" t="str">
        <f t="shared" si="8"/>
        <v>P620IM08C4611</v>
      </c>
      <c r="B567" t="str">
        <f>IFERROR(VLOOKUP($A567,'[5]Study Budget Mapping '!$O$2:$P$532,2,0),"TBA")</f>
        <v>TBA</v>
      </c>
      <c r="D567" s="2" t="s">
        <v>138</v>
      </c>
      <c r="E567" s="2" t="s">
        <v>17</v>
      </c>
      <c r="F567" s="3">
        <v>290000</v>
      </c>
      <c r="G567" s="3">
        <v>270000</v>
      </c>
      <c r="H567" s="4"/>
      <c r="I567" s="4"/>
      <c r="J567" s="4"/>
      <c r="K567" s="4"/>
      <c r="L567" s="4"/>
      <c r="M567" s="4"/>
    </row>
    <row r="568" spans="1:13" ht="15" customHeight="1" x14ac:dyDescent="0.35">
      <c r="A568" t="str">
        <f t="shared" si="8"/>
        <v>P620IM08C4611</v>
      </c>
      <c r="B568" t="str">
        <f>IFERROR(VLOOKUP($A568,'[5]Study Budget Mapping '!$O$2:$P$532,2,0),"TBA")</f>
        <v>TBA</v>
      </c>
      <c r="D568" s="2" t="s">
        <v>138</v>
      </c>
      <c r="E568" s="2" t="s">
        <v>23</v>
      </c>
      <c r="F568" s="3">
        <v>0</v>
      </c>
      <c r="G568" s="3">
        <v>40000</v>
      </c>
      <c r="H568" s="4"/>
      <c r="I568" s="4"/>
      <c r="J568" s="4"/>
      <c r="K568" s="4"/>
      <c r="L568" s="4"/>
      <c r="M568" s="4"/>
    </row>
    <row r="569" spans="1:13" ht="15" customHeight="1" x14ac:dyDescent="0.35">
      <c r="A569" t="str">
        <f t="shared" si="8"/>
        <v>P620IM08C4611</v>
      </c>
      <c r="B569" t="str">
        <f>IFERROR(VLOOKUP($A569,'[5]Study Budget Mapping '!$O$2:$P$532,2,0),"TBA")</f>
        <v>TBA</v>
      </c>
      <c r="D569" s="2" t="s">
        <v>138</v>
      </c>
      <c r="E569" s="2" t="s">
        <v>24</v>
      </c>
      <c r="F569" s="3">
        <v>180000</v>
      </c>
      <c r="G569" s="3">
        <v>140000</v>
      </c>
      <c r="H569" s="4"/>
      <c r="I569" s="4"/>
      <c r="J569" s="4"/>
      <c r="K569" s="4"/>
      <c r="L569" s="4"/>
      <c r="M569" s="4"/>
    </row>
    <row r="570" spans="1:13" ht="15" customHeight="1" x14ac:dyDescent="0.35">
      <c r="A570" t="str">
        <f t="shared" si="8"/>
        <v>P620IM12C2411</v>
      </c>
      <c r="B570" t="str">
        <f>IFERROR(VLOOKUP($A570,'[5]Study Budget Mapping '!$O$2:$P$532,2,0),"TBA")</f>
        <v>TBA</v>
      </c>
      <c r="D570" s="2" t="s">
        <v>139</v>
      </c>
      <c r="E570" s="2" t="s">
        <v>13</v>
      </c>
      <c r="F570" s="3">
        <v>1250000</v>
      </c>
      <c r="G570" s="3">
        <v>1250000</v>
      </c>
      <c r="H570" s="4"/>
      <c r="I570" s="4"/>
      <c r="J570" s="4"/>
      <c r="K570" s="4"/>
      <c r="L570" s="4"/>
      <c r="M570" s="4"/>
    </row>
    <row r="571" spans="1:13" ht="15" customHeight="1" x14ac:dyDescent="0.35">
      <c r="A571" t="str">
        <f t="shared" si="8"/>
        <v>P620IM12C2411</v>
      </c>
      <c r="B571" t="str">
        <f>IFERROR(VLOOKUP($A571,'[5]Study Budget Mapping '!$O$2:$P$532,2,0),"TBA")</f>
        <v>TBA</v>
      </c>
      <c r="D571" s="2" t="s">
        <v>139</v>
      </c>
      <c r="E571" s="2" t="s">
        <v>14</v>
      </c>
      <c r="F571" s="3">
        <v>330000</v>
      </c>
      <c r="G571" s="3">
        <v>330000</v>
      </c>
      <c r="H571" s="4"/>
      <c r="I571" s="4"/>
      <c r="J571" s="4"/>
      <c r="K571" s="4"/>
      <c r="L571" s="4"/>
      <c r="M571" s="4"/>
    </row>
    <row r="572" spans="1:13" ht="15" customHeight="1" x14ac:dyDescent="0.35">
      <c r="A572" t="str">
        <f t="shared" si="8"/>
        <v>P620IM12C2411</v>
      </c>
      <c r="B572" t="str">
        <f>IFERROR(VLOOKUP($A572,'[5]Study Budget Mapping '!$O$2:$P$532,2,0),"TBA")</f>
        <v>TBA</v>
      </c>
      <c r="D572" s="2" t="s">
        <v>139</v>
      </c>
      <c r="E572" s="2" t="s">
        <v>19</v>
      </c>
      <c r="F572" s="3">
        <v>993000</v>
      </c>
      <c r="G572" s="3">
        <v>993000</v>
      </c>
      <c r="H572" s="4"/>
      <c r="I572" s="4"/>
      <c r="J572" s="4"/>
      <c r="K572" s="4"/>
      <c r="L572" s="4"/>
      <c r="M572" s="4"/>
    </row>
    <row r="573" spans="1:13" ht="15" customHeight="1" x14ac:dyDescent="0.35">
      <c r="A573" t="str">
        <f t="shared" si="8"/>
        <v>P620IM12C2411</v>
      </c>
      <c r="B573" t="str">
        <f>IFERROR(VLOOKUP($A573,'[5]Study Budget Mapping '!$O$2:$P$532,2,0),"TBA")</f>
        <v>TBA</v>
      </c>
      <c r="D573" s="2" t="s">
        <v>139</v>
      </c>
      <c r="E573" s="2" t="s">
        <v>15</v>
      </c>
      <c r="F573" s="3">
        <v>3730000</v>
      </c>
      <c r="G573" s="3">
        <v>3730000</v>
      </c>
      <c r="H573" s="4"/>
      <c r="I573" s="4"/>
      <c r="J573" s="4"/>
      <c r="K573" s="4"/>
      <c r="L573" s="4"/>
      <c r="M573" s="4"/>
    </row>
    <row r="574" spans="1:13" ht="15" customHeight="1" x14ac:dyDescent="0.35">
      <c r="A574" t="str">
        <f t="shared" si="8"/>
        <v>P620IM12C2411</v>
      </c>
      <c r="B574" t="str">
        <f>IFERROR(VLOOKUP($A574,'[5]Study Budget Mapping '!$O$2:$P$532,2,0),"TBA")</f>
        <v>TBA</v>
      </c>
      <c r="D574" s="2" t="s">
        <v>139</v>
      </c>
      <c r="E574" s="2" t="s">
        <v>16</v>
      </c>
      <c r="F574" s="3">
        <v>600000</v>
      </c>
      <c r="G574" s="3">
        <v>600000</v>
      </c>
      <c r="H574" s="4"/>
      <c r="I574" s="4"/>
      <c r="J574" s="4"/>
      <c r="K574" s="4"/>
      <c r="L574" s="4"/>
      <c r="M574" s="4"/>
    </row>
    <row r="575" spans="1:13" ht="15" customHeight="1" x14ac:dyDescent="0.35">
      <c r="A575" t="str">
        <f t="shared" si="8"/>
        <v>P620IM12C2411</v>
      </c>
      <c r="B575" t="str">
        <f>IFERROR(VLOOKUP($A575,'[5]Study Budget Mapping '!$O$2:$P$532,2,0),"TBA")</f>
        <v>TBA</v>
      </c>
      <c r="D575" s="2" t="s">
        <v>139</v>
      </c>
      <c r="E575" s="2" t="s">
        <v>17</v>
      </c>
      <c r="F575" s="3">
        <v>780000</v>
      </c>
      <c r="G575" s="3">
        <v>780000</v>
      </c>
      <c r="H575" s="4"/>
      <c r="I575" s="4"/>
      <c r="J575" s="4"/>
      <c r="K575" s="4"/>
      <c r="L575" s="4"/>
      <c r="M575" s="4"/>
    </row>
    <row r="576" spans="1:13" ht="15" customHeight="1" x14ac:dyDescent="0.35">
      <c r="A576" t="str">
        <f t="shared" si="8"/>
        <v>P620IM12C2411</v>
      </c>
      <c r="B576" t="str">
        <f>IFERROR(VLOOKUP($A576,'[5]Study Budget Mapping '!$O$2:$P$532,2,0),"TBA")</f>
        <v>TBA</v>
      </c>
      <c r="D576" s="2" t="s">
        <v>139</v>
      </c>
      <c r="E576" s="2" t="s">
        <v>23</v>
      </c>
      <c r="F576" s="3">
        <v>222000</v>
      </c>
      <c r="G576" s="3">
        <v>222000</v>
      </c>
      <c r="H576" s="4"/>
      <c r="I576" s="4"/>
      <c r="J576" s="4"/>
      <c r="K576" s="4"/>
      <c r="L576" s="4"/>
      <c r="M576" s="4"/>
    </row>
    <row r="577" spans="1:13" ht="15" customHeight="1" x14ac:dyDescent="0.35">
      <c r="A577" t="str">
        <f t="shared" si="8"/>
        <v>P620IM12C2411</v>
      </c>
      <c r="B577" t="str">
        <f>IFERROR(VLOOKUP($A577,'[5]Study Budget Mapping '!$O$2:$P$532,2,0),"TBA")</f>
        <v>TBA</v>
      </c>
      <c r="D577" s="2" t="s">
        <v>139</v>
      </c>
      <c r="E577" s="2" t="s">
        <v>32</v>
      </c>
      <c r="F577" s="3">
        <v>50000</v>
      </c>
      <c r="G577" s="3">
        <v>50000</v>
      </c>
      <c r="H577" s="4"/>
      <c r="I577" s="4"/>
      <c r="J577" s="4"/>
      <c r="K577" s="4"/>
      <c r="L577" s="4"/>
      <c r="M577" s="4"/>
    </row>
    <row r="578" spans="1:13" ht="15" customHeight="1" x14ac:dyDescent="0.35">
      <c r="A578" t="str">
        <f t="shared" si="8"/>
        <v>P620IM12C3731</v>
      </c>
      <c r="B578" t="str">
        <f>IFERROR(VLOOKUP($A578,'[5]Study Budget Mapping '!$O$2:$P$532,2,0),"TBA")</f>
        <v>TBA</v>
      </c>
      <c r="D578" s="2" t="s">
        <v>140</v>
      </c>
      <c r="E578" s="2" t="s">
        <v>13</v>
      </c>
      <c r="F578" s="3">
        <v>21980000</v>
      </c>
      <c r="G578" s="3">
        <v>15751491.130000001</v>
      </c>
      <c r="H578" s="4"/>
      <c r="I578" s="4"/>
      <c r="J578" s="4"/>
      <c r="K578" s="4"/>
      <c r="L578" s="4"/>
      <c r="M578" s="4"/>
    </row>
    <row r="579" spans="1:13" ht="15" customHeight="1" x14ac:dyDescent="0.35">
      <c r="A579" t="str">
        <f t="shared" ref="A579:A642" si="9">TRIM(_xlfn.TEXTBEFORE(D579,"-",1))</f>
        <v>P620IM12C3731</v>
      </c>
      <c r="B579" t="str">
        <f>IFERROR(VLOOKUP($A579,'[5]Study Budget Mapping '!$O$2:$P$532,2,0),"TBA")</f>
        <v>TBA</v>
      </c>
      <c r="D579" s="2" t="s">
        <v>140</v>
      </c>
      <c r="E579" s="2" t="s">
        <v>14</v>
      </c>
      <c r="F579" s="3">
        <v>11200000</v>
      </c>
      <c r="G579" s="3">
        <v>7920000</v>
      </c>
      <c r="H579" s="4"/>
      <c r="I579" s="4"/>
      <c r="J579" s="4"/>
      <c r="K579" s="4"/>
      <c r="L579" s="4"/>
      <c r="M579" s="4"/>
    </row>
    <row r="580" spans="1:13" ht="15" customHeight="1" x14ac:dyDescent="0.35">
      <c r="A580" t="str">
        <f t="shared" si="9"/>
        <v>P620IM12C3731</v>
      </c>
      <c r="B580" t="str">
        <f>IFERROR(VLOOKUP($A580,'[5]Study Budget Mapping '!$O$2:$P$532,2,0),"TBA")</f>
        <v>TBA</v>
      </c>
      <c r="D580" s="2" t="s">
        <v>140</v>
      </c>
      <c r="E580" s="2" t="s">
        <v>19</v>
      </c>
      <c r="F580" s="3">
        <v>3846000</v>
      </c>
      <c r="G580" s="3">
        <v>4350000</v>
      </c>
      <c r="H580" s="4"/>
      <c r="I580" s="4"/>
      <c r="J580" s="4"/>
      <c r="K580" s="4"/>
      <c r="L580" s="4"/>
      <c r="M580" s="4"/>
    </row>
    <row r="581" spans="1:13" ht="15" customHeight="1" x14ac:dyDescent="0.35">
      <c r="A581" t="str">
        <f t="shared" si="9"/>
        <v>P620IM12C3731</v>
      </c>
      <c r="B581" t="str">
        <f>IFERROR(VLOOKUP($A581,'[5]Study Budget Mapping '!$O$2:$P$532,2,0),"TBA")</f>
        <v>TBA</v>
      </c>
      <c r="D581" s="2" t="s">
        <v>140</v>
      </c>
      <c r="E581" s="2" t="s">
        <v>20</v>
      </c>
      <c r="F581" s="3">
        <v>0</v>
      </c>
      <c r="G581" s="3">
        <v>2080000</v>
      </c>
      <c r="H581" s="4"/>
      <c r="I581" s="4"/>
      <c r="J581" s="4"/>
      <c r="K581" s="4"/>
      <c r="L581" s="4"/>
      <c r="M581" s="4"/>
    </row>
    <row r="582" spans="1:13" ht="15" customHeight="1" x14ac:dyDescent="0.35">
      <c r="A582" t="str">
        <f t="shared" si="9"/>
        <v>P620IM12C3731</v>
      </c>
      <c r="B582" t="str">
        <f>IFERROR(VLOOKUP($A582,'[5]Study Budget Mapping '!$O$2:$P$532,2,0),"TBA")</f>
        <v>TBA</v>
      </c>
      <c r="D582" s="2" t="s">
        <v>140</v>
      </c>
      <c r="E582" s="2" t="s">
        <v>15</v>
      </c>
      <c r="F582" s="3">
        <v>18550000</v>
      </c>
      <c r="G582" s="3">
        <v>20601549</v>
      </c>
      <c r="H582" s="4"/>
      <c r="I582" s="4"/>
      <c r="J582" s="4"/>
      <c r="K582" s="4"/>
      <c r="L582" s="4"/>
      <c r="M582" s="4"/>
    </row>
    <row r="583" spans="1:13" ht="15" customHeight="1" x14ac:dyDescent="0.35">
      <c r="A583" t="str">
        <f t="shared" si="9"/>
        <v>P620IM12C3731</v>
      </c>
      <c r="B583" t="str">
        <f>IFERROR(VLOOKUP($A583,'[5]Study Budget Mapping '!$O$2:$P$532,2,0),"TBA")</f>
        <v>TBA</v>
      </c>
      <c r="D583" s="2" t="s">
        <v>140</v>
      </c>
      <c r="E583" s="2" t="s">
        <v>16</v>
      </c>
      <c r="F583" s="3">
        <v>2450000</v>
      </c>
      <c r="G583" s="3">
        <v>3808451</v>
      </c>
      <c r="H583" s="4"/>
      <c r="I583" s="4"/>
      <c r="J583" s="4"/>
      <c r="K583" s="4"/>
      <c r="L583" s="4"/>
      <c r="M583" s="4"/>
    </row>
    <row r="584" spans="1:13" ht="15" customHeight="1" x14ac:dyDescent="0.35">
      <c r="A584" t="str">
        <f t="shared" si="9"/>
        <v>P620IM12C3731</v>
      </c>
      <c r="B584" t="str">
        <f>IFERROR(VLOOKUP($A584,'[5]Study Budget Mapping '!$O$2:$P$532,2,0),"TBA")</f>
        <v>TBA</v>
      </c>
      <c r="D584" s="2" t="s">
        <v>140</v>
      </c>
      <c r="E584" s="2" t="s">
        <v>17</v>
      </c>
      <c r="F584" s="3">
        <v>0</v>
      </c>
      <c r="G584" s="3">
        <v>508000</v>
      </c>
      <c r="H584" s="4"/>
      <c r="I584" s="4"/>
      <c r="J584" s="4"/>
      <c r="K584" s="4"/>
      <c r="L584" s="4"/>
      <c r="M584" s="4"/>
    </row>
    <row r="585" spans="1:13" ht="15" customHeight="1" x14ac:dyDescent="0.35">
      <c r="A585" t="str">
        <f t="shared" si="9"/>
        <v>P620IM12C3731</v>
      </c>
      <c r="B585" t="str">
        <f>IFERROR(VLOOKUP($A585,'[5]Study Budget Mapping '!$O$2:$P$532,2,0),"TBA")</f>
        <v>TBA</v>
      </c>
      <c r="D585" s="2" t="s">
        <v>140</v>
      </c>
      <c r="E585" s="2" t="s">
        <v>23</v>
      </c>
      <c r="F585" s="3">
        <v>3000000</v>
      </c>
      <c r="G585" s="3">
        <v>0</v>
      </c>
      <c r="H585" s="4"/>
      <c r="I585" s="4"/>
      <c r="J585" s="4"/>
      <c r="K585" s="4"/>
      <c r="L585" s="4"/>
      <c r="M585" s="4"/>
    </row>
    <row r="586" spans="1:13" ht="15" customHeight="1" x14ac:dyDescent="0.35">
      <c r="A586" t="str">
        <f t="shared" si="9"/>
        <v>P620IM12C3731</v>
      </c>
      <c r="B586" t="str">
        <f>IFERROR(VLOOKUP($A586,'[5]Study Budget Mapping '!$O$2:$P$532,2,0),"TBA")</f>
        <v>TBA</v>
      </c>
      <c r="D586" s="2" t="s">
        <v>140</v>
      </c>
      <c r="E586" s="2" t="s">
        <v>24</v>
      </c>
      <c r="F586" s="3">
        <v>7620000</v>
      </c>
      <c r="G586" s="3">
        <v>3900000</v>
      </c>
      <c r="H586" s="4"/>
      <c r="I586" s="4"/>
      <c r="J586" s="4"/>
      <c r="K586" s="4"/>
      <c r="L586" s="4"/>
      <c r="M586" s="4"/>
    </row>
    <row r="587" spans="1:13" ht="15" customHeight="1" x14ac:dyDescent="0.35">
      <c r="A587" t="str">
        <f t="shared" si="9"/>
        <v>P620IM12C3732</v>
      </c>
      <c r="B587" t="str">
        <f>IFERROR(VLOOKUP($A587,'[5]Study Budget Mapping '!$O$2:$P$532,2,0),"TBA")</f>
        <v>TBA</v>
      </c>
      <c r="D587" s="2" t="s">
        <v>141</v>
      </c>
      <c r="E587" s="2" t="s">
        <v>13</v>
      </c>
      <c r="F587" s="3">
        <v>2205786</v>
      </c>
      <c r="G587" s="3">
        <v>7246000</v>
      </c>
      <c r="H587" s="4"/>
      <c r="I587" s="4"/>
      <c r="J587" s="4"/>
      <c r="K587" s="4"/>
      <c r="L587" s="4"/>
      <c r="M587" s="4"/>
    </row>
    <row r="588" spans="1:13" ht="15" customHeight="1" x14ac:dyDescent="0.35">
      <c r="A588" t="str">
        <f t="shared" si="9"/>
        <v>P620IM12C3732</v>
      </c>
      <c r="B588" t="str">
        <f>IFERROR(VLOOKUP($A588,'[5]Study Budget Mapping '!$O$2:$P$532,2,0),"TBA")</f>
        <v>TBA</v>
      </c>
      <c r="D588" s="2" t="s">
        <v>141</v>
      </c>
      <c r="E588" s="2" t="s">
        <v>14</v>
      </c>
      <c r="F588" s="3">
        <v>1420000</v>
      </c>
      <c r="G588" s="3">
        <v>2080000</v>
      </c>
      <c r="H588" s="4"/>
      <c r="I588" s="4"/>
      <c r="J588" s="4"/>
      <c r="K588" s="4"/>
      <c r="L588" s="4"/>
      <c r="M588" s="4"/>
    </row>
    <row r="589" spans="1:13" ht="15" customHeight="1" x14ac:dyDescent="0.35">
      <c r="A589" t="str">
        <f t="shared" si="9"/>
        <v>P620IM12C3732</v>
      </c>
      <c r="B589" t="str">
        <f>IFERROR(VLOOKUP($A589,'[5]Study Budget Mapping '!$O$2:$P$532,2,0),"TBA")</f>
        <v>TBA</v>
      </c>
      <c r="D589" s="2" t="s">
        <v>141</v>
      </c>
      <c r="E589" s="2" t="s">
        <v>19</v>
      </c>
      <c r="F589" s="3">
        <v>1300000</v>
      </c>
      <c r="G589" s="3">
        <v>1685000</v>
      </c>
      <c r="H589" s="4"/>
      <c r="I589" s="4"/>
      <c r="J589" s="4"/>
      <c r="K589" s="4"/>
      <c r="L589" s="4"/>
      <c r="M589" s="4"/>
    </row>
    <row r="590" spans="1:13" ht="15" customHeight="1" x14ac:dyDescent="0.35">
      <c r="A590" t="str">
        <f t="shared" si="9"/>
        <v>P620IM12C3732</v>
      </c>
      <c r="B590" t="str">
        <f>IFERROR(VLOOKUP($A590,'[5]Study Budget Mapping '!$O$2:$P$532,2,0),"TBA")</f>
        <v>TBA</v>
      </c>
      <c r="D590" s="2" t="s">
        <v>141</v>
      </c>
      <c r="E590" s="2" t="s">
        <v>20</v>
      </c>
      <c r="F590" s="3">
        <v>510000</v>
      </c>
      <c r="G590" s="3">
        <v>1000000</v>
      </c>
      <c r="H590" s="4"/>
      <c r="I590" s="4"/>
      <c r="J590" s="4"/>
      <c r="K590" s="4"/>
      <c r="L590" s="4"/>
      <c r="M590" s="4"/>
    </row>
    <row r="591" spans="1:13" ht="15" customHeight="1" x14ac:dyDescent="0.35">
      <c r="A591" t="str">
        <f t="shared" si="9"/>
        <v>P620IM12C3732</v>
      </c>
      <c r="B591" t="str">
        <f>IFERROR(VLOOKUP($A591,'[5]Study Budget Mapping '!$O$2:$P$532,2,0),"TBA")</f>
        <v>TBA</v>
      </c>
      <c r="D591" s="2" t="s">
        <v>141</v>
      </c>
      <c r="E591" s="2" t="s">
        <v>15</v>
      </c>
      <c r="F591" s="3">
        <v>5430000</v>
      </c>
      <c r="G591" s="3">
        <v>10190000</v>
      </c>
      <c r="H591" s="4"/>
      <c r="I591" s="4"/>
      <c r="J591" s="4"/>
      <c r="K591" s="4"/>
      <c r="L591" s="4"/>
      <c r="M591" s="4"/>
    </row>
    <row r="592" spans="1:13" ht="15" customHeight="1" x14ac:dyDescent="0.35">
      <c r="A592" t="str">
        <f t="shared" si="9"/>
        <v>P620IM12C3732</v>
      </c>
      <c r="B592" t="str">
        <f>IFERROR(VLOOKUP($A592,'[5]Study Budget Mapping '!$O$2:$P$532,2,0),"TBA")</f>
        <v>TBA</v>
      </c>
      <c r="D592" s="2" t="s">
        <v>141</v>
      </c>
      <c r="E592" s="2" t="s">
        <v>16</v>
      </c>
      <c r="F592" s="3">
        <v>770000</v>
      </c>
      <c r="G592" s="3">
        <v>1010000</v>
      </c>
      <c r="H592" s="4"/>
      <c r="I592" s="4"/>
      <c r="J592" s="4"/>
      <c r="K592" s="4"/>
      <c r="L592" s="4"/>
      <c r="M592" s="4"/>
    </row>
    <row r="593" spans="1:13" ht="15" customHeight="1" x14ac:dyDescent="0.35">
      <c r="A593" t="str">
        <f t="shared" si="9"/>
        <v>P620IM12C3732</v>
      </c>
      <c r="B593" t="str">
        <f>IFERROR(VLOOKUP($A593,'[5]Study Budget Mapping '!$O$2:$P$532,2,0),"TBA")</f>
        <v>TBA</v>
      </c>
      <c r="D593" s="2" t="s">
        <v>141</v>
      </c>
      <c r="E593" s="2" t="s">
        <v>17</v>
      </c>
      <c r="F593" s="3">
        <v>320000</v>
      </c>
      <c r="G593" s="3">
        <v>590000</v>
      </c>
      <c r="H593" s="4"/>
      <c r="I593" s="4"/>
      <c r="J593" s="4"/>
      <c r="K593" s="4"/>
      <c r="L593" s="4"/>
      <c r="M593" s="4"/>
    </row>
    <row r="594" spans="1:13" ht="15" customHeight="1" x14ac:dyDescent="0.35">
      <c r="A594" t="str">
        <f t="shared" si="9"/>
        <v>P620IM12C3732</v>
      </c>
      <c r="B594" t="str">
        <f>IFERROR(VLOOKUP($A594,'[5]Study Budget Mapping '!$O$2:$P$532,2,0),"TBA")</f>
        <v>TBA</v>
      </c>
      <c r="D594" s="2" t="s">
        <v>141</v>
      </c>
      <c r="E594" s="2" t="s">
        <v>24</v>
      </c>
      <c r="F594" s="3">
        <v>390000</v>
      </c>
      <c r="G594" s="3">
        <v>1330000</v>
      </c>
      <c r="H594" s="4"/>
      <c r="I594" s="4"/>
      <c r="J594" s="4"/>
      <c r="K594" s="4"/>
      <c r="L594" s="4"/>
      <c r="M594" s="4"/>
    </row>
    <row r="595" spans="1:13" ht="15" customHeight="1" x14ac:dyDescent="0.35">
      <c r="A595" t="str">
        <f t="shared" si="9"/>
        <v>P620IM12C3732</v>
      </c>
      <c r="B595" t="str">
        <f>IFERROR(VLOOKUP($A595,'[5]Study Budget Mapping '!$O$2:$P$532,2,0),"TBA")</f>
        <v>TBA</v>
      </c>
      <c r="D595" s="2" t="s">
        <v>141</v>
      </c>
      <c r="E595" s="2" t="s">
        <v>32</v>
      </c>
      <c r="F595" s="3">
        <v>160000</v>
      </c>
      <c r="G595" s="3">
        <v>160000</v>
      </c>
      <c r="H595" s="4"/>
      <c r="I595" s="4"/>
      <c r="J595" s="4"/>
      <c r="K595" s="4"/>
      <c r="L595" s="4"/>
      <c r="M595" s="4"/>
    </row>
    <row r="596" spans="1:13" ht="15" customHeight="1" x14ac:dyDescent="0.35">
      <c r="A596" t="str">
        <f t="shared" si="9"/>
        <v>P620IM13C0231</v>
      </c>
      <c r="B596" t="str">
        <f>IFERROR(VLOOKUP($A596,'[5]Study Budget Mapping '!$O$2:$P$532,2,0),"TBA")</f>
        <v>TBA</v>
      </c>
      <c r="D596" s="2" t="s">
        <v>142</v>
      </c>
      <c r="E596" s="2" t="s">
        <v>13</v>
      </c>
      <c r="F596" s="3">
        <v>40000</v>
      </c>
      <c r="G596" s="3">
        <v>40000</v>
      </c>
      <c r="H596" s="4"/>
      <c r="I596" s="4"/>
      <c r="J596" s="4"/>
      <c r="K596" s="4"/>
      <c r="L596" s="4"/>
      <c r="M596" s="4"/>
    </row>
    <row r="597" spans="1:13" ht="15" customHeight="1" x14ac:dyDescent="0.35">
      <c r="A597" t="str">
        <f t="shared" si="9"/>
        <v>P620IM13C0231</v>
      </c>
      <c r="B597" t="str">
        <f>IFERROR(VLOOKUP($A597,'[5]Study Budget Mapping '!$O$2:$P$532,2,0),"TBA")</f>
        <v>TBA</v>
      </c>
      <c r="D597" s="2" t="s">
        <v>142</v>
      </c>
      <c r="E597" s="2" t="s">
        <v>32</v>
      </c>
      <c r="F597" s="3">
        <v>80000</v>
      </c>
      <c r="G597" s="3">
        <v>80000</v>
      </c>
      <c r="H597" s="4"/>
      <c r="I597" s="4"/>
      <c r="J597" s="4"/>
      <c r="K597" s="4"/>
      <c r="L597" s="4"/>
      <c r="M597" s="4"/>
    </row>
    <row r="598" spans="1:13" ht="15" customHeight="1" x14ac:dyDescent="0.35">
      <c r="A598" t="str">
        <f t="shared" si="9"/>
        <v>P620IM13C2411</v>
      </c>
      <c r="B598" t="str">
        <f>IFERROR(VLOOKUP($A598,'[5]Study Budget Mapping '!$O$2:$P$532,2,0),"TBA")</f>
        <v>TBA</v>
      </c>
      <c r="D598" s="2" t="s">
        <v>143</v>
      </c>
      <c r="E598" s="2" t="s">
        <v>13</v>
      </c>
      <c r="F598" s="3">
        <v>7710000</v>
      </c>
      <c r="G598" s="3">
        <v>8812616</v>
      </c>
      <c r="H598" s="4"/>
      <c r="I598" s="4"/>
      <c r="J598" s="4"/>
      <c r="K598" s="4"/>
      <c r="L598" s="4"/>
      <c r="M598" s="4"/>
    </row>
    <row r="599" spans="1:13" ht="15" customHeight="1" x14ac:dyDescent="0.35">
      <c r="A599" t="str">
        <f t="shared" si="9"/>
        <v>P620IM13C2411</v>
      </c>
      <c r="B599" t="str">
        <f>IFERROR(VLOOKUP($A599,'[5]Study Budget Mapping '!$O$2:$P$532,2,0),"TBA")</f>
        <v>TBA</v>
      </c>
      <c r="D599" s="2" t="s">
        <v>143</v>
      </c>
      <c r="E599" s="2" t="s">
        <v>14</v>
      </c>
      <c r="F599" s="3">
        <v>1020000</v>
      </c>
      <c r="G599" s="3">
        <v>1690000</v>
      </c>
      <c r="H599" s="4"/>
      <c r="I599" s="4"/>
      <c r="J599" s="4"/>
      <c r="K599" s="4"/>
      <c r="L599" s="4"/>
      <c r="M599" s="4"/>
    </row>
    <row r="600" spans="1:13" ht="15" customHeight="1" x14ac:dyDescent="0.35">
      <c r="A600" t="str">
        <f t="shared" si="9"/>
        <v>P620IM13C2411</v>
      </c>
      <c r="B600" t="str">
        <f>IFERROR(VLOOKUP($A600,'[5]Study Budget Mapping '!$O$2:$P$532,2,0),"TBA")</f>
        <v>TBA</v>
      </c>
      <c r="D600" s="2" t="s">
        <v>143</v>
      </c>
      <c r="E600" s="2" t="s">
        <v>144</v>
      </c>
      <c r="F600" s="3">
        <v>450000</v>
      </c>
      <c r="G600" s="3">
        <v>0</v>
      </c>
      <c r="H600" s="4"/>
      <c r="I600" s="4"/>
      <c r="J600" s="4"/>
      <c r="K600" s="4"/>
      <c r="L600" s="4"/>
      <c r="M600" s="4"/>
    </row>
    <row r="601" spans="1:13" ht="15" customHeight="1" x14ac:dyDescent="0.35">
      <c r="A601" t="str">
        <f t="shared" si="9"/>
        <v>P620IM13C2411</v>
      </c>
      <c r="B601" t="str">
        <f>IFERROR(VLOOKUP($A601,'[5]Study Budget Mapping '!$O$2:$P$532,2,0),"TBA")</f>
        <v>TBA</v>
      </c>
      <c r="D601" s="2" t="s">
        <v>143</v>
      </c>
      <c r="E601" s="2" t="s">
        <v>19</v>
      </c>
      <c r="F601" s="3">
        <v>1780000</v>
      </c>
      <c r="G601" s="3">
        <v>2176692</v>
      </c>
      <c r="H601" s="4"/>
      <c r="I601" s="4"/>
      <c r="J601" s="4"/>
      <c r="K601" s="4"/>
      <c r="L601" s="4"/>
      <c r="M601" s="4"/>
    </row>
    <row r="602" spans="1:13" ht="15" customHeight="1" x14ac:dyDescent="0.35">
      <c r="A602" t="str">
        <f t="shared" si="9"/>
        <v>P620IM13C2411</v>
      </c>
      <c r="B602" t="str">
        <f>IFERROR(VLOOKUP($A602,'[5]Study Budget Mapping '!$O$2:$P$532,2,0),"TBA")</f>
        <v>TBA</v>
      </c>
      <c r="D602" s="2" t="s">
        <v>143</v>
      </c>
      <c r="E602" s="2" t="s">
        <v>15</v>
      </c>
      <c r="F602" s="3">
        <v>5790000</v>
      </c>
      <c r="G602" s="3">
        <v>7035000</v>
      </c>
      <c r="H602" s="4"/>
      <c r="I602" s="4"/>
      <c r="J602" s="4"/>
      <c r="K602" s="4"/>
      <c r="L602" s="4"/>
      <c r="M602" s="4"/>
    </row>
    <row r="603" spans="1:13" ht="15" customHeight="1" x14ac:dyDescent="0.35">
      <c r="A603" t="str">
        <f t="shared" si="9"/>
        <v>P620IM13C2411</v>
      </c>
      <c r="B603" t="str">
        <f>IFERROR(VLOOKUP($A603,'[5]Study Budget Mapping '!$O$2:$P$532,2,0),"TBA")</f>
        <v>TBA</v>
      </c>
      <c r="D603" s="2" t="s">
        <v>143</v>
      </c>
      <c r="E603" s="2" t="s">
        <v>16</v>
      </c>
      <c r="F603" s="3">
        <v>1000000</v>
      </c>
      <c r="G603" s="3">
        <v>1420000</v>
      </c>
      <c r="H603" s="4"/>
      <c r="I603" s="4"/>
      <c r="J603" s="4"/>
      <c r="K603" s="4"/>
      <c r="L603" s="4"/>
      <c r="M603" s="4"/>
    </row>
    <row r="604" spans="1:13" ht="15" customHeight="1" x14ac:dyDescent="0.35">
      <c r="A604" t="str">
        <f t="shared" si="9"/>
        <v>P620IM13C2411</v>
      </c>
      <c r="B604" t="str">
        <f>IFERROR(VLOOKUP($A604,'[5]Study Budget Mapping '!$O$2:$P$532,2,0),"TBA")</f>
        <v>TBA</v>
      </c>
      <c r="D604" s="2" t="s">
        <v>143</v>
      </c>
      <c r="E604" s="2" t="s">
        <v>17</v>
      </c>
      <c r="F604" s="3">
        <v>0</v>
      </c>
      <c r="G604" s="3">
        <v>470000</v>
      </c>
      <c r="H604" s="4"/>
      <c r="I604" s="4"/>
      <c r="J604" s="4"/>
      <c r="K604" s="4"/>
      <c r="L604" s="4"/>
      <c r="M604" s="4"/>
    </row>
    <row r="605" spans="1:13" ht="15" customHeight="1" x14ac:dyDescent="0.35">
      <c r="A605" t="str">
        <f t="shared" si="9"/>
        <v>P620IM13C2411</v>
      </c>
      <c r="B605" t="str">
        <f>IFERROR(VLOOKUP($A605,'[5]Study Budget Mapping '!$O$2:$P$532,2,0),"TBA")</f>
        <v>TBA</v>
      </c>
      <c r="D605" s="2" t="s">
        <v>143</v>
      </c>
      <c r="E605" s="2" t="s">
        <v>24</v>
      </c>
      <c r="F605" s="3">
        <v>1050000</v>
      </c>
      <c r="G605" s="3">
        <v>750000</v>
      </c>
      <c r="H605" s="4"/>
      <c r="I605" s="4"/>
      <c r="J605" s="4"/>
      <c r="K605" s="4"/>
      <c r="L605" s="4"/>
      <c r="M605" s="4"/>
    </row>
    <row r="606" spans="1:13" ht="15" customHeight="1" x14ac:dyDescent="0.35">
      <c r="A606" t="str">
        <f t="shared" si="9"/>
        <v>P620IM13C2411</v>
      </c>
      <c r="B606" t="str">
        <f>IFERROR(VLOOKUP($A606,'[5]Study Budget Mapping '!$O$2:$P$532,2,0),"TBA")</f>
        <v>TBA</v>
      </c>
      <c r="D606" s="2" t="s">
        <v>143</v>
      </c>
      <c r="E606" s="2" t="s">
        <v>32</v>
      </c>
      <c r="F606" s="3">
        <v>1340000</v>
      </c>
      <c r="G606" s="3">
        <v>1330000</v>
      </c>
      <c r="H606" s="4"/>
      <c r="I606" s="4"/>
      <c r="J606" s="4"/>
      <c r="K606" s="4"/>
      <c r="L606" s="4"/>
      <c r="M606" s="4"/>
    </row>
    <row r="607" spans="1:13" ht="15" customHeight="1" x14ac:dyDescent="0.35">
      <c r="A607" t="str">
        <f t="shared" si="9"/>
        <v>P620IM13C2412</v>
      </c>
      <c r="B607" t="str">
        <f>IFERROR(VLOOKUP($A607,'[5]Study Budget Mapping '!$O$2:$P$532,2,0),"TBA")</f>
        <v>TBA</v>
      </c>
      <c r="D607" s="2" t="s">
        <v>145</v>
      </c>
      <c r="E607" s="2" t="s">
        <v>13</v>
      </c>
      <c r="F607" s="3">
        <v>1490000</v>
      </c>
      <c r="G607" s="3">
        <v>1490000</v>
      </c>
      <c r="H607" s="4"/>
      <c r="I607" s="4"/>
      <c r="J607" s="4"/>
      <c r="K607" s="4"/>
      <c r="L607" s="4"/>
      <c r="M607" s="4"/>
    </row>
    <row r="608" spans="1:13" ht="15" customHeight="1" x14ac:dyDescent="0.35">
      <c r="A608" t="str">
        <f t="shared" si="9"/>
        <v>P620IM13C2412</v>
      </c>
      <c r="B608" t="str">
        <f>IFERROR(VLOOKUP($A608,'[5]Study Budget Mapping '!$O$2:$P$532,2,0),"TBA")</f>
        <v>TBA</v>
      </c>
      <c r="D608" s="2" t="s">
        <v>145</v>
      </c>
      <c r="E608" s="2" t="s">
        <v>14</v>
      </c>
      <c r="F608" s="3">
        <v>430000</v>
      </c>
      <c r="G608" s="3">
        <v>430000</v>
      </c>
      <c r="H608" s="4"/>
      <c r="I608" s="4"/>
      <c r="J608" s="4"/>
      <c r="K608" s="4"/>
      <c r="L608" s="4"/>
      <c r="M608" s="4"/>
    </row>
    <row r="609" spans="1:13" ht="15" customHeight="1" x14ac:dyDescent="0.35">
      <c r="A609" t="str">
        <f t="shared" si="9"/>
        <v>P620IM13C2412</v>
      </c>
      <c r="B609" t="str">
        <f>IFERROR(VLOOKUP($A609,'[5]Study Budget Mapping '!$O$2:$P$532,2,0),"TBA")</f>
        <v>TBA</v>
      </c>
      <c r="D609" s="2" t="s">
        <v>145</v>
      </c>
      <c r="E609" s="2" t="s">
        <v>144</v>
      </c>
      <c r="F609" s="3">
        <v>100000</v>
      </c>
      <c r="G609" s="3">
        <v>100000</v>
      </c>
      <c r="H609" s="4"/>
      <c r="I609" s="4"/>
      <c r="J609" s="4"/>
      <c r="K609" s="4"/>
      <c r="L609" s="4"/>
      <c r="M609" s="4"/>
    </row>
    <row r="610" spans="1:13" ht="15" customHeight="1" x14ac:dyDescent="0.35">
      <c r="A610" t="str">
        <f t="shared" si="9"/>
        <v>P620IM13C2412</v>
      </c>
      <c r="B610" t="str">
        <f>IFERROR(VLOOKUP($A610,'[5]Study Budget Mapping '!$O$2:$P$532,2,0),"TBA")</f>
        <v>TBA</v>
      </c>
      <c r="D610" s="2" t="s">
        <v>145</v>
      </c>
      <c r="E610" s="2" t="s">
        <v>19</v>
      </c>
      <c r="F610" s="3">
        <v>1060000</v>
      </c>
      <c r="G610" s="3">
        <v>1060000</v>
      </c>
      <c r="H610" s="4"/>
      <c r="I610" s="4"/>
      <c r="J610" s="4"/>
      <c r="K610" s="4"/>
      <c r="L610" s="4"/>
      <c r="M610" s="4"/>
    </row>
    <row r="611" spans="1:13" ht="15" customHeight="1" x14ac:dyDescent="0.35">
      <c r="A611" t="str">
        <f t="shared" si="9"/>
        <v>P620IM13C2412</v>
      </c>
      <c r="B611" t="str">
        <f>IFERROR(VLOOKUP($A611,'[5]Study Budget Mapping '!$O$2:$P$532,2,0),"TBA")</f>
        <v>TBA</v>
      </c>
      <c r="D611" s="2" t="s">
        <v>145</v>
      </c>
      <c r="E611" s="2" t="s">
        <v>15</v>
      </c>
      <c r="F611" s="3">
        <v>2360000</v>
      </c>
      <c r="G611" s="3">
        <v>2360000</v>
      </c>
      <c r="H611" s="4"/>
      <c r="I611" s="4"/>
      <c r="J611" s="4"/>
      <c r="K611" s="4"/>
      <c r="L611" s="4"/>
      <c r="M611" s="4"/>
    </row>
    <row r="612" spans="1:13" ht="15" customHeight="1" x14ac:dyDescent="0.35">
      <c r="A612" t="str">
        <f t="shared" si="9"/>
        <v>P620IM13C2412</v>
      </c>
      <c r="B612" t="str">
        <f>IFERROR(VLOOKUP($A612,'[5]Study Budget Mapping '!$O$2:$P$532,2,0),"TBA")</f>
        <v>TBA</v>
      </c>
      <c r="D612" s="2" t="s">
        <v>145</v>
      </c>
      <c r="E612" s="2" t="s">
        <v>16</v>
      </c>
      <c r="F612" s="3">
        <v>410000</v>
      </c>
      <c r="G612" s="3">
        <v>410000</v>
      </c>
      <c r="H612" s="4"/>
      <c r="I612" s="4"/>
      <c r="J612" s="4"/>
      <c r="K612" s="4"/>
      <c r="L612" s="4"/>
      <c r="M612" s="4"/>
    </row>
    <row r="613" spans="1:13" ht="15" customHeight="1" x14ac:dyDescent="0.35">
      <c r="A613" t="str">
        <f t="shared" si="9"/>
        <v>P620IM13C2412</v>
      </c>
      <c r="B613" t="str">
        <f>IFERROR(VLOOKUP($A613,'[5]Study Budget Mapping '!$O$2:$P$532,2,0),"TBA")</f>
        <v>TBA</v>
      </c>
      <c r="D613" s="2" t="s">
        <v>145</v>
      </c>
      <c r="E613" s="2" t="s">
        <v>17</v>
      </c>
      <c r="F613" s="3">
        <v>260000</v>
      </c>
      <c r="G613" s="3">
        <v>260000</v>
      </c>
      <c r="H613" s="4"/>
      <c r="I613" s="4"/>
      <c r="J613" s="4"/>
      <c r="K613" s="4"/>
      <c r="L613" s="4"/>
      <c r="M613" s="4"/>
    </row>
    <row r="614" spans="1:13" ht="15" customHeight="1" x14ac:dyDescent="0.35">
      <c r="A614" t="str">
        <f t="shared" si="9"/>
        <v>P620IM13C2412</v>
      </c>
      <c r="B614" t="str">
        <f>IFERROR(VLOOKUP($A614,'[5]Study Budget Mapping '!$O$2:$P$532,2,0),"TBA")</f>
        <v>TBA</v>
      </c>
      <c r="D614" s="2" t="s">
        <v>145</v>
      </c>
      <c r="E614" s="2" t="s">
        <v>24</v>
      </c>
      <c r="F614" s="3">
        <v>480000</v>
      </c>
      <c r="G614" s="3">
        <v>480000</v>
      </c>
      <c r="H614" s="4"/>
      <c r="I614" s="4"/>
      <c r="J614" s="4"/>
      <c r="K614" s="4"/>
      <c r="L614" s="4"/>
      <c r="M614" s="4"/>
    </row>
    <row r="615" spans="1:13" ht="15" customHeight="1" x14ac:dyDescent="0.35">
      <c r="A615" t="str">
        <f t="shared" si="9"/>
        <v>P620IM13C2412</v>
      </c>
      <c r="B615" t="str">
        <f>IFERROR(VLOOKUP($A615,'[5]Study Budget Mapping '!$O$2:$P$532,2,0),"TBA")</f>
        <v>TBA</v>
      </c>
      <c r="D615" s="2" t="s">
        <v>145</v>
      </c>
      <c r="E615" s="2" t="s">
        <v>32</v>
      </c>
      <c r="F615" s="3">
        <v>800000</v>
      </c>
      <c r="G615" s="3">
        <v>800000</v>
      </c>
      <c r="H615" s="4"/>
      <c r="I615" s="4"/>
      <c r="J615" s="4"/>
      <c r="K615" s="4"/>
      <c r="L615" s="4"/>
      <c r="M615" s="4"/>
    </row>
    <row r="616" spans="1:13" ht="15" customHeight="1" x14ac:dyDescent="0.35">
      <c r="A616" t="str">
        <f t="shared" si="9"/>
        <v>P620IM13C2431</v>
      </c>
      <c r="B616" t="str">
        <f>IFERROR(VLOOKUP($A616,'[5]Study Budget Mapping '!$O$2:$P$532,2,0),"TBA")</f>
        <v>TBA</v>
      </c>
      <c r="D616" s="2" t="s">
        <v>146</v>
      </c>
      <c r="E616" s="2" t="s">
        <v>13</v>
      </c>
      <c r="F616" s="3">
        <v>4690000</v>
      </c>
      <c r="G616" s="3">
        <v>4690000</v>
      </c>
      <c r="H616" s="4"/>
      <c r="I616" s="4"/>
      <c r="J616" s="4"/>
      <c r="K616" s="4"/>
      <c r="L616" s="4"/>
      <c r="M616" s="4"/>
    </row>
    <row r="617" spans="1:13" ht="15" customHeight="1" x14ac:dyDescent="0.35">
      <c r="A617" t="str">
        <f t="shared" si="9"/>
        <v>P620IM13C2431</v>
      </c>
      <c r="B617" t="str">
        <f>IFERROR(VLOOKUP($A617,'[5]Study Budget Mapping '!$O$2:$P$532,2,0),"TBA")</f>
        <v>TBA</v>
      </c>
      <c r="D617" s="2" t="s">
        <v>146</v>
      </c>
      <c r="E617" s="2" t="s">
        <v>14</v>
      </c>
      <c r="F617" s="3">
        <v>780000</v>
      </c>
      <c r="G617" s="3">
        <v>780000</v>
      </c>
      <c r="H617" s="4"/>
      <c r="I617" s="4"/>
      <c r="J617" s="4"/>
      <c r="K617" s="4"/>
      <c r="L617" s="4"/>
      <c r="M617" s="4"/>
    </row>
    <row r="618" spans="1:13" ht="15" customHeight="1" x14ac:dyDescent="0.35">
      <c r="A618" t="str">
        <f t="shared" si="9"/>
        <v>P620IM13C2431</v>
      </c>
      <c r="B618" t="str">
        <f>IFERROR(VLOOKUP($A618,'[5]Study Budget Mapping '!$O$2:$P$532,2,0),"TBA")</f>
        <v>TBA</v>
      </c>
      <c r="D618" s="2" t="s">
        <v>146</v>
      </c>
      <c r="E618" s="2" t="s">
        <v>19</v>
      </c>
      <c r="F618" s="3">
        <v>1091000</v>
      </c>
      <c r="G618" s="3">
        <v>1091000</v>
      </c>
      <c r="H618" s="4"/>
      <c r="I618" s="4"/>
      <c r="J618" s="4"/>
      <c r="K618" s="4"/>
      <c r="L618" s="4"/>
      <c r="M618" s="4"/>
    </row>
    <row r="619" spans="1:13" ht="15" customHeight="1" x14ac:dyDescent="0.35">
      <c r="A619" t="str">
        <f t="shared" si="9"/>
        <v>P620IM13C2431</v>
      </c>
      <c r="B619" t="str">
        <f>IFERROR(VLOOKUP($A619,'[5]Study Budget Mapping '!$O$2:$P$532,2,0),"TBA")</f>
        <v>TBA</v>
      </c>
      <c r="D619" s="2" t="s">
        <v>146</v>
      </c>
      <c r="E619" s="2" t="s">
        <v>15</v>
      </c>
      <c r="F619" s="3">
        <v>3180000</v>
      </c>
      <c r="G619" s="3">
        <v>3180000</v>
      </c>
      <c r="H619" s="4"/>
      <c r="I619" s="4"/>
      <c r="J619" s="4"/>
      <c r="K619" s="4"/>
      <c r="L619" s="4"/>
      <c r="M619" s="4"/>
    </row>
    <row r="620" spans="1:13" ht="15" customHeight="1" x14ac:dyDescent="0.35">
      <c r="A620" t="str">
        <f t="shared" si="9"/>
        <v>P620IM13C2431</v>
      </c>
      <c r="B620" t="str">
        <f>IFERROR(VLOOKUP($A620,'[5]Study Budget Mapping '!$O$2:$P$532,2,0),"TBA")</f>
        <v>TBA</v>
      </c>
      <c r="D620" s="2" t="s">
        <v>146</v>
      </c>
      <c r="E620" s="2" t="s">
        <v>22</v>
      </c>
      <c r="F620" s="3">
        <v>5</v>
      </c>
      <c r="G620" s="3">
        <v>5</v>
      </c>
      <c r="H620" s="4"/>
      <c r="I620" s="4"/>
      <c r="J620" s="4"/>
      <c r="K620" s="4"/>
      <c r="L620" s="4"/>
      <c r="M620" s="4"/>
    </row>
    <row r="621" spans="1:13" ht="15" customHeight="1" x14ac:dyDescent="0.35">
      <c r="A621" t="str">
        <f t="shared" si="9"/>
        <v>P620IM13C2431</v>
      </c>
      <c r="B621" t="str">
        <f>IFERROR(VLOOKUP($A621,'[5]Study Budget Mapping '!$O$2:$P$532,2,0),"TBA")</f>
        <v>TBA</v>
      </c>
      <c r="D621" s="2" t="s">
        <v>146</v>
      </c>
      <c r="E621" s="2" t="s">
        <v>16</v>
      </c>
      <c r="F621" s="3">
        <v>798000</v>
      </c>
      <c r="G621" s="3">
        <v>798000</v>
      </c>
      <c r="H621" s="4"/>
      <c r="I621" s="4"/>
      <c r="J621" s="4"/>
      <c r="K621" s="4"/>
      <c r="L621" s="4"/>
      <c r="M621" s="4"/>
    </row>
    <row r="622" spans="1:13" ht="15" customHeight="1" x14ac:dyDescent="0.35">
      <c r="A622" t="str">
        <f t="shared" si="9"/>
        <v>P620IM13C2431</v>
      </c>
      <c r="B622" t="str">
        <f>IFERROR(VLOOKUP($A622,'[5]Study Budget Mapping '!$O$2:$P$532,2,0),"TBA")</f>
        <v>TBA</v>
      </c>
      <c r="D622" s="2" t="s">
        <v>146</v>
      </c>
      <c r="E622" s="2" t="s">
        <v>23</v>
      </c>
      <c r="F622" s="3">
        <v>490000</v>
      </c>
      <c r="G622" s="3">
        <v>490000</v>
      </c>
      <c r="H622" s="4"/>
      <c r="I622" s="4"/>
      <c r="J622" s="4"/>
      <c r="K622" s="4"/>
      <c r="L622" s="4"/>
      <c r="M622" s="4"/>
    </row>
    <row r="623" spans="1:13" ht="15" customHeight="1" x14ac:dyDescent="0.35">
      <c r="A623" t="str">
        <f t="shared" si="9"/>
        <v>P620IM13C2431</v>
      </c>
      <c r="B623" t="str">
        <f>IFERROR(VLOOKUP($A623,'[5]Study Budget Mapping '!$O$2:$P$532,2,0),"TBA")</f>
        <v>TBA</v>
      </c>
      <c r="D623" s="2" t="s">
        <v>146</v>
      </c>
      <c r="E623" s="2" t="s">
        <v>24</v>
      </c>
      <c r="F623" s="3">
        <v>460000</v>
      </c>
      <c r="G623" s="3">
        <v>460000</v>
      </c>
      <c r="H623" s="4"/>
      <c r="I623" s="4"/>
      <c r="J623" s="4"/>
      <c r="K623" s="4"/>
      <c r="L623" s="4"/>
      <c r="M623" s="4"/>
    </row>
    <row r="624" spans="1:13" ht="15" customHeight="1" x14ac:dyDescent="0.35">
      <c r="A624" t="str">
        <f t="shared" si="9"/>
        <v>P620IM13C2431</v>
      </c>
      <c r="B624" t="str">
        <f>IFERROR(VLOOKUP($A624,'[5]Study Budget Mapping '!$O$2:$P$532,2,0),"TBA")</f>
        <v>TBA</v>
      </c>
      <c r="D624" s="2" t="s">
        <v>146</v>
      </c>
      <c r="E624" s="2" t="s">
        <v>32</v>
      </c>
      <c r="F624" s="3">
        <v>1240000</v>
      </c>
      <c r="G624" s="3">
        <v>1240000</v>
      </c>
      <c r="H624" s="4"/>
      <c r="I624" s="4"/>
      <c r="J624" s="4"/>
      <c r="K624" s="4"/>
      <c r="L624" s="4"/>
      <c r="M624" s="4"/>
    </row>
    <row r="625" spans="1:13" ht="15" customHeight="1" x14ac:dyDescent="0.35">
      <c r="A625" t="str">
        <f t="shared" si="9"/>
        <v>P620IM15C4001</v>
      </c>
      <c r="B625" t="str">
        <f>IFERROR(VLOOKUP($A625,'[5]Study Budget Mapping '!$O$2:$P$532,2,0),"TBA")</f>
        <v>TBA</v>
      </c>
      <c r="D625" s="2" t="s">
        <v>147</v>
      </c>
      <c r="E625" s="2" t="s">
        <v>13</v>
      </c>
      <c r="F625" s="3">
        <v>13200000</v>
      </c>
      <c r="G625" s="3">
        <v>11690000</v>
      </c>
      <c r="H625" s="4"/>
      <c r="I625" s="4"/>
      <c r="J625" s="4"/>
      <c r="K625" s="4"/>
      <c r="L625" s="4"/>
      <c r="M625" s="4"/>
    </row>
    <row r="626" spans="1:13" ht="15" customHeight="1" x14ac:dyDescent="0.35">
      <c r="A626" t="str">
        <f t="shared" si="9"/>
        <v>P620IM15C4001</v>
      </c>
      <c r="B626" t="str">
        <f>IFERROR(VLOOKUP($A626,'[5]Study Budget Mapping '!$O$2:$P$532,2,0),"TBA")</f>
        <v>TBA</v>
      </c>
      <c r="D626" s="2" t="s">
        <v>147</v>
      </c>
      <c r="E626" s="2" t="s">
        <v>19</v>
      </c>
      <c r="F626" s="3">
        <v>3182900</v>
      </c>
      <c r="G626" s="3">
        <v>1225000</v>
      </c>
      <c r="H626" s="4"/>
      <c r="I626" s="4"/>
      <c r="J626" s="4"/>
      <c r="K626" s="4"/>
      <c r="L626" s="4"/>
      <c r="M626" s="4"/>
    </row>
    <row r="627" spans="1:13" ht="15" customHeight="1" x14ac:dyDescent="0.35">
      <c r="A627" t="str">
        <f t="shared" si="9"/>
        <v>P620IM15C4001</v>
      </c>
      <c r="B627" t="str">
        <f>IFERROR(VLOOKUP($A627,'[5]Study Budget Mapping '!$O$2:$P$532,2,0),"TBA")</f>
        <v>TBA</v>
      </c>
      <c r="D627" s="2" t="s">
        <v>147</v>
      </c>
      <c r="E627" s="2" t="s">
        <v>15</v>
      </c>
      <c r="F627" s="3">
        <v>10842000</v>
      </c>
      <c r="G627" s="3">
        <v>6420000</v>
      </c>
      <c r="H627" s="4"/>
      <c r="I627" s="4"/>
      <c r="J627" s="4"/>
      <c r="K627" s="4"/>
      <c r="L627" s="4"/>
      <c r="M627" s="4"/>
    </row>
    <row r="628" spans="1:13" ht="15" customHeight="1" x14ac:dyDescent="0.35">
      <c r="A628" t="str">
        <f t="shared" si="9"/>
        <v>P620IM15C4001</v>
      </c>
      <c r="B628" t="str">
        <f>IFERROR(VLOOKUP($A628,'[5]Study Budget Mapping '!$O$2:$P$532,2,0),"TBA")</f>
        <v>TBA</v>
      </c>
      <c r="D628" s="2" t="s">
        <v>147</v>
      </c>
      <c r="E628" s="2" t="s">
        <v>22</v>
      </c>
      <c r="F628" s="3">
        <v>0</v>
      </c>
      <c r="G628" s="3">
        <v>2000000</v>
      </c>
      <c r="H628" s="4"/>
      <c r="I628" s="4"/>
      <c r="J628" s="4"/>
      <c r="K628" s="4"/>
      <c r="L628" s="4"/>
      <c r="M628" s="4"/>
    </row>
    <row r="629" spans="1:13" ht="15" customHeight="1" x14ac:dyDescent="0.35">
      <c r="A629" t="str">
        <f t="shared" si="9"/>
        <v>P620IM15C4001</v>
      </c>
      <c r="B629" t="str">
        <f>IFERROR(VLOOKUP($A629,'[5]Study Budget Mapping '!$O$2:$P$532,2,0),"TBA")</f>
        <v>TBA</v>
      </c>
      <c r="D629" s="2" t="s">
        <v>147</v>
      </c>
      <c r="E629" s="2" t="s">
        <v>16</v>
      </c>
      <c r="F629" s="3">
        <v>658000</v>
      </c>
      <c r="G629" s="3">
        <v>2805000</v>
      </c>
      <c r="H629" s="4"/>
      <c r="I629" s="4"/>
      <c r="J629" s="4"/>
      <c r="K629" s="4"/>
      <c r="L629" s="4"/>
      <c r="M629" s="4"/>
    </row>
    <row r="630" spans="1:13" ht="15" customHeight="1" x14ac:dyDescent="0.35">
      <c r="A630" t="str">
        <f t="shared" si="9"/>
        <v>P620IM15C4001</v>
      </c>
      <c r="B630" t="str">
        <f>IFERROR(VLOOKUP($A630,'[5]Study Budget Mapping '!$O$2:$P$532,2,0),"TBA")</f>
        <v>TBA</v>
      </c>
      <c r="D630" s="2" t="s">
        <v>147</v>
      </c>
      <c r="E630" s="2" t="s">
        <v>23</v>
      </c>
      <c r="F630" s="3">
        <v>660150</v>
      </c>
      <c r="G630" s="3">
        <v>0</v>
      </c>
      <c r="H630" s="4"/>
      <c r="I630" s="4"/>
      <c r="J630" s="4"/>
      <c r="K630" s="4"/>
      <c r="L630" s="4"/>
      <c r="M630" s="4"/>
    </row>
    <row r="631" spans="1:13" ht="15" customHeight="1" x14ac:dyDescent="0.35">
      <c r="A631" t="str">
        <f t="shared" si="9"/>
        <v>P620IM19C3732</v>
      </c>
      <c r="B631" t="str">
        <f>IFERROR(VLOOKUP($A631,'[5]Study Budget Mapping '!$O$2:$P$532,2,0),"TBA")</f>
        <v>TBA</v>
      </c>
      <c r="D631" s="2" t="s">
        <v>148</v>
      </c>
      <c r="E631" s="2" t="s">
        <v>13</v>
      </c>
      <c r="F631" s="3">
        <v>4110000</v>
      </c>
      <c r="G631" s="3">
        <v>5680000</v>
      </c>
      <c r="H631" s="4"/>
      <c r="I631" s="4"/>
      <c r="J631" s="4"/>
      <c r="K631" s="4"/>
      <c r="L631" s="4"/>
      <c r="M631" s="4"/>
    </row>
    <row r="632" spans="1:13" ht="15" customHeight="1" x14ac:dyDescent="0.35">
      <c r="A632" t="str">
        <f t="shared" si="9"/>
        <v>P620IM19C3732</v>
      </c>
      <c r="B632" t="str">
        <f>IFERROR(VLOOKUP($A632,'[5]Study Budget Mapping '!$O$2:$P$532,2,0),"TBA")</f>
        <v>TBA</v>
      </c>
      <c r="D632" s="2" t="s">
        <v>148</v>
      </c>
      <c r="E632" s="2" t="s">
        <v>14</v>
      </c>
      <c r="F632" s="3">
        <v>2570000</v>
      </c>
      <c r="G632" s="3">
        <v>3540000</v>
      </c>
      <c r="H632" s="4"/>
      <c r="I632" s="4"/>
      <c r="J632" s="4"/>
      <c r="K632" s="4"/>
      <c r="L632" s="4"/>
      <c r="M632" s="4"/>
    </row>
    <row r="633" spans="1:13" ht="15" customHeight="1" x14ac:dyDescent="0.35">
      <c r="A633" t="str">
        <f t="shared" si="9"/>
        <v>P620IM19C3732</v>
      </c>
      <c r="B633" t="str">
        <f>IFERROR(VLOOKUP($A633,'[5]Study Budget Mapping '!$O$2:$P$532,2,0),"TBA")</f>
        <v>TBA</v>
      </c>
      <c r="D633" s="2" t="s">
        <v>148</v>
      </c>
      <c r="E633" s="2" t="s">
        <v>19</v>
      </c>
      <c r="F633" s="3">
        <v>2180000</v>
      </c>
      <c r="G633" s="3">
        <v>2733000</v>
      </c>
      <c r="H633" s="4"/>
      <c r="I633" s="4"/>
      <c r="J633" s="4"/>
      <c r="K633" s="4"/>
      <c r="L633" s="4"/>
      <c r="M633" s="4"/>
    </row>
    <row r="634" spans="1:13" ht="15" customHeight="1" x14ac:dyDescent="0.35">
      <c r="A634" t="str">
        <f t="shared" si="9"/>
        <v>P620IM19C3732</v>
      </c>
      <c r="B634" t="str">
        <f>IFERROR(VLOOKUP($A634,'[5]Study Budget Mapping '!$O$2:$P$532,2,0),"TBA")</f>
        <v>TBA</v>
      </c>
      <c r="D634" s="2" t="s">
        <v>148</v>
      </c>
      <c r="E634" s="2" t="s">
        <v>20</v>
      </c>
      <c r="F634" s="3">
        <v>0</v>
      </c>
      <c r="G634" s="3">
        <v>210000</v>
      </c>
      <c r="H634" s="4"/>
      <c r="I634" s="4"/>
      <c r="J634" s="4"/>
      <c r="K634" s="4"/>
      <c r="L634" s="4"/>
      <c r="M634" s="4"/>
    </row>
    <row r="635" spans="1:13" ht="15" customHeight="1" x14ac:dyDescent="0.35">
      <c r="A635" t="str">
        <f t="shared" si="9"/>
        <v>P620IM19C3732</v>
      </c>
      <c r="B635" t="str">
        <f>IFERROR(VLOOKUP($A635,'[5]Study Budget Mapping '!$O$2:$P$532,2,0),"TBA")</f>
        <v>TBA</v>
      </c>
      <c r="D635" s="2" t="s">
        <v>148</v>
      </c>
      <c r="E635" s="2" t="s">
        <v>15</v>
      </c>
      <c r="F635" s="3">
        <v>10170000</v>
      </c>
      <c r="G635" s="3">
        <v>18085000</v>
      </c>
      <c r="H635" s="4"/>
      <c r="I635" s="4"/>
      <c r="J635" s="4"/>
      <c r="K635" s="4"/>
      <c r="L635" s="4"/>
      <c r="M635" s="4"/>
    </row>
    <row r="636" spans="1:13" ht="15" customHeight="1" x14ac:dyDescent="0.35">
      <c r="A636" t="str">
        <f t="shared" si="9"/>
        <v>P620IM19C3732</v>
      </c>
      <c r="B636" t="str">
        <f>IFERROR(VLOOKUP($A636,'[5]Study Budget Mapping '!$O$2:$P$532,2,0),"TBA")</f>
        <v>TBA</v>
      </c>
      <c r="D636" s="2" t="s">
        <v>148</v>
      </c>
      <c r="E636" s="2" t="s">
        <v>22</v>
      </c>
      <c r="F636" s="3">
        <v>0</v>
      </c>
      <c r="G636" s="3">
        <v>2300000</v>
      </c>
      <c r="H636" s="4"/>
      <c r="I636" s="4"/>
      <c r="J636" s="4"/>
      <c r="K636" s="4"/>
      <c r="L636" s="4"/>
      <c r="M636" s="4"/>
    </row>
    <row r="637" spans="1:13" ht="15" customHeight="1" x14ac:dyDescent="0.35">
      <c r="A637" t="str">
        <f t="shared" si="9"/>
        <v>P620IM19C3732</v>
      </c>
      <c r="B637" t="str">
        <f>IFERROR(VLOOKUP($A637,'[5]Study Budget Mapping '!$O$2:$P$532,2,0),"TBA")</f>
        <v>TBA</v>
      </c>
      <c r="D637" s="2" t="s">
        <v>148</v>
      </c>
      <c r="E637" s="2" t="s">
        <v>16</v>
      </c>
      <c r="F637" s="3">
        <v>670000</v>
      </c>
      <c r="G637" s="3">
        <v>5750000</v>
      </c>
      <c r="H637" s="4"/>
      <c r="I637" s="4"/>
      <c r="J637" s="4"/>
      <c r="K637" s="4"/>
      <c r="L637" s="4"/>
      <c r="M637" s="4"/>
    </row>
    <row r="638" spans="1:13" ht="15" customHeight="1" x14ac:dyDescent="0.35">
      <c r="A638" t="str">
        <f t="shared" si="9"/>
        <v>P620IM19C3732</v>
      </c>
      <c r="B638" t="str">
        <f>IFERROR(VLOOKUP($A638,'[5]Study Budget Mapping '!$O$2:$P$532,2,0),"TBA")</f>
        <v>TBA</v>
      </c>
      <c r="D638" s="2" t="s">
        <v>148</v>
      </c>
      <c r="E638" s="2" t="s">
        <v>17</v>
      </c>
      <c r="F638" s="3">
        <v>230000</v>
      </c>
      <c r="G638" s="3">
        <v>520000</v>
      </c>
      <c r="H638" s="4"/>
      <c r="I638" s="4"/>
      <c r="J638" s="4"/>
      <c r="K638" s="4"/>
      <c r="L638" s="4"/>
      <c r="M638" s="4"/>
    </row>
    <row r="639" spans="1:13" ht="15" customHeight="1" x14ac:dyDescent="0.35">
      <c r="A639" t="str">
        <f t="shared" si="9"/>
        <v>P620IM19C3732</v>
      </c>
      <c r="B639" t="str">
        <f>IFERROR(VLOOKUP($A639,'[5]Study Budget Mapping '!$O$2:$P$532,2,0),"TBA")</f>
        <v>TBA</v>
      </c>
      <c r="D639" s="2" t="s">
        <v>148</v>
      </c>
      <c r="E639" s="2" t="s">
        <v>24</v>
      </c>
      <c r="F639" s="3">
        <v>990000</v>
      </c>
      <c r="G639" s="3">
        <v>2580000</v>
      </c>
      <c r="H639" s="4"/>
      <c r="I639" s="4"/>
      <c r="J639" s="4"/>
      <c r="K639" s="4"/>
      <c r="L639" s="4"/>
      <c r="M639" s="4"/>
    </row>
    <row r="640" spans="1:13" ht="15" customHeight="1" x14ac:dyDescent="0.35">
      <c r="A640" t="str">
        <f t="shared" si="9"/>
        <v>P620IM08C5701</v>
      </c>
      <c r="B640" t="str">
        <f>IFERROR(VLOOKUP($A640,'[5]Study Budget Mapping '!$O$2:$P$532,2,0),"TBA")</f>
        <v>TBA</v>
      </c>
      <c r="D640" s="2" t="s">
        <v>149</v>
      </c>
      <c r="E640" s="2" t="s">
        <v>15</v>
      </c>
      <c r="F640" s="3">
        <v>0</v>
      </c>
      <c r="G640" s="3">
        <v>115000</v>
      </c>
      <c r="H640" s="4"/>
      <c r="I640" s="4"/>
      <c r="J640" s="4"/>
      <c r="K640" s="4"/>
      <c r="L640" s="4"/>
      <c r="M640" s="4"/>
    </row>
    <row r="641" spans="1:13" ht="15" customHeight="1" x14ac:dyDescent="0.35">
      <c r="A641" t="str">
        <f t="shared" si="9"/>
        <v>P620IM00C1011</v>
      </c>
      <c r="B641" t="str">
        <f>IFERROR(VLOOKUP($A641,'[5]Study Budget Mapping '!$O$2:$P$532,2,0),"TBA")</f>
        <v>TBA</v>
      </c>
      <c r="D641" s="2" t="s">
        <v>150</v>
      </c>
      <c r="E641" s="2" t="s">
        <v>13</v>
      </c>
      <c r="F641" s="3">
        <v>487382</v>
      </c>
      <c r="G641" s="3">
        <v>0</v>
      </c>
      <c r="H641" s="4"/>
      <c r="I641" s="4"/>
      <c r="J641" s="4"/>
      <c r="K641" s="4"/>
      <c r="L641" s="4"/>
      <c r="M641" s="4"/>
    </row>
    <row r="642" spans="1:13" ht="15" customHeight="1" x14ac:dyDescent="0.35">
      <c r="A642" t="str">
        <f t="shared" si="9"/>
        <v>P620IM00C1011</v>
      </c>
      <c r="B642" t="str">
        <f>IFERROR(VLOOKUP($A642,'[5]Study Budget Mapping '!$O$2:$P$532,2,0),"TBA")</f>
        <v>TBA</v>
      </c>
      <c r="D642" s="2" t="s">
        <v>150</v>
      </c>
      <c r="E642" s="2" t="s">
        <v>14</v>
      </c>
      <c r="F642" s="3">
        <v>153600</v>
      </c>
      <c r="G642" s="3">
        <v>0</v>
      </c>
      <c r="H642" s="4"/>
      <c r="I642" s="4"/>
      <c r="J642" s="4"/>
      <c r="K642" s="4"/>
      <c r="L642" s="4"/>
      <c r="M642" s="4"/>
    </row>
    <row r="643" spans="1:13" ht="15" customHeight="1" x14ac:dyDescent="0.35">
      <c r="A643" t="str">
        <f t="shared" ref="A643:A706" si="10">TRIM(_xlfn.TEXTBEFORE(D643,"-",1))</f>
        <v>P620IM00C1011</v>
      </c>
      <c r="B643" t="str">
        <f>IFERROR(VLOOKUP($A643,'[5]Study Budget Mapping '!$O$2:$P$532,2,0),"TBA")</f>
        <v>TBA</v>
      </c>
      <c r="D643" s="2" t="s">
        <v>150</v>
      </c>
      <c r="E643" s="2" t="s">
        <v>31</v>
      </c>
      <c r="F643" s="3">
        <v>6000</v>
      </c>
      <c r="G643" s="3">
        <v>0</v>
      </c>
      <c r="H643" s="4"/>
      <c r="I643" s="4"/>
      <c r="J643" s="4"/>
      <c r="K643" s="4"/>
      <c r="L643" s="4"/>
      <c r="M643" s="4"/>
    </row>
    <row r="644" spans="1:13" ht="15" customHeight="1" x14ac:dyDescent="0.35">
      <c r="A644" t="str">
        <f t="shared" si="10"/>
        <v>P620IM00C1011</v>
      </c>
      <c r="B644" t="str">
        <f>IFERROR(VLOOKUP($A644,'[5]Study Budget Mapping '!$O$2:$P$532,2,0),"TBA")</f>
        <v>TBA</v>
      </c>
      <c r="D644" s="2" t="s">
        <v>150</v>
      </c>
      <c r="E644" s="2" t="s">
        <v>15</v>
      </c>
      <c r="F644" s="3">
        <v>0</v>
      </c>
      <c r="G644" s="3">
        <v>930690.71</v>
      </c>
      <c r="H644" s="4"/>
      <c r="I644" s="4"/>
      <c r="J644" s="4"/>
      <c r="K644" s="4"/>
      <c r="L644" s="4"/>
      <c r="M644" s="4"/>
    </row>
    <row r="645" spans="1:13" ht="15" customHeight="1" x14ac:dyDescent="0.35">
      <c r="A645" t="str">
        <f t="shared" si="10"/>
        <v>P620IM00C1011</v>
      </c>
      <c r="B645" t="str">
        <f>IFERROR(VLOOKUP($A645,'[5]Study Budget Mapping '!$O$2:$P$532,2,0),"TBA")</f>
        <v>TBA</v>
      </c>
      <c r="D645" s="2" t="s">
        <v>150</v>
      </c>
      <c r="E645" s="2" t="s">
        <v>28</v>
      </c>
      <c r="F645" s="3">
        <v>85900</v>
      </c>
      <c r="G645" s="3">
        <v>0</v>
      </c>
      <c r="H645" s="4"/>
      <c r="I645" s="4"/>
      <c r="J645" s="4"/>
      <c r="K645" s="4"/>
      <c r="L645" s="4"/>
      <c r="M645" s="4"/>
    </row>
    <row r="646" spans="1:13" ht="15" customHeight="1" x14ac:dyDescent="0.35">
      <c r="A646" t="str">
        <f t="shared" si="10"/>
        <v>P620IM00C1011</v>
      </c>
      <c r="B646" t="str">
        <f>IFERROR(VLOOKUP($A646,'[5]Study Budget Mapping '!$O$2:$P$532,2,0),"TBA")</f>
        <v>TBA</v>
      </c>
      <c r="D646" s="2" t="s">
        <v>150</v>
      </c>
      <c r="E646" s="2" t="s">
        <v>23</v>
      </c>
      <c r="F646" s="3">
        <v>196202</v>
      </c>
      <c r="G646" s="3">
        <v>0</v>
      </c>
      <c r="H646" s="4"/>
      <c r="I646" s="4"/>
      <c r="J646" s="4"/>
      <c r="K646" s="4"/>
      <c r="L646" s="4"/>
      <c r="M646" s="4"/>
    </row>
    <row r="647" spans="1:13" ht="15" customHeight="1" x14ac:dyDescent="0.35">
      <c r="A647" t="str">
        <f t="shared" si="10"/>
        <v>P620IM00C1011</v>
      </c>
      <c r="B647" t="str">
        <f>IFERROR(VLOOKUP($A647,'[5]Study Budget Mapping '!$O$2:$P$532,2,0),"TBA")</f>
        <v>TBA</v>
      </c>
      <c r="D647" s="2" t="s">
        <v>150</v>
      </c>
      <c r="E647" s="2" t="s">
        <v>32</v>
      </c>
      <c r="F647" s="3">
        <v>55800</v>
      </c>
      <c r="G647" s="3">
        <v>0</v>
      </c>
      <c r="H647" s="4"/>
      <c r="I647" s="4"/>
      <c r="J647" s="4"/>
      <c r="K647" s="4"/>
      <c r="L647" s="4"/>
      <c r="M647" s="4"/>
    </row>
    <row r="648" spans="1:13" ht="15" customHeight="1" x14ac:dyDescent="0.35">
      <c r="A648" t="str">
        <f t="shared" si="10"/>
        <v>P620IM08C0211</v>
      </c>
      <c r="B648" t="str">
        <f>IFERROR(VLOOKUP($A648,'[5]Study Budget Mapping '!$O$2:$P$532,2,0),"TBA")</f>
        <v>TBA</v>
      </c>
      <c r="D648" s="2" t="s">
        <v>151</v>
      </c>
      <c r="E648" s="2" t="s">
        <v>13</v>
      </c>
      <c r="F648" s="3">
        <v>110500</v>
      </c>
      <c r="G648" s="3">
        <v>0</v>
      </c>
      <c r="H648" s="4"/>
      <c r="I648" s="4"/>
      <c r="J648" s="4"/>
      <c r="K648" s="4"/>
      <c r="L648" s="4"/>
      <c r="M648" s="4"/>
    </row>
    <row r="649" spans="1:13" ht="15" customHeight="1" x14ac:dyDescent="0.35">
      <c r="A649" t="str">
        <f t="shared" si="10"/>
        <v>P620IM08C0211</v>
      </c>
      <c r="B649" t="str">
        <f>IFERROR(VLOOKUP($A649,'[5]Study Budget Mapping '!$O$2:$P$532,2,0),"TBA")</f>
        <v>TBA</v>
      </c>
      <c r="D649" s="2" t="s">
        <v>151</v>
      </c>
      <c r="E649" s="2" t="s">
        <v>16</v>
      </c>
      <c r="F649" s="3">
        <v>2548</v>
      </c>
      <c r="G649" s="3">
        <v>0</v>
      </c>
      <c r="H649" s="4"/>
      <c r="I649" s="4"/>
      <c r="J649" s="4"/>
      <c r="K649" s="4"/>
      <c r="L649" s="4"/>
      <c r="M649" s="4"/>
    </row>
    <row r="650" spans="1:13" ht="15" customHeight="1" x14ac:dyDescent="0.35">
      <c r="A650" t="str">
        <f t="shared" si="10"/>
        <v>P620IM08C0211</v>
      </c>
      <c r="B650" t="str">
        <f>IFERROR(VLOOKUP($A650,'[5]Study Budget Mapping '!$O$2:$P$532,2,0),"TBA")</f>
        <v>TBA</v>
      </c>
      <c r="D650" s="2" t="s">
        <v>151</v>
      </c>
      <c r="E650" s="2" t="s">
        <v>23</v>
      </c>
      <c r="F650" s="3">
        <v>16028</v>
      </c>
      <c r="G650" s="3">
        <v>0</v>
      </c>
      <c r="H650" s="4"/>
      <c r="I650" s="4"/>
      <c r="J650" s="4"/>
      <c r="K650" s="4"/>
      <c r="L650" s="4"/>
      <c r="M650" s="4"/>
    </row>
    <row r="651" spans="1:13" ht="15" customHeight="1" x14ac:dyDescent="0.35">
      <c r="A651" t="str">
        <f t="shared" si="10"/>
        <v>P620IM08C0311</v>
      </c>
      <c r="B651" t="str">
        <f>IFERROR(VLOOKUP($A651,'[5]Study Budget Mapping '!$O$2:$P$532,2,0),"TBA")</f>
        <v>TBA</v>
      </c>
      <c r="D651" s="2" t="s">
        <v>152</v>
      </c>
      <c r="E651" s="2" t="s">
        <v>14</v>
      </c>
      <c r="F651" s="3">
        <v>87689.29</v>
      </c>
      <c r="G651" s="3">
        <v>0</v>
      </c>
      <c r="H651" s="4"/>
      <c r="I651" s="4"/>
      <c r="J651" s="4"/>
      <c r="K651" s="4"/>
      <c r="L651" s="4"/>
      <c r="M651" s="4"/>
    </row>
    <row r="652" spans="1:13" ht="15" customHeight="1" x14ac:dyDescent="0.35">
      <c r="A652" t="str">
        <f t="shared" si="10"/>
        <v>P620IM08C0311</v>
      </c>
      <c r="B652" t="str">
        <f>IFERROR(VLOOKUP($A652,'[5]Study Budget Mapping '!$O$2:$P$532,2,0),"TBA")</f>
        <v>TBA</v>
      </c>
      <c r="D652" s="2" t="s">
        <v>152</v>
      </c>
      <c r="E652" s="2" t="s">
        <v>15</v>
      </c>
      <c r="F652" s="3">
        <v>0</v>
      </c>
      <c r="G652" s="3">
        <v>182100</v>
      </c>
      <c r="H652" s="4"/>
      <c r="I652" s="4"/>
      <c r="J652" s="4"/>
      <c r="K652" s="4"/>
      <c r="L652" s="4"/>
      <c r="M652" s="4"/>
    </row>
    <row r="653" spans="1:13" ht="15" customHeight="1" x14ac:dyDescent="0.35">
      <c r="A653" t="str">
        <f t="shared" si="10"/>
        <v>P620IM08C0311</v>
      </c>
      <c r="B653" t="str">
        <f>IFERROR(VLOOKUP($A653,'[5]Study Budget Mapping '!$O$2:$P$532,2,0),"TBA")</f>
        <v>TBA</v>
      </c>
      <c r="D653" s="2" t="s">
        <v>152</v>
      </c>
      <c r="E653" s="2" t="s">
        <v>28</v>
      </c>
      <c r="F653" s="3">
        <v>107100</v>
      </c>
      <c r="G653" s="3">
        <v>0</v>
      </c>
      <c r="H653" s="4"/>
      <c r="I653" s="4"/>
      <c r="J653" s="4"/>
      <c r="K653" s="4"/>
      <c r="L653" s="4"/>
      <c r="M653" s="4"/>
    </row>
    <row r="654" spans="1:13" ht="15" customHeight="1" x14ac:dyDescent="0.35">
      <c r="A654" t="str">
        <f t="shared" si="10"/>
        <v>P620IM08C1221</v>
      </c>
      <c r="B654" t="str">
        <f>IFERROR(VLOOKUP($A654,'[5]Study Budget Mapping '!$O$2:$P$532,2,0),"TBA")</f>
        <v>TBA</v>
      </c>
      <c r="D654" s="2" t="s">
        <v>153</v>
      </c>
      <c r="E654" s="2" t="s">
        <v>13</v>
      </c>
      <c r="F654" s="3">
        <v>1146480</v>
      </c>
      <c r="G654" s="3">
        <v>0</v>
      </c>
      <c r="H654" s="4"/>
      <c r="I654" s="4"/>
      <c r="J654" s="4"/>
      <c r="K654" s="4"/>
      <c r="L654" s="4"/>
      <c r="M654" s="4"/>
    </row>
    <row r="655" spans="1:13" ht="15" customHeight="1" x14ac:dyDescent="0.35">
      <c r="A655" t="str">
        <f t="shared" si="10"/>
        <v>P620IM08C1221</v>
      </c>
      <c r="B655" t="str">
        <f>IFERROR(VLOOKUP($A655,'[5]Study Budget Mapping '!$O$2:$P$532,2,0),"TBA")</f>
        <v>TBA</v>
      </c>
      <c r="D655" s="2" t="s">
        <v>153</v>
      </c>
      <c r="E655" s="2" t="s">
        <v>14</v>
      </c>
      <c r="F655" s="3">
        <v>170304</v>
      </c>
      <c r="G655" s="3">
        <v>0</v>
      </c>
      <c r="H655" s="4"/>
      <c r="I655" s="4"/>
      <c r="J655" s="4"/>
      <c r="K655" s="4"/>
      <c r="L655" s="4"/>
      <c r="M655" s="4"/>
    </row>
    <row r="656" spans="1:13" ht="15" customHeight="1" x14ac:dyDescent="0.35">
      <c r="A656" t="str">
        <f t="shared" si="10"/>
        <v>P620IM08C1221</v>
      </c>
      <c r="B656" t="str">
        <f>IFERROR(VLOOKUP($A656,'[5]Study Budget Mapping '!$O$2:$P$532,2,0),"TBA")</f>
        <v>TBA</v>
      </c>
      <c r="D656" s="2" t="s">
        <v>153</v>
      </c>
      <c r="E656" s="2" t="s">
        <v>19</v>
      </c>
      <c r="F656" s="3">
        <v>136694</v>
      </c>
      <c r="G656" s="3">
        <v>0</v>
      </c>
      <c r="H656" s="4"/>
      <c r="I656" s="4"/>
      <c r="J656" s="4"/>
      <c r="K656" s="4"/>
      <c r="L656" s="4"/>
      <c r="M656" s="4"/>
    </row>
    <row r="657" spans="1:13" ht="15" customHeight="1" x14ac:dyDescent="0.35">
      <c r="A657" t="str">
        <f t="shared" si="10"/>
        <v>P620IM08C1221</v>
      </c>
      <c r="B657" t="str">
        <f>IFERROR(VLOOKUP($A657,'[5]Study Budget Mapping '!$O$2:$P$532,2,0),"TBA")</f>
        <v>TBA</v>
      </c>
      <c r="D657" s="2" t="s">
        <v>153</v>
      </c>
      <c r="E657" s="2" t="s">
        <v>15</v>
      </c>
      <c r="F657" s="3">
        <v>4462780</v>
      </c>
      <c r="G657" s="3">
        <v>7031326.2199999997</v>
      </c>
      <c r="H657" s="4"/>
      <c r="I657" s="4"/>
      <c r="J657" s="4"/>
      <c r="K657" s="4"/>
      <c r="L657" s="4"/>
      <c r="M657" s="4"/>
    </row>
    <row r="658" spans="1:13" ht="15" customHeight="1" x14ac:dyDescent="0.35">
      <c r="A658" t="str">
        <f t="shared" si="10"/>
        <v>P620IM08C1221</v>
      </c>
      <c r="B658" t="str">
        <f>IFERROR(VLOOKUP($A658,'[5]Study Budget Mapping '!$O$2:$P$532,2,0),"TBA")</f>
        <v>TBA</v>
      </c>
      <c r="D658" s="2" t="s">
        <v>153</v>
      </c>
      <c r="E658" s="2" t="s">
        <v>16</v>
      </c>
      <c r="F658" s="3">
        <v>398558</v>
      </c>
      <c r="G658" s="3">
        <v>0</v>
      </c>
      <c r="H658" s="4"/>
      <c r="I658" s="4"/>
      <c r="J658" s="4"/>
      <c r="K658" s="4"/>
      <c r="L658" s="4"/>
      <c r="M658" s="4"/>
    </row>
    <row r="659" spans="1:13" ht="15" customHeight="1" x14ac:dyDescent="0.35">
      <c r="A659" t="str">
        <f t="shared" si="10"/>
        <v>P620IM08C1221</v>
      </c>
      <c r="B659" t="str">
        <f>IFERROR(VLOOKUP($A659,'[5]Study Budget Mapping '!$O$2:$P$532,2,0),"TBA")</f>
        <v>TBA</v>
      </c>
      <c r="D659" s="2" t="s">
        <v>153</v>
      </c>
      <c r="E659" s="2" t="s">
        <v>17</v>
      </c>
      <c r="F659" s="3">
        <v>180865</v>
      </c>
      <c r="G659" s="3">
        <v>0</v>
      </c>
      <c r="H659" s="4"/>
      <c r="I659" s="4"/>
      <c r="J659" s="4"/>
      <c r="K659" s="4"/>
      <c r="L659" s="4"/>
      <c r="M659" s="4"/>
    </row>
    <row r="660" spans="1:13" ht="15" customHeight="1" x14ac:dyDescent="0.35">
      <c r="A660" t="str">
        <f t="shared" si="10"/>
        <v>P620IM08C1711</v>
      </c>
      <c r="B660" t="str">
        <f>IFERROR(VLOOKUP($A660,'[5]Study Budget Mapping '!$O$2:$P$532,2,0),"TBA")</f>
        <v>TBA</v>
      </c>
      <c r="D660" s="2" t="s">
        <v>154</v>
      </c>
      <c r="E660" s="2" t="s">
        <v>13</v>
      </c>
      <c r="F660" s="3">
        <v>497776</v>
      </c>
      <c r="G660" s="3">
        <v>0</v>
      </c>
      <c r="H660" s="4"/>
      <c r="I660" s="4"/>
      <c r="J660" s="4"/>
      <c r="K660" s="4"/>
      <c r="L660" s="4"/>
      <c r="M660" s="4"/>
    </row>
    <row r="661" spans="1:13" ht="15" customHeight="1" x14ac:dyDescent="0.35">
      <c r="A661" t="str">
        <f t="shared" si="10"/>
        <v>P620IM08C1711</v>
      </c>
      <c r="B661" t="str">
        <f>IFERROR(VLOOKUP($A661,'[5]Study Budget Mapping '!$O$2:$P$532,2,0),"TBA")</f>
        <v>TBA</v>
      </c>
      <c r="D661" s="2" t="s">
        <v>154</v>
      </c>
      <c r="E661" s="2" t="s">
        <v>14</v>
      </c>
      <c r="F661" s="3">
        <v>260860</v>
      </c>
      <c r="G661" s="3">
        <v>0</v>
      </c>
      <c r="H661" s="4"/>
      <c r="I661" s="4"/>
      <c r="J661" s="4"/>
      <c r="K661" s="4"/>
      <c r="L661" s="4"/>
      <c r="M661" s="4"/>
    </row>
    <row r="662" spans="1:13" ht="15" customHeight="1" x14ac:dyDescent="0.35">
      <c r="A662" t="str">
        <f t="shared" si="10"/>
        <v>P620IM08C1711</v>
      </c>
      <c r="B662" t="str">
        <f>IFERROR(VLOOKUP($A662,'[5]Study Budget Mapping '!$O$2:$P$532,2,0),"TBA")</f>
        <v>TBA</v>
      </c>
      <c r="D662" s="2" t="s">
        <v>154</v>
      </c>
      <c r="E662" s="2" t="s">
        <v>19</v>
      </c>
      <c r="F662" s="3">
        <v>39169</v>
      </c>
      <c r="G662" s="3">
        <v>0</v>
      </c>
      <c r="H662" s="4"/>
      <c r="I662" s="4"/>
      <c r="J662" s="4"/>
      <c r="K662" s="4"/>
      <c r="L662" s="4"/>
      <c r="M662" s="4"/>
    </row>
    <row r="663" spans="1:13" ht="15" customHeight="1" x14ac:dyDescent="0.35">
      <c r="A663" t="str">
        <f t="shared" si="10"/>
        <v>P620IM08C1711</v>
      </c>
      <c r="B663" t="str">
        <f>IFERROR(VLOOKUP($A663,'[5]Study Budget Mapping '!$O$2:$P$532,2,0),"TBA")</f>
        <v>TBA</v>
      </c>
      <c r="D663" s="2" t="s">
        <v>154</v>
      </c>
      <c r="E663" s="2" t="s">
        <v>31</v>
      </c>
      <c r="F663" s="3">
        <v>134836</v>
      </c>
      <c r="G663" s="3">
        <v>0</v>
      </c>
      <c r="H663" s="4"/>
      <c r="I663" s="4"/>
      <c r="J663" s="4"/>
      <c r="K663" s="4"/>
      <c r="L663" s="4"/>
      <c r="M663" s="4"/>
    </row>
    <row r="664" spans="1:13" ht="15" customHeight="1" x14ac:dyDescent="0.35">
      <c r="A664" t="str">
        <f t="shared" si="10"/>
        <v>P620IM08C1711</v>
      </c>
      <c r="B664" t="str">
        <f>IFERROR(VLOOKUP($A664,'[5]Study Budget Mapping '!$O$2:$P$532,2,0),"TBA")</f>
        <v>TBA</v>
      </c>
      <c r="D664" s="2" t="s">
        <v>154</v>
      </c>
      <c r="E664" s="2" t="s">
        <v>15</v>
      </c>
      <c r="F664" s="3">
        <v>610562</v>
      </c>
      <c r="G664" s="3">
        <v>1495381.07</v>
      </c>
      <c r="H664" s="4"/>
      <c r="I664" s="4"/>
      <c r="J664" s="4"/>
      <c r="K664" s="4"/>
      <c r="L664" s="4"/>
      <c r="M664" s="4"/>
    </row>
    <row r="665" spans="1:13" ht="15" customHeight="1" x14ac:dyDescent="0.35">
      <c r="A665" t="str">
        <f t="shared" si="10"/>
        <v>P620IM08C1711</v>
      </c>
      <c r="B665" t="str">
        <f>IFERROR(VLOOKUP($A665,'[5]Study Budget Mapping '!$O$2:$P$532,2,0),"TBA")</f>
        <v>TBA</v>
      </c>
      <c r="D665" s="2" t="s">
        <v>154</v>
      </c>
      <c r="E665" s="2" t="s">
        <v>16</v>
      </c>
      <c r="F665" s="3">
        <v>83635</v>
      </c>
      <c r="G665" s="3">
        <v>0</v>
      </c>
      <c r="H665" s="4"/>
      <c r="I665" s="4"/>
      <c r="J665" s="4"/>
      <c r="K665" s="4"/>
      <c r="L665" s="4"/>
      <c r="M665" s="4"/>
    </row>
    <row r="666" spans="1:13" ht="15" customHeight="1" x14ac:dyDescent="0.35">
      <c r="A666" t="str">
        <f t="shared" si="10"/>
        <v>P620IM08C1711</v>
      </c>
      <c r="B666" t="str">
        <f>IFERROR(VLOOKUP($A666,'[5]Study Budget Mapping '!$O$2:$P$532,2,0),"TBA")</f>
        <v>TBA</v>
      </c>
      <c r="D666" s="2" t="s">
        <v>154</v>
      </c>
      <c r="E666" s="2" t="s">
        <v>23</v>
      </c>
      <c r="F666" s="3">
        <v>45000</v>
      </c>
      <c r="G666" s="3">
        <v>0</v>
      </c>
      <c r="H666" s="4"/>
      <c r="I666" s="4"/>
      <c r="J666" s="4"/>
      <c r="K666" s="4"/>
      <c r="L666" s="4"/>
      <c r="M666" s="4"/>
    </row>
    <row r="667" spans="1:13" ht="15" customHeight="1" x14ac:dyDescent="0.35">
      <c r="A667" t="str">
        <f t="shared" si="10"/>
        <v>P620IM08C1811</v>
      </c>
      <c r="B667" t="str">
        <f>IFERROR(VLOOKUP($A667,'[5]Study Budget Mapping '!$O$2:$P$532,2,0),"TBA")</f>
        <v>TBA</v>
      </c>
      <c r="D667" s="2" t="s">
        <v>155</v>
      </c>
      <c r="E667" s="2" t="s">
        <v>13</v>
      </c>
      <c r="F667" s="3">
        <v>439546</v>
      </c>
      <c r="G667" s="3">
        <v>0</v>
      </c>
      <c r="H667" s="4"/>
      <c r="I667" s="4"/>
      <c r="J667" s="4"/>
      <c r="K667" s="4"/>
      <c r="L667" s="4"/>
      <c r="M667" s="4"/>
    </row>
    <row r="668" spans="1:13" ht="15" customHeight="1" x14ac:dyDescent="0.35">
      <c r="A668" t="str">
        <f t="shared" si="10"/>
        <v>P620IM08C1811</v>
      </c>
      <c r="B668" t="str">
        <f>IFERROR(VLOOKUP($A668,'[5]Study Budget Mapping '!$O$2:$P$532,2,0),"TBA")</f>
        <v>TBA</v>
      </c>
      <c r="D668" s="2" t="s">
        <v>155</v>
      </c>
      <c r="E668" s="2" t="s">
        <v>14</v>
      </c>
      <c r="F668" s="3">
        <v>106084</v>
      </c>
      <c r="G668" s="3">
        <v>0</v>
      </c>
      <c r="H668" s="4"/>
      <c r="I668" s="4"/>
      <c r="J668" s="4"/>
      <c r="K668" s="4"/>
      <c r="L668" s="4"/>
      <c r="M668" s="4"/>
    </row>
    <row r="669" spans="1:13" ht="15" customHeight="1" x14ac:dyDescent="0.35">
      <c r="A669" t="str">
        <f t="shared" si="10"/>
        <v>P620IM08C1811</v>
      </c>
      <c r="B669" t="str">
        <f>IFERROR(VLOOKUP($A669,'[5]Study Budget Mapping '!$O$2:$P$532,2,0),"TBA")</f>
        <v>TBA</v>
      </c>
      <c r="D669" s="2" t="s">
        <v>155</v>
      </c>
      <c r="E669" s="2" t="s">
        <v>31</v>
      </c>
      <c r="F669" s="3">
        <v>5400</v>
      </c>
      <c r="G669" s="3">
        <v>0</v>
      </c>
      <c r="H669" s="4"/>
      <c r="I669" s="4"/>
      <c r="J669" s="4"/>
      <c r="K669" s="4"/>
      <c r="L669" s="4"/>
      <c r="M669" s="4"/>
    </row>
    <row r="670" spans="1:13" ht="15" customHeight="1" x14ac:dyDescent="0.35">
      <c r="A670" t="str">
        <f t="shared" si="10"/>
        <v>P620IM08C1811</v>
      </c>
      <c r="B670" t="str">
        <f>IFERROR(VLOOKUP($A670,'[5]Study Budget Mapping '!$O$2:$P$532,2,0),"TBA")</f>
        <v>TBA</v>
      </c>
      <c r="D670" s="2" t="s">
        <v>155</v>
      </c>
      <c r="E670" s="2" t="s">
        <v>15</v>
      </c>
      <c r="F670" s="3">
        <v>0</v>
      </c>
      <c r="G670" s="3">
        <v>550317.74</v>
      </c>
      <c r="H670" s="4"/>
      <c r="I670" s="4"/>
      <c r="J670" s="4"/>
      <c r="K670" s="4"/>
      <c r="L670" s="4"/>
      <c r="M670" s="4"/>
    </row>
    <row r="671" spans="1:13" ht="15" customHeight="1" x14ac:dyDescent="0.35">
      <c r="A671" t="str">
        <f t="shared" si="10"/>
        <v>P620IM08C1811</v>
      </c>
      <c r="B671" t="str">
        <f>IFERROR(VLOOKUP($A671,'[5]Study Budget Mapping '!$O$2:$P$532,2,0),"TBA")</f>
        <v>TBA</v>
      </c>
      <c r="D671" s="2" t="s">
        <v>155</v>
      </c>
      <c r="E671" s="2" t="s">
        <v>28</v>
      </c>
      <c r="F671" s="3">
        <v>70930</v>
      </c>
      <c r="G671" s="3">
        <v>0</v>
      </c>
      <c r="H671" s="4"/>
      <c r="I671" s="4"/>
      <c r="J671" s="4"/>
      <c r="K671" s="4"/>
      <c r="L671" s="4"/>
      <c r="M671" s="4"/>
    </row>
    <row r="672" spans="1:13" ht="15" customHeight="1" x14ac:dyDescent="0.35">
      <c r="A672" t="str">
        <f t="shared" si="10"/>
        <v>P620IM08C1811</v>
      </c>
      <c r="B672" t="str">
        <f>IFERROR(VLOOKUP($A672,'[5]Study Budget Mapping '!$O$2:$P$532,2,0),"TBA")</f>
        <v>TBA</v>
      </c>
      <c r="D672" s="2" t="s">
        <v>155</v>
      </c>
      <c r="E672" s="2" t="s">
        <v>23</v>
      </c>
      <c r="F672" s="3">
        <v>171675</v>
      </c>
      <c r="G672" s="3">
        <v>0</v>
      </c>
      <c r="H672" s="4"/>
      <c r="I672" s="4"/>
      <c r="J672" s="4"/>
      <c r="K672" s="4"/>
      <c r="L672" s="4"/>
      <c r="M672" s="4"/>
    </row>
    <row r="673" spans="1:13" ht="15" customHeight="1" x14ac:dyDescent="0.35">
      <c r="A673" t="str">
        <f t="shared" si="10"/>
        <v>P620IM08C2411</v>
      </c>
      <c r="B673" t="str">
        <f>IFERROR(VLOOKUP($A673,'[5]Study Budget Mapping '!$O$2:$P$532,2,0),"TBA")</f>
        <v>TBA</v>
      </c>
      <c r="D673" s="2" t="s">
        <v>156</v>
      </c>
      <c r="E673" s="2" t="s">
        <v>13</v>
      </c>
      <c r="F673" s="3">
        <v>357562</v>
      </c>
      <c r="G673" s="3">
        <v>0</v>
      </c>
      <c r="H673" s="4"/>
      <c r="I673" s="4"/>
      <c r="J673" s="4"/>
      <c r="K673" s="4"/>
      <c r="L673" s="4"/>
      <c r="M673" s="4"/>
    </row>
    <row r="674" spans="1:13" ht="15" customHeight="1" x14ac:dyDescent="0.35">
      <c r="A674" t="str">
        <f t="shared" si="10"/>
        <v>P620IM08C2411</v>
      </c>
      <c r="B674" t="str">
        <f>IFERROR(VLOOKUP($A674,'[5]Study Budget Mapping '!$O$2:$P$532,2,0),"TBA")</f>
        <v>TBA</v>
      </c>
      <c r="D674" s="2" t="s">
        <v>156</v>
      </c>
      <c r="E674" s="2" t="s">
        <v>14</v>
      </c>
      <c r="F674" s="3">
        <v>423735</v>
      </c>
      <c r="G674" s="3">
        <v>0</v>
      </c>
      <c r="H674" s="4"/>
      <c r="I674" s="4"/>
      <c r="J674" s="4"/>
      <c r="K674" s="4"/>
      <c r="L674" s="4"/>
      <c r="M674" s="4"/>
    </row>
    <row r="675" spans="1:13" ht="15" customHeight="1" x14ac:dyDescent="0.35">
      <c r="A675" t="str">
        <f t="shared" si="10"/>
        <v>P620IM08C2411</v>
      </c>
      <c r="B675" t="str">
        <f>IFERROR(VLOOKUP($A675,'[5]Study Budget Mapping '!$O$2:$P$532,2,0),"TBA")</f>
        <v>TBA</v>
      </c>
      <c r="D675" s="2" t="s">
        <v>156</v>
      </c>
      <c r="E675" s="2" t="s">
        <v>19</v>
      </c>
      <c r="F675" s="3">
        <v>40819.300000000003</v>
      </c>
      <c r="G675" s="3">
        <v>0</v>
      </c>
      <c r="H675" s="4"/>
      <c r="I675" s="4"/>
      <c r="J675" s="4"/>
      <c r="K675" s="4"/>
      <c r="L675" s="4"/>
      <c r="M675" s="4"/>
    </row>
    <row r="676" spans="1:13" ht="15" customHeight="1" x14ac:dyDescent="0.35">
      <c r="A676" t="str">
        <f t="shared" si="10"/>
        <v>P620IM08C2411</v>
      </c>
      <c r="B676" t="str">
        <f>IFERROR(VLOOKUP($A676,'[5]Study Budget Mapping '!$O$2:$P$532,2,0),"TBA")</f>
        <v>TBA</v>
      </c>
      <c r="D676" s="2" t="s">
        <v>156</v>
      </c>
      <c r="E676" s="2" t="s">
        <v>15</v>
      </c>
      <c r="F676" s="3">
        <v>2022826</v>
      </c>
      <c r="G676" s="3">
        <v>4219421.1399999997</v>
      </c>
      <c r="H676" s="4"/>
      <c r="I676" s="4"/>
      <c r="J676" s="4"/>
      <c r="K676" s="4"/>
      <c r="L676" s="4"/>
      <c r="M676" s="4"/>
    </row>
    <row r="677" spans="1:13" ht="15" customHeight="1" x14ac:dyDescent="0.35">
      <c r="A677" t="str">
        <f t="shared" si="10"/>
        <v>P620IM08C2411</v>
      </c>
      <c r="B677" t="str">
        <f>IFERROR(VLOOKUP($A677,'[5]Study Budget Mapping '!$O$2:$P$532,2,0),"TBA")</f>
        <v>TBA</v>
      </c>
      <c r="D677" s="2" t="s">
        <v>156</v>
      </c>
      <c r="E677" s="2" t="s">
        <v>16</v>
      </c>
      <c r="F677" s="3">
        <v>270520</v>
      </c>
      <c r="G677" s="3">
        <v>0</v>
      </c>
      <c r="H677" s="4"/>
      <c r="I677" s="4"/>
      <c r="J677" s="4"/>
      <c r="K677" s="4"/>
      <c r="L677" s="4"/>
      <c r="M677" s="4"/>
    </row>
    <row r="678" spans="1:13" ht="15" customHeight="1" x14ac:dyDescent="0.35">
      <c r="A678" t="str">
        <f t="shared" si="10"/>
        <v>P620IM08C2411</v>
      </c>
      <c r="B678" t="str">
        <f>IFERROR(VLOOKUP($A678,'[5]Study Budget Mapping '!$O$2:$P$532,2,0),"TBA")</f>
        <v>TBA</v>
      </c>
      <c r="D678" s="2" t="s">
        <v>156</v>
      </c>
      <c r="E678" s="2" t="s">
        <v>17</v>
      </c>
      <c r="F678" s="3">
        <v>339591</v>
      </c>
      <c r="G678" s="3">
        <v>0</v>
      </c>
      <c r="H678" s="4"/>
      <c r="I678" s="4"/>
      <c r="J678" s="4"/>
      <c r="K678" s="4"/>
      <c r="L678" s="4"/>
      <c r="M678" s="4"/>
    </row>
    <row r="679" spans="1:13" ht="15" customHeight="1" x14ac:dyDescent="0.35">
      <c r="A679" t="str">
        <f t="shared" si="10"/>
        <v>P620IM08C2411</v>
      </c>
      <c r="B679" t="str">
        <f>IFERROR(VLOOKUP($A679,'[5]Study Budget Mapping '!$O$2:$P$532,2,0),"TBA")</f>
        <v>TBA</v>
      </c>
      <c r="D679" s="2" t="s">
        <v>156</v>
      </c>
      <c r="E679" s="2" t="s">
        <v>28</v>
      </c>
      <c r="F679" s="3">
        <v>166000</v>
      </c>
      <c r="G679" s="3">
        <v>0</v>
      </c>
      <c r="H679" s="4"/>
      <c r="I679" s="4"/>
      <c r="J679" s="4"/>
      <c r="K679" s="4"/>
      <c r="L679" s="4"/>
      <c r="M679" s="4"/>
    </row>
    <row r="680" spans="1:13" ht="15" customHeight="1" x14ac:dyDescent="0.35">
      <c r="A680" t="str">
        <f t="shared" si="10"/>
        <v>P620IM08C2411</v>
      </c>
      <c r="B680" t="str">
        <f>IFERROR(VLOOKUP($A680,'[5]Study Budget Mapping '!$O$2:$P$532,2,0),"TBA")</f>
        <v>TBA</v>
      </c>
      <c r="D680" s="2" t="s">
        <v>156</v>
      </c>
      <c r="E680" s="2" t="s">
        <v>23</v>
      </c>
      <c r="F680" s="3">
        <v>565454</v>
      </c>
      <c r="G680" s="3">
        <v>0</v>
      </c>
      <c r="H680" s="4"/>
      <c r="I680" s="4"/>
      <c r="J680" s="4"/>
      <c r="K680" s="4"/>
      <c r="L680" s="4"/>
      <c r="M680" s="4"/>
    </row>
    <row r="681" spans="1:13" ht="15" customHeight="1" x14ac:dyDescent="0.35">
      <c r="A681" t="str">
        <f t="shared" si="10"/>
        <v>P620IM08C2421</v>
      </c>
      <c r="B681" t="str">
        <f>IFERROR(VLOOKUP($A681,'[5]Study Budget Mapping '!$O$2:$P$532,2,0),"TBA")</f>
        <v>TBA</v>
      </c>
      <c r="D681" s="2" t="s">
        <v>157</v>
      </c>
      <c r="E681" s="2" t="s">
        <v>13</v>
      </c>
      <c r="F681" s="3">
        <v>1460500</v>
      </c>
      <c r="G681" s="3">
        <v>0</v>
      </c>
      <c r="H681" s="4"/>
      <c r="I681" s="4"/>
      <c r="J681" s="4"/>
      <c r="K681" s="4"/>
      <c r="L681" s="4"/>
      <c r="M681" s="4"/>
    </row>
    <row r="682" spans="1:13" ht="15" customHeight="1" x14ac:dyDescent="0.35">
      <c r="A682" t="str">
        <f t="shared" si="10"/>
        <v>P620IM08C2421</v>
      </c>
      <c r="B682" t="str">
        <f>IFERROR(VLOOKUP($A682,'[5]Study Budget Mapping '!$O$2:$P$532,2,0),"TBA")</f>
        <v>TBA</v>
      </c>
      <c r="D682" s="2" t="s">
        <v>157</v>
      </c>
      <c r="E682" s="2" t="s">
        <v>14</v>
      </c>
      <c r="F682" s="3">
        <v>756016</v>
      </c>
      <c r="G682" s="3">
        <v>0</v>
      </c>
      <c r="H682" s="4"/>
      <c r="I682" s="4"/>
      <c r="J682" s="4"/>
      <c r="K682" s="4"/>
      <c r="L682" s="4"/>
      <c r="M682" s="4"/>
    </row>
    <row r="683" spans="1:13" ht="15" customHeight="1" x14ac:dyDescent="0.35">
      <c r="A683" t="str">
        <f t="shared" si="10"/>
        <v>P620IM08C2421</v>
      </c>
      <c r="B683" t="str">
        <f>IFERROR(VLOOKUP($A683,'[5]Study Budget Mapping '!$O$2:$P$532,2,0),"TBA")</f>
        <v>TBA</v>
      </c>
      <c r="D683" s="2" t="s">
        <v>157</v>
      </c>
      <c r="E683" s="2" t="s">
        <v>19</v>
      </c>
      <c r="F683" s="3">
        <v>30000</v>
      </c>
      <c r="G683" s="3">
        <v>0</v>
      </c>
      <c r="H683" s="4"/>
      <c r="I683" s="4"/>
      <c r="J683" s="4"/>
      <c r="K683" s="4"/>
      <c r="L683" s="4"/>
      <c r="M683" s="4"/>
    </row>
    <row r="684" spans="1:13" ht="15" customHeight="1" x14ac:dyDescent="0.35">
      <c r="A684" t="str">
        <f t="shared" si="10"/>
        <v>P620IM08C2421</v>
      </c>
      <c r="B684" t="str">
        <f>IFERROR(VLOOKUP($A684,'[5]Study Budget Mapping '!$O$2:$P$532,2,0),"TBA")</f>
        <v>TBA</v>
      </c>
      <c r="D684" s="2" t="s">
        <v>157</v>
      </c>
      <c r="E684" s="2" t="s">
        <v>20</v>
      </c>
      <c r="F684" s="3">
        <v>100000</v>
      </c>
      <c r="G684" s="3">
        <v>0</v>
      </c>
      <c r="H684" s="4"/>
      <c r="I684" s="4"/>
      <c r="J684" s="4"/>
      <c r="K684" s="4"/>
      <c r="L684" s="4"/>
      <c r="M684" s="4"/>
    </row>
    <row r="685" spans="1:13" ht="15" customHeight="1" x14ac:dyDescent="0.35">
      <c r="A685" t="str">
        <f t="shared" si="10"/>
        <v>P620IM08C2421</v>
      </c>
      <c r="B685" t="str">
        <f>IFERROR(VLOOKUP($A685,'[5]Study Budget Mapping '!$O$2:$P$532,2,0),"TBA")</f>
        <v>TBA</v>
      </c>
      <c r="D685" s="2" t="s">
        <v>157</v>
      </c>
      <c r="E685" s="2" t="s">
        <v>15</v>
      </c>
      <c r="F685" s="3">
        <v>2729402</v>
      </c>
      <c r="G685" s="3">
        <v>9087326.8986690603</v>
      </c>
      <c r="H685" s="4"/>
      <c r="I685" s="4"/>
      <c r="J685" s="4"/>
      <c r="K685" s="4"/>
      <c r="L685" s="4"/>
      <c r="M685" s="4"/>
    </row>
    <row r="686" spans="1:13" ht="15" customHeight="1" x14ac:dyDescent="0.35">
      <c r="A686" t="str">
        <f t="shared" si="10"/>
        <v>P620IM08C2421</v>
      </c>
      <c r="B686" t="str">
        <f>IFERROR(VLOOKUP($A686,'[5]Study Budget Mapping '!$O$2:$P$532,2,0),"TBA")</f>
        <v>TBA</v>
      </c>
      <c r="D686" s="2" t="s">
        <v>157</v>
      </c>
      <c r="E686" s="2" t="s">
        <v>16</v>
      </c>
      <c r="F686" s="3">
        <v>316014</v>
      </c>
      <c r="G686" s="3">
        <v>0</v>
      </c>
      <c r="H686" s="4"/>
      <c r="I686" s="4"/>
      <c r="J686" s="4"/>
      <c r="K686" s="4"/>
      <c r="L686" s="4"/>
      <c r="M686" s="4"/>
    </row>
    <row r="687" spans="1:13" ht="15" customHeight="1" x14ac:dyDescent="0.35">
      <c r="A687" t="str">
        <f t="shared" si="10"/>
        <v>P620IM08C2421</v>
      </c>
      <c r="B687" t="str">
        <f>IFERROR(VLOOKUP($A687,'[5]Study Budget Mapping '!$O$2:$P$532,2,0),"TBA")</f>
        <v>TBA</v>
      </c>
      <c r="D687" s="2" t="s">
        <v>157</v>
      </c>
      <c r="E687" s="2" t="s">
        <v>17</v>
      </c>
      <c r="F687" s="3">
        <v>431705</v>
      </c>
      <c r="G687" s="3">
        <v>0</v>
      </c>
      <c r="H687" s="4"/>
      <c r="I687" s="4"/>
      <c r="J687" s="4"/>
      <c r="K687" s="4"/>
      <c r="L687" s="4"/>
      <c r="M687" s="4"/>
    </row>
    <row r="688" spans="1:13" ht="15" customHeight="1" x14ac:dyDescent="0.35">
      <c r="A688" t="str">
        <f t="shared" si="10"/>
        <v>P620IM08C2421</v>
      </c>
      <c r="B688" t="str">
        <f>IFERROR(VLOOKUP($A688,'[5]Study Budget Mapping '!$O$2:$P$532,2,0),"TBA")</f>
        <v>TBA</v>
      </c>
      <c r="D688" s="2" t="s">
        <v>157</v>
      </c>
      <c r="E688" s="2" t="s">
        <v>28</v>
      </c>
      <c r="F688" s="3">
        <v>246946</v>
      </c>
      <c r="G688" s="3">
        <v>0</v>
      </c>
      <c r="H688" s="4"/>
      <c r="I688" s="4"/>
      <c r="J688" s="4"/>
      <c r="K688" s="4"/>
      <c r="L688" s="4"/>
      <c r="M688" s="4"/>
    </row>
    <row r="689" spans="1:13" ht="15" customHeight="1" x14ac:dyDescent="0.35">
      <c r="A689" t="str">
        <f t="shared" si="10"/>
        <v>P620IM08C2421</v>
      </c>
      <c r="B689" t="str">
        <f>IFERROR(VLOOKUP($A689,'[5]Study Budget Mapping '!$O$2:$P$532,2,0),"TBA")</f>
        <v>TBA</v>
      </c>
      <c r="D689" s="2" t="s">
        <v>157</v>
      </c>
      <c r="E689" s="2" t="s">
        <v>23</v>
      </c>
      <c r="F689" s="3">
        <v>597267</v>
      </c>
      <c r="G689" s="3">
        <v>0</v>
      </c>
      <c r="H689" s="4"/>
      <c r="I689" s="4"/>
      <c r="J689" s="4"/>
      <c r="K689" s="4"/>
      <c r="L689" s="4"/>
      <c r="M689" s="4"/>
    </row>
    <row r="690" spans="1:13" ht="15" customHeight="1" x14ac:dyDescent="0.35">
      <c r="A690" t="str">
        <f t="shared" si="10"/>
        <v>P620IM08C2531</v>
      </c>
      <c r="B690" t="str">
        <f>IFERROR(VLOOKUP($A690,'[5]Study Budget Mapping '!$O$2:$P$532,2,0),"TBA")</f>
        <v>TBA</v>
      </c>
      <c r="D690" s="2" t="s">
        <v>158</v>
      </c>
      <c r="E690" s="2" t="s">
        <v>13</v>
      </c>
      <c r="F690" s="3">
        <v>6319250</v>
      </c>
      <c r="G690" s="3">
        <v>0</v>
      </c>
      <c r="H690" s="4"/>
      <c r="I690" s="4"/>
      <c r="J690" s="4"/>
      <c r="K690" s="4"/>
      <c r="L690" s="4"/>
      <c r="M690" s="4"/>
    </row>
    <row r="691" spans="1:13" ht="15" customHeight="1" x14ac:dyDescent="0.35">
      <c r="A691" t="str">
        <f t="shared" si="10"/>
        <v>P620IM08C2531</v>
      </c>
      <c r="B691" t="str">
        <f>IFERROR(VLOOKUP($A691,'[5]Study Budget Mapping '!$O$2:$P$532,2,0),"TBA")</f>
        <v>TBA</v>
      </c>
      <c r="D691" s="2" t="s">
        <v>158</v>
      </c>
      <c r="E691" s="2" t="s">
        <v>14</v>
      </c>
      <c r="F691" s="3">
        <v>2500000</v>
      </c>
      <c r="G691" s="3">
        <v>0</v>
      </c>
      <c r="H691" s="4"/>
      <c r="I691" s="4"/>
      <c r="J691" s="4"/>
      <c r="K691" s="4"/>
      <c r="L691" s="4"/>
      <c r="M691" s="4"/>
    </row>
    <row r="692" spans="1:13" ht="15" customHeight="1" x14ac:dyDescent="0.35">
      <c r="A692" t="str">
        <f t="shared" si="10"/>
        <v>P620IM08C2531</v>
      </c>
      <c r="B692" t="str">
        <f>IFERROR(VLOOKUP($A692,'[5]Study Budget Mapping '!$O$2:$P$532,2,0),"TBA")</f>
        <v>TBA</v>
      </c>
      <c r="D692" s="2" t="s">
        <v>158</v>
      </c>
      <c r="E692" s="2" t="s">
        <v>15</v>
      </c>
      <c r="F692" s="3">
        <v>12363054</v>
      </c>
      <c r="G692" s="3">
        <v>34745780.686683461</v>
      </c>
      <c r="H692" s="4"/>
      <c r="I692" s="4"/>
      <c r="J692" s="4"/>
      <c r="K692" s="4"/>
      <c r="L692" s="4"/>
      <c r="M692" s="4"/>
    </row>
    <row r="693" spans="1:13" ht="15" customHeight="1" x14ac:dyDescent="0.35">
      <c r="A693" t="str">
        <f t="shared" si="10"/>
        <v>P620IM08C2531</v>
      </c>
      <c r="B693" t="str">
        <f>IFERROR(VLOOKUP($A693,'[5]Study Budget Mapping '!$O$2:$P$532,2,0),"TBA")</f>
        <v>TBA</v>
      </c>
      <c r="D693" s="2" t="s">
        <v>158</v>
      </c>
      <c r="E693" s="2" t="s">
        <v>16</v>
      </c>
      <c r="F693" s="3">
        <v>3606483</v>
      </c>
      <c r="G693" s="3">
        <v>0</v>
      </c>
      <c r="H693" s="4"/>
      <c r="I693" s="4"/>
      <c r="J693" s="4"/>
      <c r="K693" s="4"/>
      <c r="L693" s="4"/>
      <c r="M693" s="4"/>
    </row>
    <row r="694" spans="1:13" ht="15" customHeight="1" x14ac:dyDescent="0.35">
      <c r="A694" t="str">
        <f t="shared" si="10"/>
        <v>P620IM08C2531</v>
      </c>
      <c r="B694" t="str">
        <f>IFERROR(VLOOKUP($A694,'[5]Study Budget Mapping '!$O$2:$P$532,2,0),"TBA")</f>
        <v>TBA</v>
      </c>
      <c r="D694" s="2" t="s">
        <v>158</v>
      </c>
      <c r="E694" s="2" t="s">
        <v>17</v>
      </c>
      <c r="F694" s="3">
        <v>245400</v>
      </c>
      <c r="G694" s="3">
        <v>0</v>
      </c>
      <c r="H694" s="4"/>
      <c r="I694" s="4"/>
      <c r="J694" s="4"/>
      <c r="K694" s="4"/>
      <c r="L694" s="4"/>
      <c r="M694" s="4"/>
    </row>
    <row r="695" spans="1:13" ht="15" customHeight="1" x14ac:dyDescent="0.35">
      <c r="A695" t="str">
        <f t="shared" si="10"/>
        <v>P620IM08C2531</v>
      </c>
      <c r="B695" t="str">
        <f>IFERROR(VLOOKUP($A695,'[5]Study Budget Mapping '!$O$2:$P$532,2,0),"TBA")</f>
        <v>TBA</v>
      </c>
      <c r="D695" s="2" t="s">
        <v>158</v>
      </c>
      <c r="E695" s="2" t="s">
        <v>28</v>
      </c>
      <c r="F695" s="3">
        <v>267500</v>
      </c>
      <c r="G695" s="3">
        <v>0</v>
      </c>
      <c r="H695" s="4"/>
      <c r="I695" s="4"/>
      <c r="J695" s="4"/>
      <c r="K695" s="4"/>
      <c r="L695" s="4"/>
      <c r="M695" s="4"/>
    </row>
    <row r="696" spans="1:13" ht="15" customHeight="1" x14ac:dyDescent="0.35">
      <c r="A696" t="str">
        <f t="shared" si="10"/>
        <v>P620IM08C2531</v>
      </c>
      <c r="B696" t="str">
        <f>IFERROR(VLOOKUP($A696,'[5]Study Budget Mapping '!$O$2:$P$532,2,0),"TBA")</f>
        <v>TBA</v>
      </c>
      <c r="D696" s="2" t="s">
        <v>158</v>
      </c>
      <c r="E696" s="2" t="s">
        <v>23</v>
      </c>
      <c r="F696" s="3">
        <v>312611</v>
      </c>
      <c r="G696" s="3">
        <v>0</v>
      </c>
      <c r="H696" s="4"/>
      <c r="I696" s="4"/>
      <c r="J696" s="4"/>
      <c r="K696" s="4"/>
      <c r="L696" s="4"/>
      <c r="M696" s="4"/>
    </row>
    <row r="697" spans="1:13" ht="15" customHeight="1" x14ac:dyDescent="0.35">
      <c r="A697" t="str">
        <f t="shared" si="10"/>
        <v>P620IM08C2611</v>
      </c>
      <c r="B697" t="str">
        <f>IFERROR(VLOOKUP($A697,'[5]Study Budget Mapping '!$O$2:$P$532,2,0),"TBA")</f>
        <v>TBA</v>
      </c>
      <c r="D697" s="2" t="s">
        <v>159</v>
      </c>
      <c r="E697" s="2" t="s">
        <v>15</v>
      </c>
      <c r="F697" s="3">
        <v>6534475</v>
      </c>
      <c r="G697" s="3">
        <v>6680033.9100000001</v>
      </c>
      <c r="H697" s="4"/>
      <c r="I697" s="4"/>
      <c r="J697" s="4"/>
      <c r="K697" s="4"/>
      <c r="L697" s="4"/>
      <c r="M697" s="4"/>
    </row>
    <row r="698" spans="1:13" ht="15" customHeight="1" x14ac:dyDescent="0.35">
      <c r="A698" t="str">
        <f t="shared" si="10"/>
        <v>P620IM08C2621</v>
      </c>
      <c r="B698" t="str">
        <f>IFERROR(VLOOKUP($A698,'[5]Study Budget Mapping '!$O$2:$P$532,2,0),"TBA")</f>
        <v>TBA</v>
      </c>
      <c r="D698" s="2" t="s">
        <v>160</v>
      </c>
      <c r="E698" s="2" t="s">
        <v>13</v>
      </c>
      <c r="F698" s="3">
        <v>270889</v>
      </c>
      <c r="G698" s="3">
        <v>0</v>
      </c>
      <c r="H698" s="4"/>
      <c r="I698" s="4"/>
      <c r="J698" s="4"/>
      <c r="K698" s="4"/>
      <c r="L698" s="4"/>
      <c r="M698" s="4"/>
    </row>
    <row r="699" spans="1:13" ht="15" customHeight="1" x14ac:dyDescent="0.35">
      <c r="A699" t="str">
        <f t="shared" si="10"/>
        <v>P620IM08C2621</v>
      </c>
      <c r="B699" t="str">
        <f>IFERROR(VLOOKUP($A699,'[5]Study Budget Mapping '!$O$2:$P$532,2,0),"TBA")</f>
        <v>TBA</v>
      </c>
      <c r="D699" s="2" t="s">
        <v>160</v>
      </c>
      <c r="E699" s="2" t="s">
        <v>14</v>
      </c>
      <c r="F699" s="3">
        <v>62352</v>
      </c>
      <c r="G699" s="3">
        <v>0</v>
      </c>
      <c r="H699" s="4"/>
      <c r="I699" s="4"/>
      <c r="J699" s="4"/>
      <c r="K699" s="4"/>
      <c r="L699" s="4"/>
      <c r="M699" s="4"/>
    </row>
    <row r="700" spans="1:13" ht="15" customHeight="1" x14ac:dyDescent="0.35">
      <c r="A700" t="str">
        <f t="shared" si="10"/>
        <v>P620IM08C2621</v>
      </c>
      <c r="B700" t="str">
        <f>IFERROR(VLOOKUP($A700,'[5]Study Budget Mapping '!$O$2:$P$532,2,0),"TBA")</f>
        <v>TBA</v>
      </c>
      <c r="D700" s="2" t="s">
        <v>160</v>
      </c>
      <c r="E700" s="2" t="s">
        <v>31</v>
      </c>
      <c r="F700" s="3">
        <v>4800</v>
      </c>
      <c r="G700" s="3">
        <v>0</v>
      </c>
      <c r="H700" s="4"/>
      <c r="I700" s="4"/>
      <c r="J700" s="4"/>
      <c r="K700" s="4"/>
      <c r="L700" s="4"/>
      <c r="M700" s="4"/>
    </row>
    <row r="701" spans="1:13" ht="15" customHeight="1" x14ac:dyDescent="0.35">
      <c r="A701" t="str">
        <f t="shared" si="10"/>
        <v>P620IM08C2621</v>
      </c>
      <c r="B701" t="str">
        <f>IFERROR(VLOOKUP($A701,'[5]Study Budget Mapping '!$O$2:$P$532,2,0),"TBA")</f>
        <v>TBA</v>
      </c>
      <c r="D701" s="2" t="s">
        <v>160</v>
      </c>
      <c r="E701" s="2" t="s">
        <v>15</v>
      </c>
      <c r="F701" s="3">
        <v>2664659</v>
      </c>
      <c r="G701" s="3">
        <v>4415193.01</v>
      </c>
      <c r="H701" s="4"/>
      <c r="I701" s="4"/>
      <c r="J701" s="4"/>
      <c r="K701" s="4"/>
      <c r="L701" s="4"/>
      <c r="M701" s="4"/>
    </row>
    <row r="702" spans="1:13" ht="15" customHeight="1" x14ac:dyDescent="0.35">
      <c r="A702" t="str">
        <f t="shared" si="10"/>
        <v>P620IM08C2621</v>
      </c>
      <c r="B702" t="str">
        <f>IFERROR(VLOOKUP($A702,'[5]Study Budget Mapping '!$O$2:$P$532,2,0),"TBA")</f>
        <v>TBA</v>
      </c>
      <c r="D702" s="2" t="s">
        <v>160</v>
      </c>
      <c r="E702" s="2" t="s">
        <v>16</v>
      </c>
      <c r="F702" s="3">
        <v>334174</v>
      </c>
      <c r="G702" s="3">
        <v>0</v>
      </c>
      <c r="H702" s="4"/>
      <c r="I702" s="4"/>
      <c r="J702" s="4"/>
      <c r="K702" s="4"/>
      <c r="L702" s="4"/>
      <c r="M702" s="4"/>
    </row>
    <row r="703" spans="1:13" ht="15" customHeight="1" x14ac:dyDescent="0.35">
      <c r="A703" t="str">
        <f t="shared" si="10"/>
        <v>P620IM08C2621</v>
      </c>
      <c r="B703" t="str">
        <f>IFERROR(VLOOKUP($A703,'[5]Study Budget Mapping '!$O$2:$P$532,2,0),"TBA")</f>
        <v>TBA</v>
      </c>
      <c r="D703" s="2" t="s">
        <v>160</v>
      </c>
      <c r="E703" s="2" t="s">
        <v>17</v>
      </c>
      <c r="F703" s="3">
        <v>183320</v>
      </c>
      <c r="G703" s="3">
        <v>0</v>
      </c>
      <c r="H703" s="4"/>
      <c r="I703" s="4"/>
      <c r="J703" s="4"/>
      <c r="K703" s="4"/>
      <c r="L703" s="4"/>
      <c r="M703" s="4"/>
    </row>
    <row r="704" spans="1:13" ht="15" customHeight="1" x14ac:dyDescent="0.35">
      <c r="A704" t="str">
        <f t="shared" si="10"/>
        <v>P620IM08C2621</v>
      </c>
      <c r="B704" t="str">
        <f>IFERROR(VLOOKUP($A704,'[5]Study Budget Mapping '!$O$2:$P$532,2,0),"TBA")</f>
        <v>TBA</v>
      </c>
      <c r="D704" s="2" t="s">
        <v>160</v>
      </c>
      <c r="E704" s="2" t="s">
        <v>28</v>
      </c>
      <c r="F704" s="3">
        <v>117262</v>
      </c>
      <c r="G704" s="3">
        <v>0</v>
      </c>
      <c r="H704" s="4"/>
      <c r="I704" s="4"/>
      <c r="J704" s="4"/>
      <c r="K704" s="4"/>
      <c r="L704" s="4"/>
      <c r="M704" s="4"/>
    </row>
    <row r="705" spans="1:13" ht="15" customHeight="1" x14ac:dyDescent="0.35">
      <c r="A705" t="str">
        <f t="shared" si="10"/>
        <v>P620IM08C2621</v>
      </c>
      <c r="B705" t="str">
        <f>IFERROR(VLOOKUP($A705,'[5]Study Budget Mapping '!$O$2:$P$532,2,0),"TBA")</f>
        <v>TBA</v>
      </c>
      <c r="D705" s="2" t="s">
        <v>160</v>
      </c>
      <c r="E705" s="2" t="s">
        <v>23</v>
      </c>
      <c r="F705" s="3">
        <v>659333</v>
      </c>
      <c r="G705" s="3">
        <v>0</v>
      </c>
      <c r="H705" s="4"/>
      <c r="I705" s="4"/>
      <c r="J705" s="4"/>
      <c r="K705" s="4"/>
      <c r="L705" s="4"/>
      <c r="M705" s="4"/>
    </row>
    <row r="706" spans="1:13" ht="15" customHeight="1" x14ac:dyDescent="0.35">
      <c r="A706" t="str">
        <f t="shared" si="10"/>
        <v>P620IM08C2911</v>
      </c>
      <c r="B706" t="str">
        <f>IFERROR(VLOOKUP($A706,'[5]Study Budget Mapping '!$O$2:$P$532,2,0),"TBA")</f>
        <v>TBA</v>
      </c>
      <c r="D706" s="2" t="s">
        <v>161</v>
      </c>
      <c r="E706" s="2" t="s">
        <v>13</v>
      </c>
      <c r="F706" s="3">
        <v>2732663</v>
      </c>
      <c r="G706" s="3">
        <v>0</v>
      </c>
      <c r="H706" s="4"/>
      <c r="I706" s="4"/>
      <c r="J706" s="4"/>
      <c r="K706" s="4"/>
      <c r="L706" s="4"/>
      <c r="M706" s="4"/>
    </row>
    <row r="707" spans="1:13" ht="15" customHeight="1" x14ac:dyDescent="0.35">
      <c r="A707" t="str">
        <f t="shared" ref="A707:A770" si="11">TRIM(_xlfn.TEXTBEFORE(D707,"-",1))</f>
        <v>P620IM08C2911</v>
      </c>
      <c r="B707" t="str">
        <f>IFERROR(VLOOKUP($A707,'[5]Study Budget Mapping '!$O$2:$P$532,2,0),"TBA")</f>
        <v>TBA</v>
      </c>
      <c r="D707" s="2" t="s">
        <v>161</v>
      </c>
      <c r="E707" s="2" t="s">
        <v>14</v>
      </c>
      <c r="F707" s="3">
        <v>861718</v>
      </c>
      <c r="G707" s="3">
        <v>0</v>
      </c>
      <c r="H707" s="4"/>
      <c r="I707" s="4"/>
      <c r="J707" s="4"/>
      <c r="K707" s="4"/>
      <c r="L707" s="4"/>
      <c r="M707" s="4"/>
    </row>
    <row r="708" spans="1:13" ht="15" customHeight="1" x14ac:dyDescent="0.35">
      <c r="A708" t="str">
        <f t="shared" si="11"/>
        <v>P620IM08C2911</v>
      </c>
      <c r="B708" t="str">
        <f>IFERROR(VLOOKUP($A708,'[5]Study Budget Mapping '!$O$2:$P$532,2,0),"TBA")</f>
        <v>TBA</v>
      </c>
      <c r="D708" s="2" t="s">
        <v>161</v>
      </c>
      <c r="E708" s="2" t="s">
        <v>15</v>
      </c>
      <c r="F708" s="3">
        <v>6574950</v>
      </c>
      <c r="G708" s="3">
        <v>12165398.939999999</v>
      </c>
      <c r="H708" s="4"/>
      <c r="I708" s="4"/>
      <c r="J708" s="4"/>
      <c r="K708" s="4"/>
      <c r="L708" s="4"/>
      <c r="M708" s="4"/>
    </row>
    <row r="709" spans="1:13" ht="15" customHeight="1" x14ac:dyDescent="0.35">
      <c r="A709" t="str">
        <f t="shared" si="11"/>
        <v>P620IM08C2911</v>
      </c>
      <c r="B709" t="str">
        <f>IFERROR(VLOOKUP($A709,'[5]Study Budget Mapping '!$O$2:$P$532,2,0),"TBA")</f>
        <v>TBA</v>
      </c>
      <c r="D709" s="2" t="s">
        <v>161</v>
      </c>
      <c r="E709" s="2" t="s">
        <v>16</v>
      </c>
      <c r="F709" s="3">
        <v>1672637</v>
      </c>
      <c r="G709" s="3">
        <v>0</v>
      </c>
      <c r="H709" s="4"/>
      <c r="I709" s="4"/>
      <c r="J709" s="4"/>
      <c r="K709" s="4"/>
      <c r="L709" s="4"/>
      <c r="M709" s="4"/>
    </row>
    <row r="710" spans="1:13" ht="15" customHeight="1" x14ac:dyDescent="0.35">
      <c r="A710" t="str">
        <f t="shared" si="11"/>
        <v>P620IM08C2911</v>
      </c>
      <c r="B710" t="str">
        <f>IFERROR(VLOOKUP($A710,'[5]Study Budget Mapping '!$O$2:$P$532,2,0),"TBA")</f>
        <v>TBA</v>
      </c>
      <c r="D710" s="2" t="s">
        <v>161</v>
      </c>
      <c r="E710" s="2" t="s">
        <v>17</v>
      </c>
      <c r="F710" s="3">
        <v>254511</v>
      </c>
      <c r="G710" s="3">
        <v>0</v>
      </c>
      <c r="H710" s="4"/>
      <c r="I710" s="4"/>
      <c r="J710" s="4"/>
      <c r="K710" s="4"/>
      <c r="L710" s="4"/>
      <c r="M710" s="4"/>
    </row>
    <row r="711" spans="1:13" ht="15" customHeight="1" x14ac:dyDescent="0.35">
      <c r="A711" t="str">
        <f t="shared" si="11"/>
        <v>P620IM08C2921</v>
      </c>
      <c r="B711" t="str">
        <f>IFERROR(VLOOKUP($A711,'[5]Study Budget Mapping '!$O$2:$P$532,2,0),"TBA")</f>
        <v>TBA</v>
      </c>
      <c r="D711" s="2" t="s">
        <v>162</v>
      </c>
      <c r="E711" s="2" t="s">
        <v>13</v>
      </c>
      <c r="F711" s="3">
        <v>468250</v>
      </c>
      <c r="G711" s="3">
        <v>0</v>
      </c>
      <c r="H711" s="4"/>
      <c r="I711" s="4"/>
      <c r="J711" s="4"/>
      <c r="K711" s="4"/>
      <c r="L711" s="4"/>
      <c r="M711" s="4"/>
    </row>
    <row r="712" spans="1:13" ht="15" customHeight="1" x14ac:dyDescent="0.35">
      <c r="A712" t="str">
        <f t="shared" si="11"/>
        <v>P620IM08C2921</v>
      </c>
      <c r="B712" t="str">
        <f>IFERROR(VLOOKUP($A712,'[5]Study Budget Mapping '!$O$2:$P$532,2,0),"TBA")</f>
        <v>TBA</v>
      </c>
      <c r="D712" s="2" t="s">
        <v>162</v>
      </c>
      <c r="E712" s="2" t="s">
        <v>14</v>
      </c>
      <c r="F712" s="3">
        <v>460348</v>
      </c>
      <c r="G712" s="3">
        <v>0</v>
      </c>
      <c r="H712" s="4"/>
      <c r="I712" s="4"/>
      <c r="J712" s="4"/>
      <c r="K712" s="4"/>
      <c r="L712" s="4"/>
      <c r="M712" s="4"/>
    </row>
    <row r="713" spans="1:13" ht="15" customHeight="1" x14ac:dyDescent="0.35">
      <c r="A713" t="str">
        <f t="shared" si="11"/>
        <v>P620IM08C2921</v>
      </c>
      <c r="B713" t="str">
        <f>IFERROR(VLOOKUP($A713,'[5]Study Budget Mapping '!$O$2:$P$532,2,0),"TBA")</f>
        <v>TBA</v>
      </c>
      <c r="D713" s="2" t="s">
        <v>162</v>
      </c>
      <c r="E713" s="2" t="s">
        <v>19</v>
      </c>
      <c r="F713" s="3">
        <v>115000</v>
      </c>
      <c r="G713" s="3">
        <v>0</v>
      </c>
      <c r="H713" s="4"/>
      <c r="I713" s="4"/>
      <c r="J713" s="4"/>
      <c r="K713" s="4"/>
      <c r="L713" s="4"/>
      <c r="M713" s="4"/>
    </row>
    <row r="714" spans="1:13" ht="15" customHeight="1" x14ac:dyDescent="0.35">
      <c r="A714" t="str">
        <f t="shared" si="11"/>
        <v>P620IM08C2921</v>
      </c>
      <c r="B714" t="str">
        <f>IFERROR(VLOOKUP($A714,'[5]Study Budget Mapping '!$O$2:$P$532,2,0),"TBA")</f>
        <v>TBA</v>
      </c>
      <c r="D714" s="2" t="s">
        <v>162</v>
      </c>
      <c r="E714" s="2" t="s">
        <v>20</v>
      </c>
      <c r="F714" s="3">
        <v>50000</v>
      </c>
      <c r="G714" s="3">
        <v>0</v>
      </c>
      <c r="H714" s="4"/>
      <c r="I714" s="4"/>
      <c r="J714" s="4"/>
      <c r="K714" s="4"/>
      <c r="L714" s="4"/>
      <c r="M714" s="4"/>
    </row>
    <row r="715" spans="1:13" ht="15" customHeight="1" x14ac:dyDescent="0.35">
      <c r="A715" t="str">
        <f t="shared" si="11"/>
        <v>P620IM08C2921</v>
      </c>
      <c r="B715" t="str">
        <f>IFERROR(VLOOKUP($A715,'[5]Study Budget Mapping '!$O$2:$P$532,2,0),"TBA")</f>
        <v>TBA</v>
      </c>
      <c r="D715" s="2" t="s">
        <v>162</v>
      </c>
      <c r="E715" s="2" t="s">
        <v>31</v>
      </c>
      <c r="F715" s="3">
        <v>50000</v>
      </c>
      <c r="G715" s="3">
        <v>0</v>
      </c>
      <c r="H715" s="4"/>
      <c r="I715" s="4"/>
      <c r="J715" s="4"/>
      <c r="K715" s="4"/>
      <c r="L715" s="4"/>
      <c r="M715" s="4"/>
    </row>
    <row r="716" spans="1:13" ht="15" customHeight="1" x14ac:dyDescent="0.35">
      <c r="A716" t="str">
        <f t="shared" si="11"/>
        <v>P620IM08C2921</v>
      </c>
      <c r="B716" t="str">
        <f>IFERROR(VLOOKUP($A716,'[5]Study Budget Mapping '!$O$2:$P$532,2,0),"TBA")</f>
        <v>TBA</v>
      </c>
      <c r="D716" s="2" t="s">
        <v>162</v>
      </c>
      <c r="E716" s="2" t="s">
        <v>15</v>
      </c>
      <c r="F716" s="3">
        <v>2073173</v>
      </c>
      <c r="G716" s="3">
        <v>2822176.95</v>
      </c>
      <c r="H716" s="4"/>
      <c r="I716" s="4"/>
      <c r="J716" s="4"/>
      <c r="K716" s="4"/>
      <c r="L716" s="4"/>
      <c r="M716" s="4"/>
    </row>
    <row r="717" spans="1:13" ht="15" customHeight="1" x14ac:dyDescent="0.35">
      <c r="A717" t="str">
        <f t="shared" si="11"/>
        <v>P620IM08C2921</v>
      </c>
      <c r="B717" t="str">
        <f>IFERROR(VLOOKUP($A717,'[5]Study Budget Mapping '!$O$2:$P$532,2,0),"TBA")</f>
        <v>TBA</v>
      </c>
      <c r="D717" s="2" t="s">
        <v>162</v>
      </c>
      <c r="E717" s="2" t="s">
        <v>16</v>
      </c>
      <c r="F717" s="3">
        <v>295270</v>
      </c>
      <c r="G717" s="3">
        <v>0</v>
      </c>
      <c r="H717" s="4"/>
      <c r="I717" s="4"/>
      <c r="J717" s="4"/>
      <c r="K717" s="4"/>
      <c r="L717" s="4"/>
      <c r="M717" s="4"/>
    </row>
    <row r="718" spans="1:13" ht="15" customHeight="1" x14ac:dyDescent="0.35">
      <c r="A718" t="str">
        <f t="shared" si="11"/>
        <v>P620IM08C2921</v>
      </c>
      <c r="B718" t="str">
        <f>IFERROR(VLOOKUP($A718,'[5]Study Budget Mapping '!$O$2:$P$532,2,0),"TBA")</f>
        <v>TBA</v>
      </c>
      <c r="D718" s="2" t="s">
        <v>162</v>
      </c>
      <c r="E718" s="2" t="s">
        <v>17</v>
      </c>
      <c r="F718" s="3">
        <v>261800</v>
      </c>
      <c r="G718" s="3">
        <v>0</v>
      </c>
      <c r="H718" s="4"/>
      <c r="I718" s="4"/>
      <c r="J718" s="4"/>
      <c r="K718" s="4"/>
      <c r="L718" s="4"/>
      <c r="M718" s="4"/>
    </row>
    <row r="719" spans="1:13" ht="15" customHeight="1" x14ac:dyDescent="0.35">
      <c r="A719" t="str">
        <f t="shared" si="11"/>
        <v>P620IM08C2921</v>
      </c>
      <c r="B719" t="str">
        <f>IFERROR(VLOOKUP($A719,'[5]Study Budget Mapping '!$O$2:$P$532,2,0),"TBA")</f>
        <v>TBA</v>
      </c>
      <c r="D719" s="2" t="s">
        <v>162</v>
      </c>
      <c r="E719" s="2" t="s">
        <v>28</v>
      </c>
      <c r="F719" s="3">
        <v>257300</v>
      </c>
      <c r="G719" s="3">
        <v>0</v>
      </c>
      <c r="H719" s="4"/>
      <c r="I719" s="4"/>
      <c r="J719" s="4"/>
      <c r="K719" s="4"/>
      <c r="L719" s="4"/>
      <c r="M719" s="4"/>
    </row>
    <row r="720" spans="1:13" ht="15" customHeight="1" x14ac:dyDescent="0.35">
      <c r="A720" t="str">
        <f t="shared" si="11"/>
        <v>P620IM08C2921</v>
      </c>
      <c r="B720" t="str">
        <f>IFERROR(VLOOKUP($A720,'[5]Study Budget Mapping '!$O$2:$P$532,2,0),"TBA")</f>
        <v>TBA</v>
      </c>
      <c r="D720" s="2" t="s">
        <v>162</v>
      </c>
      <c r="E720" s="2" t="s">
        <v>23</v>
      </c>
      <c r="F720" s="3">
        <v>228707</v>
      </c>
      <c r="G720" s="3">
        <v>0</v>
      </c>
      <c r="H720" s="4"/>
      <c r="I720" s="4"/>
      <c r="J720" s="4"/>
      <c r="K720" s="4"/>
      <c r="L720" s="4"/>
      <c r="M720" s="4"/>
    </row>
    <row r="721" spans="1:13" ht="15" customHeight="1" x14ac:dyDescent="0.35">
      <c r="A721" t="str">
        <f t="shared" si="11"/>
        <v>P620IM08C3721</v>
      </c>
      <c r="B721" t="str">
        <f>IFERROR(VLOOKUP($A721,'[5]Study Budget Mapping '!$O$2:$P$532,2,0),"TBA")</f>
        <v>TBA</v>
      </c>
      <c r="D721" s="2" t="s">
        <v>163</v>
      </c>
      <c r="E721" s="2" t="s">
        <v>13</v>
      </c>
      <c r="F721" s="3">
        <v>9649394</v>
      </c>
      <c r="G721" s="3">
        <v>0</v>
      </c>
      <c r="H721" s="4"/>
      <c r="I721" s="4"/>
      <c r="J721" s="4"/>
      <c r="K721" s="4"/>
      <c r="L721" s="4"/>
      <c r="M721" s="4"/>
    </row>
    <row r="722" spans="1:13" ht="15" customHeight="1" x14ac:dyDescent="0.35">
      <c r="A722" t="str">
        <f t="shared" si="11"/>
        <v>P620IM08C3721</v>
      </c>
      <c r="B722" t="str">
        <f>IFERROR(VLOOKUP($A722,'[5]Study Budget Mapping '!$O$2:$P$532,2,0),"TBA")</f>
        <v>TBA</v>
      </c>
      <c r="D722" s="2" t="s">
        <v>163</v>
      </c>
      <c r="E722" s="2" t="s">
        <v>14</v>
      </c>
      <c r="F722" s="3">
        <v>1460726</v>
      </c>
      <c r="G722" s="3">
        <v>0</v>
      </c>
      <c r="H722" s="4"/>
      <c r="I722" s="4"/>
      <c r="J722" s="4"/>
      <c r="K722" s="4"/>
      <c r="L722" s="4"/>
      <c r="M722" s="4"/>
    </row>
    <row r="723" spans="1:13" ht="15" customHeight="1" x14ac:dyDescent="0.35">
      <c r="A723" t="str">
        <f t="shared" si="11"/>
        <v>P620IM08C3721</v>
      </c>
      <c r="B723" t="str">
        <f>IFERROR(VLOOKUP($A723,'[5]Study Budget Mapping '!$O$2:$P$532,2,0),"TBA")</f>
        <v>TBA</v>
      </c>
      <c r="D723" s="2" t="s">
        <v>163</v>
      </c>
      <c r="E723" s="2" t="s">
        <v>19</v>
      </c>
      <c r="F723" s="3">
        <v>556470</v>
      </c>
      <c r="G723" s="3">
        <v>0</v>
      </c>
      <c r="H723" s="4"/>
      <c r="I723" s="4"/>
      <c r="J723" s="4"/>
      <c r="K723" s="4"/>
      <c r="L723" s="4"/>
      <c r="M723" s="4"/>
    </row>
    <row r="724" spans="1:13" ht="15" customHeight="1" x14ac:dyDescent="0.35">
      <c r="A724" t="str">
        <f t="shared" si="11"/>
        <v>P620IM08C3721</v>
      </c>
      <c r="B724" t="str">
        <f>IFERROR(VLOOKUP($A724,'[5]Study Budget Mapping '!$O$2:$P$532,2,0),"TBA")</f>
        <v>TBA</v>
      </c>
      <c r="D724" s="2" t="s">
        <v>163</v>
      </c>
      <c r="E724" s="2" t="s">
        <v>15</v>
      </c>
      <c r="F724" s="3">
        <v>11217558</v>
      </c>
      <c r="G724" s="3">
        <v>21800805.527600002</v>
      </c>
      <c r="H724" s="4"/>
      <c r="I724" s="4"/>
      <c r="J724" s="4"/>
      <c r="K724" s="4"/>
      <c r="L724" s="4"/>
      <c r="M724" s="4"/>
    </row>
    <row r="725" spans="1:13" ht="15" customHeight="1" x14ac:dyDescent="0.35">
      <c r="A725" t="str">
        <f t="shared" si="11"/>
        <v>P620IM08C3721</v>
      </c>
      <c r="B725" t="str">
        <f>IFERROR(VLOOKUP($A725,'[5]Study Budget Mapping '!$O$2:$P$532,2,0),"TBA")</f>
        <v>TBA</v>
      </c>
      <c r="D725" s="2" t="s">
        <v>163</v>
      </c>
      <c r="E725" s="2" t="s">
        <v>16</v>
      </c>
      <c r="F725" s="3">
        <v>2634902</v>
      </c>
      <c r="G725" s="3">
        <v>0</v>
      </c>
      <c r="H725" s="4"/>
      <c r="I725" s="4"/>
      <c r="J725" s="4"/>
      <c r="K725" s="4"/>
      <c r="L725" s="4"/>
      <c r="M725" s="4"/>
    </row>
    <row r="726" spans="1:13" ht="15" customHeight="1" x14ac:dyDescent="0.35">
      <c r="A726" t="str">
        <f t="shared" si="11"/>
        <v>P620IM08C3721</v>
      </c>
      <c r="B726" t="str">
        <f>IFERROR(VLOOKUP($A726,'[5]Study Budget Mapping '!$O$2:$P$532,2,0),"TBA")</f>
        <v>TBA</v>
      </c>
      <c r="D726" s="2" t="s">
        <v>163</v>
      </c>
      <c r="E726" s="2" t="s">
        <v>17</v>
      </c>
      <c r="F726" s="3">
        <v>875180</v>
      </c>
      <c r="G726" s="3">
        <v>0</v>
      </c>
      <c r="H726" s="4"/>
      <c r="I726" s="4"/>
      <c r="J726" s="4"/>
      <c r="K726" s="4"/>
      <c r="L726" s="4"/>
      <c r="M726" s="4"/>
    </row>
    <row r="727" spans="1:13" ht="15" customHeight="1" x14ac:dyDescent="0.35">
      <c r="A727" t="str">
        <f t="shared" si="11"/>
        <v>P620IM08C3721</v>
      </c>
      <c r="B727" t="str">
        <f>IFERROR(VLOOKUP($A727,'[5]Study Budget Mapping '!$O$2:$P$532,2,0),"TBA")</f>
        <v>TBA</v>
      </c>
      <c r="D727" s="2" t="s">
        <v>163</v>
      </c>
      <c r="E727" s="2" t="s">
        <v>23</v>
      </c>
      <c r="F727" s="3">
        <v>707328</v>
      </c>
      <c r="G727" s="3">
        <v>0</v>
      </c>
      <c r="H727" s="4"/>
      <c r="I727" s="4"/>
      <c r="J727" s="4"/>
      <c r="K727" s="4"/>
      <c r="L727" s="4"/>
      <c r="M727" s="4"/>
    </row>
    <row r="728" spans="1:13" ht="15" customHeight="1" x14ac:dyDescent="0.35">
      <c r="A728" t="str">
        <f t="shared" si="11"/>
        <v>P620IM08C3731</v>
      </c>
      <c r="B728" t="str">
        <f>IFERROR(VLOOKUP($A728,'[5]Study Budget Mapping '!$O$2:$P$532,2,0),"TBA")</f>
        <v>TBA</v>
      </c>
      <c r="D728" s="2" t="s">
        <v>164</v>
      </c>
      <c r="E728" s="2" t="s">
        <v>13</v>
      </c>
      <c r="F728" s="3">
        <v>12600000</v>
      </c>
      <c r="G728" s="3">
        <v>0</v>
      </c>
      <c r="H728" s="4"/>
      <c r="I728" s="4"/>
      <c r="J728" s="4"/>
      <c r="K728" s="4"/>
      <c r="L728" s="4"/>
      <c r="M728" s="4"/>
    </row>
    <row r="729" spans="1:13" ht="15" customHeight="1" x14ac:dyDescent="0.35">
      <c r="A729" t="str">
        <f t="shared" si="11"/>
        <v>P620IM08C3731</v>
      </c>
      <c r="B729" t="str">
        <f>IFERROR(VLOOKUP($A729,'[5]Study Budget Mapping '!$O$2:$P$532,2,0),"TBA")</f>
        <v>TBA</v>
      </c>
      <c r="D729" s="2" t="s">
        <v>164</v>
      </c>
      <c r="E729" s="2" t="s">
        <v>14</v>
      </c>
      <c r="F729" s="3">
        <v>4210500</v>
      </c>
      <c r="G729" s="3">
        <v>0</v>
      </c>
      <c r="H729" s="4"/>
      <c r="I729" s="4"/>
      <c r="J729" s="4"/>
      <c r="K729" s="4"/>
      <c r="L729" s="4"/>
      <c r="M729" s="4"/>
    </row>
    <row r="730" spans="1:13" ht="15" customHeight="1" x14ac:dyDescent="0.35">
      <c r="A730" t="str">
        <f t="shared" si="11"/>
        <v>P620IM08C3731</v>
      </c>
      <c r="B730" t="str">
        <f>IFERROR(VLOOKUP($A730,'[5]Study Budget Mapping '!$O$2:$P$532,2,0),"TBA")</f>
        <v>TBA</v>
      </c>
      <c r="D730" s="2" t="s">
        <v>164</v>
      </c>
      <c r="E730" s="2" t="s">
        <v>19</v>
      </c>
      <c r="F730" s="3">
        <v>525000</v>
      </c>
      <c r="G730" s="3">
        <v>0</v>
      </c>
      <c r="H730" s="4"/>
      <c r="I730" s="4"/>
      <c r="J730" s="4"/>
      <c r="K730" s="4"/>
      <c r="L730" s="4"/>
      <c r="M730" s="4"/>
    </row>
    <row r="731" spans="1:13" ht="15" customHeight="1" x14ac:dyDescent="0.35">
      <c r="A731" t="str">
        <f t="shared" si="11"/>
        <v>P620IM08C3731</v>
      </c>
      <c r="B731" t="str">
        <f>IFERROR(VLOOKUP($A731,'[5]Study Budget Mapping '!$O$2:$P$532,2,0),"TBA")</f>
        <v>TBA</v>
      </c>
      <c r="D731" s="2" t="s">
        <v>164</v>
      </c>
      <c r="E731" s="2" t="s">
        <v>15</v>
      </c>
      <c r="F731" s="3">
        <v>28412388</v>
      </c>
      <c r="G731" s="3">
        <v>48131112.234653853</v>
      </c>
      <c r="H731" s="4"/>
      <c r="I731" s="4"/>
      <c r="J731" s="4"/>
      <c r="K731" s="4"/>
      <c r="L731" s="4"/>
      <c r="M731" s="4"/>
    </row>
    <row r="732" spans="1:13" ht="15" customHeight="1" x14ac:dyDescent="0.35">
      <c r="A732" t="str">
        <f t="shared" si="11"/>
        <v>P620IM08C3731</v>
      </c>
      <c r="B732" t="str">
        <f>IFERROR(VLOOKUP($A732,'[5]Study Budget Mapping '!$O$2:$P$532,2,0),"TBA")</f>
        <v>TBA</v>
      </c>
      <c r="D732" s="2" t="s">
        <v>164</v>
      </c>
      <c r="E732" s="2" t="s">
        <v>16</v>
      </c>
      <c r="F732" s="3">
        <v>4448438</v>
      </c>
      <c r="G732" s="3">
        <v>0</v>
      </c>
      <c r="H732" s="4"/>
      <c r="I732" s="4"/>
      <c r="J732" s="4"/>
      <c r="K732" s="4"/>
      <c r="L732" s="4"/>
      <c r="M732" s="4"/>
    </row>
    <row r="733" spans="1:13" ht="15" customHeight="1" x14ac:dyDescent="0.35">
      <c r="A733" t="str">
        <f t="shared" si="11"/>
        <v>P620IM08C3731</v>
      </c>
      <c r="B733" t="str">
        <f>IFERROR(VLOOKUP($A733,'[5]Study Budget Mapping '!$O$2:$P$532,2,0),"TBA")</f>
        <v>TBA</v>
      </c>
      <c r="D733" s="2" t="s">
        <v>164</v>
      </c>
      <c r="E733" s="2" t="s">
        <v>23</v>
      </c>
      <c r="F733" s="3">
        <v>945000</v>
      </c>
      <c r="G733" s="3">
        <v>0</v>
      </c>
      <c r="H733" s="4"/>
      <c r="I733" s="4"/>
      <c r="J733" s="4"/>
      <c r="K733" s="4"/>
      <c r="L733" s="4"/>
      <c r="M733" s="4"/>
    </row>
    <row r="734" spans="1:13" ht="15" customHeight="1" x14ac:dyDescent="0.35">
      <c r="A734" t="str">
        <f t="shared" si="11"/>
        <v>P620IM08C3733</v>
      </c>
      <c r="B734" t="str">
        <f>IFERROR(VLOOKUP($A734,'[5]Study Budget Mapping '!$O$2:$P$532,2,0),"TBA")</f>
        <v>TBA</v>
      </c>
      <c r="D734" s="2" t="s">
        <v>165</v>
      </c>
      <c r="E734" s="2" t="s">
        <v>13</v>
      </c>
      <c r="F734" s="3">
        <v>12600000</v>
      </c>
      <c r="G734" s="3">
        <v>0</v>
      </c>
      <c r="H734" s="4"/>
      <c r="I734" s="4"/>
      <c r="J734" s="4"/>
      <c r="K734" s="4"/>
      <c r="L734" s="4"/>
      <c r="M734" s="4"/>
    </row>
    <row r="735" spans="1:13" ht="15" customHeight="1" x14ac:dyDescent="0.35">
      <c r="A735" t="str">
        <f t="shared" si="11"/>
        <v>P620IM08C3733</v>
      </c>
      <c r="B735" t="str">
        <f>IFERROR(VLOOKUP($A735,'[5]Study Budget Mapping '!$O$2:$P$532,2,0),"TBA")</f>
        <v>TBA</v>
      </c>
      <c r="D735" s="2" t="s">
        <v>165</v>
      </c>
      <c r="E735" s="2" t="s">
        <v>14</v>
      </c>
      <c r="F735" s="3">
        <v>4210500</v>
      </c>
      <c r="G735" s="3">
        <v>0</v>
      </c>
      <c r="H735" s="4"/>
      <c r="I735" s="4"/>
      <c r="J735" s="4"/>
      <c r="K735" s="4"/>
      <c r="L735" s="4"/>
      <c r="M735" s="4"/>
    </row>
    <row r="736" spans="1:13" ht="15" customHeight="1" x14ac:dyDescent="0.35">
      <c r="A736" t="str">
        <f t="shared" si="11"/>
        <v>P620IM08C3733</v>
      </c>
      <c r="B736" t="str">
        <f>IFERROR(VLOOKUP($A736,'[5]Study Budget Mapping '!$O$2:$P$532,2,0),"TBA")</f>
        <v>TBA</v>
      </c>
      <c r="D736" s="2" t="s">
        <v>165</v>
      </c>
      <c r="E736" s="2" t="s">
        <v>19</v>
      </c>
      <c r="F736" s="3">
        <v>525000</v>
      </c>
      <c r="G736" s="3">
        <v>0</v>
      </c>
      <c r="H736" s="4"/>
      <c r="I736" s="4"/>
      <c r="J736" s="4"/>
      <c r="K736" s="4"/>
      <c r="L736" s="4"/>
      <c r="M736" s="4"/>
    </row>
    <row r="737" spans="1:13" ht="15" customHeight="1" x14ac:dyDescent="0.35">
      <c r="A737" t="str">
        <f t="shared" si="11"/>
        <v>P620IM08C3733</v>
      </c>
      <c r="B737" t="str">
        <f>IFERROR(VLOOKUP($A737,'[5]Study Budget Mapping '!$O$2:$P$532,2,0),"TBA")</f>
        <v>TBA</v>
      </c>
      <c r="D737" s="2" t="s">
        <v>165</v>
      </c>
      <c r="E737" s="2" t="s">
        <v>15</v>
      </c>
      <c r="F737" s="3">
        <v>28004982</v>
      </c>
      <c r="G737" s="3">
        <v>48029692.869999997</v>
      </c>
      <c r="H737" s="4"/>
      <c r="I737" s="4"/>
      <c r="J737" s="4"/>
      <c r="K737" s="4"/>
      <c r="L737" s="4"/>
      <c r="M737" s="4"/>
    </row>
    <row r="738" spans="1:13" ht="15" customHeight="1" x14ac:dyDescent="0.35">
      <c r="A738" t="str">
        <f t="shared" si="11"/>
        <v>P620IM08C3733</v>
      </c>
      <c r="B738" t="str">
        <f>IFERROR(VLOOKUP($A738,'[5]Study Budget Mapping '!$O$2:$P$532,2,0),"TBA")</f>
        <v>TBA</v>
      </c>
      <c r="D738" s="2" t="s">
        <v>165</v>
      </c>
      <c r="E738" s="2" t="s">
        <v>16</v>
      </c>
      <c r="F738" s="3">
        <v>4448438</v>
      </c>
      <c r="G738" s="3">
        <v>0</v>
      </c>
      <c r="H738" s="4"/>
      <c r="I738" s="4"/>
      <c r="J738" s="4"/>
      <c r="K738" s="4"/>
      <c r="L738" s="4"/>
      <c r="M738" s="4"/>
    </row>
    <row r="739" spans="1:13" ht="15" customHeight="1" x14ac:dyDescent="0.35">
      <c r="A739" t="str">
        <f t="shared" si="11"/>
        <v>P620IM08C3733</v>
      </c>
      <c r="B739" t="str">
        <f>IFERROR(VLOOKUP($A739,'[5]Study Budget Mapping '!$O$2:$P$532,2,0),"TBA")</f>
        <v>TBA</v>
      </c>
      <c r="D739" s="2" t="s">
        <v>165</v>
      </c>
      <c r="E739" s="2" t="s">
        <v>23</v>
      </c>
      <c r="F739" s="3">
        <v>945000</v>
      </c>
      <c r="G739" s="3">
        <v>0</v>
      </c>
      <c r="H739" s="4"/>
      <c r="I739" s="4"/>
      <c r="J739" s="4"/>
      <c r="K739" s="4"/>
      <c r="L739" s="4"/>
      <c r="M739" s="4"/>
    </row>
    <row r="740" spans="1:13" ht="15" customHeight="1" x14ac:dyDescent="0.35">
      <c r="A740" t="str">
        <f t="shared" si="11"/>
        <v>P620IM08C3734</v>
      </c>
      <c r="B740" t="str">
        <f>IFERROR(VLOOKUP($A740,'[5]Study Budget Mapping '!$O$2:$P$532,2,0),"TBA")</f>
        <v>TBA</v>
      </c>
      <c r="D740" s="2" t="s">
        <v>166</v>
      </c>
      <c r="E740" s="2" t="s">
        <v>13</v>
      </c>
      <c r="F740" s="3">
        <v>9758344</v>
      </c>
      <c r="G740" s="3">
        <v>0</v>
      </c>
      <c r="H740" s="4"/>
      <c r="I740" s="4"/>
      <c r="J740" s="4"/>
      <c r="K740" s="4"/>
      <c r="L740" s="4"/>
      <c r="M740" s="4"/>
    </row>
    <row r="741" spans="1:13" ht="15" customHeight="1" x14ac:dyDescent="0.35">
      <c r="A741" t="str">
        <f t="shared" si="11"/>
        <v>P620IM08C3734</v>
      </c>
      <c r="B741" t="str">
        <f>IFERROR(VLOOKUP($A741,'[5]Study Budget Mapping '!$O$2:$P$532,2,0),"TBA")</f>
        <v>TBA</v>
      </c>
      <c r="D741" s="2" t="s">
        <v>166</v>
      </c>
      <c r="E741" s="2" t="s">
        <v>14</v>
      </c>
      <c r="F741" s="3">
        <v>1952751</v>
      </c>
      <c r="G741" s="3">
        <v>0</v>
      </c>
      <c r="H741" s="4"/>
      <c r="I741" s="4"/>
      <c r="J741" s="4"/>
      <c r="K741" s="4"/>
      <c r="L741" s="4"/>
      <c r="M741" s="4"/>
    </row>
    <row r="742" spans="1:13" ht="15" customHeight="1" x14ac:dyDescent="0.35">
      <c r="A742" t="str">
        <f t="shared" si="11"/>
        <v>P620IM08C3734</v>
      </c>
      <c r="B742" t="str">
        <f>IFERROR(VLOOKUP($A742,'[5]Study Budget Mapping '!$O$2:$P$532,2,0),"TBA")</f>
        <v>TBA</v>
      </c>
      <c r="D742" s="2" t="s">
        <v>166</v>
      </c>
      <c r="E742" s="2" t="s">
        <v>19</v>
      </c>
      <c r="F742" s="3">
        <v>1116670</v>
      </c>
      <c r="G742" s="3">
        <v>0</v>
      </c>
      <c r="H742" s="4"/>
      <c r="I742" s="4"/>
      <c r="J742" s="4"/>
      <c r="K742" s="4"/>
      <c r="L742" s="4"/>
      <c r="M742" s="4"/>
    </row>
    <row r="743" spans="1:13" ht="15" customHeight="1" x14ac:dyDescent="0.35">
      <c r="A743" t="str">
        <f t="shared" si="11"/>
        <v>P620IM08C3734</v>
      </c>
      <c r="B743" t="str">
        <f>IFERROR(VLOOKUP($A743,'[5]Study Budget Mapping '!$O$2:$P$532,2,0),"TBA")</f>
        <v>TBA</v>
      </c>
      <c r="D743" s="2" t="s">
        <v>166</v>
      </c>
      <c r="E743" s="2" t="s">
        <v>15</v>
      </c>
      <c r="F743" s="3">
        <v>32466652</v>
      </c>
      <c r="G743" s="3">
        <v>43296373.380000003</v>
      </c>
      <c r="H743" s="4"/>
      <c r="I743" s="4"/>
      <c r="J743" s="4"/>
      <c r="K743" s="4"/>
      <c r="L743" s="4"/>
      <c r="M743" s="4"/>
    </row>
    <row r="744" spans="1:13" ht="15" customHeight="1" x14ac:dyDescent="0.35">
      <c r="A744" t="str">
        <f t="shared" si="11"/>
        <v>P620IM08C3734</v>
      </c>
      <c r="B744" t="str">
        <f>IFERROR(VLOOKUP($A744,'[5]Study Budget Mapping '!$O$2:$P$532,2,0),"TBA")</f>
        <v>TBA</v>
      </c>
      <c r="D744" s="2" t="s">
        <v>166</v>
      </c>
      <c r="E744" s="2" t="s">
        <v>16</v>
      </c>
      <c r="F744" s="3">
        <v>5033118</v>
      </c>
      <c r="G744" s="3">
        <v>0</v>
      </c>
      <c r="H744" s="4"/>
      <c r="I744" s="4"/>
      <c r="J744" s="4"/>
      <c r="K744" s="4"/>
      <c r="L744" s="4"/>
      <c r="M744" s="4"/>
    </row>
    <row r="745" spans="1:13" ht="15" customHeight="1" x14ac:dyDescent="0.35">
      <c r="A745" t="str">
        <f t="shared" si="11"/>
        <v>P620IM08C3734</v>
      </c>
      <c r="B745" t="str">
        <f>IFERROR(VLOOKUP($A745,'[5]Study Budget Mapping '!$O$2:$P$532,2,0),"TBA")</f>
        <v>TBA</v>
      </c>
      <c r="D745" s="2" t="s">
        <v>166</v>
      </c>
      <c r="E745" s="2" t="s">
        <v>23</v>
      </c>
      <c r="F745" s="3">
        <v>287858</v>
      </c>
      <c r="G745" s="3">
        <v>0</v>
      </c>
      <c r="H745" s="4"/>
      <c r="I745" s="4"/>
      <c r="J745" s="4"/>
      <c r="K745" s="4"/>
      <c r="L745" s="4"/>
      <c r="M745" s="4"/>
    </row>
    <row r="746" spans="1:13" ht="15" customHeight="1" x14ac:dyDescent="0.35">
      <c r="A746" t="str">
        <f t="shared" si="11"/>
        <v>P620IM08C3932</v>
      </c>
      <c r="B746" t="str">
        <f>IFERROR(VLOOKUP($A746,'[5]Study Budget Mapping '!$O$2:$P$532,2,0),"TBA")</f>
        <v>TBA</v>
      </c>
      <c r="D746" s="2" t="s">
        <v>167</v>
      </c>
      <c r="E746" s="2" t="s">
        <v>13</v>
      </c>
      <c r="F746" s="3">
        <v>19300424</v>
      </c>
      <c r="G746" s="3">
        <v>0</v>
      </c>
      <c r="H746" s="4"/>
      <c r="I746" s="4"/>
      <c r="J746" s="4"/>
      <c r="K746" s="4"/>
      <c r="L746" s="4"/>
      <c r="M746" s="4"/>
    </row>
    <row r="747" spans="1:13" ht="15" customHeight="1" x14ac:dyDescent="0.35">
      <c r="A747" t="str">
        <f t="shared" si="11"/>
        <v>P620IM08C3932</v>
      </c>
      <c r="B747" t="str">
        <f>IFERROR(VLOOKUP($A747,'[5]Study Budget Mapping '!$O$2:$P$532,2,0),"TBA")</f>
        <v>TBA</v>
      </c>
      <c r="D747" s="2" t="s">
        <v>167</v>
      </c>
      <c r="E747" s="2" t="s">
        <v>14</v>
      </c>
      <c r="F747" s="3">
        <v>11783953</v>
      </c>
      <c r="G747" s="3">
        <v>0</v>
      </c>
      <c r="H747" s="4"/>
      <c r="I747" s="4"/>
      <c r="J747" s="4"/>
      <c r="K747" s="4"/>
      <c r="L747" s="4"/>
      <c r="M747" s="4"/>
    </row>
    <row r="748" spans="1:13" ht="15" customHeight="1" x14ac:dyDescent="0.35">
      <c r="A748" t="str">
        <f t="shared" si="11"/>
        <v>P620IM08C3932</v>
      </c>
      <c r="B748" t="str">
        <f>IFERROR(VLOOKUP($A748,'[5]Study Budget Mapping '!$O$2:$P$532,2,0),"TBA")</f>
        <v>TBA</v>
      </c>
      <c r="D748" s="2" t="s">
        <v>167</v>
      </c>
      <c r="E748" s="2" t="s">
        <v>19</v>
      </c>
      <c r="F748" s="3">
        <v>536364</v>
      </c>
      <c r="G748" s="3">
        <v>0</v>
      </c>
      <c r="H748" s="4"/>
      <c r="I748" s="4"/>
      <c r="J748" s="4"/>
      <c r="K748" s="4"/>
      <c r="L748" s="4"/>
      <c r="M748" s="4"/>
    </row>
    <row r="749" spans="1:13" ht="15" customHeight="1" x14ac:dyDescent="0.35">
      <c r="A749" t="str">
        <f t="shared" si="11"/>
        <v>P620IM08C3932</v>
      </c>
      <c r="B749" t="str">
        <f>IFERROR(VLOOKUP($A749,'[5]Study Budget Mapping '!$O$2:$P$532,2,0),"TBA")</f>
        <v>TBA</v>
      </c>
      <c r="D749" s="2" t="s">
        <v>167</v>
      </c>
      <c r="E749" s="2" t="s">
        <v>15</v>
      </c>
      <c r="F749" s="3">
        <v>68004911</v>
      </c>
      <c r="G749" s="3">
        <v>97550380.623561084</v>
      </c>
      <c r="H749" s="4"/>
      <c r="I749" s="4"/>
      <c r="J749" s="4"/>
      <c r="K749" s="4"/>
      <c r="L749" s="4"/>
      <c r="M749" s="4"/>
    </row>
    <row r="750" spans="1:13" ht="15" customHeight="1" x14ac:dyDescent="0.35">
      <c r="A750" t="str">
        <f t="shared" si="11"/>
        <v>P620IM08C3932</v>
      </c>
      <c r="B750" t="str">
        <f>IFERROR(VLOOKUP($A750,'[5]Study Budget Mapping '!$O$2:$P$532,2,0),"TBA")</f>
        <v>TBA</v>
      </c>
      <c r="D750" s="2" t="s">
        <v>167</v>
      </c>
      <c r="E750" s="2" t="s">
        <v>16</v>
      </c>
      <c r="F750" s="3">
        <v>14510587</v>
      </c>
      <c r="G750" s="3">
        <v>0</v>
      </c>
      <c r="H750" s="4"/>
      <c r="I750" s="4"/>
      <c r="J750" s="4"/>
      <c r="K750" s="4"/>
      <c r="L750" s="4"/>
      <c r="M750" s="4"/>
    </row>
    <row r="751" spans="1:13" ht="15" customHeight="1" x14ac:dyDescent="0.35">
      <c r="A751" t="str">
        <f t="shared" si="11"/>
        <v>P620IM08C3932</v>
      </c>
      <c r="B751" t="str">
        <f>IFERROR(VLOOKUP($A751,'[5]Study Budget Mapping '!$O$2:$P$532,2,0),"TBA")</f>
        <v>TBA</v>
      </c>
      <c r="D751" s="2" t="s">
        <v>167</v>
      </c>
      <c r="E751" s="2" t="s">
        <v>23</v>
      </c>
      <c r="F751" s="3">
        <v>3700000</v>
      </c>
      <c r="G751" s="3">
        <v>0</v>
      </c>
      <c r="H751" s="4"/>
      <c r="I751" s="4"/>
      <c r="J751" s="4"/>
      <c r="K751" s="4"/>
      <c r="L751" s="4"/>
      <c r="M751" s="4"/>
    </row>
    <row r="752" spans="1:13" ht="15" customHeight="1" x14ac:dyDescent="0.35">
      <c r="A752" t="str">
        <f t="shared" si="11"/>
        <v>P620IM12C0211</v>
      </c>
      <c r="B752" t="str">
        <f>IFERROR(VLOOKUP($A752,'[5]Study Budget Mapping '!$O$2:$P$532,2,0),"TBA")</f>
        <v>TBA</v>
      </c>
      <c r="D752" s="2" t="s">
        <v>168</v>
      </c>
      <c r="E752" s="2" t="s">
        <v>13</v>
      </c>
      <c r="F752" s="3">
        <v>313115</v>
      </c>
      <c r="G752" s="3">
        <v>0</v>
      </c>
      <c r="H752" s="4"/>
      <c r="I752" s="4"/>
      <c r="J752" s="4"/>
      <c r="K752" s="4"/>
      <c r="L752" s="4"/>
      <c r="M752" s="4"/>
    </row>
    <row r="753" spans="1:13" ht="15" customHeight="1" x14ac:dyDescent="0.35">
      <c r="A753" t="str">
        <f t="shared" si="11"/>
        <v>P620IM12C0211</v>
      </c>
      <c r="B753" t="str">
        <f>IFERROR(VLOOKUP($A753,'[5]Study Budget Mapping '!$O$2:$P$532,2,0),"TBA")</f>
        <v>TBA</v>
      </c>
      <c r="D753" s="2" t="s">
        <v>168</v>
      </c>
      <c r="E753" s="2" t="s">
        <v>15</v>
      </c>
      <c r="F753" s="3">
        <v>0</v>
      </c>
      <c r="G753" s="3">
        <v>303370</v>
      </c>
      <c r="H753" s="4"/>
      <c r="I753" s="4"/>
      <c r="J753" s="4"/>
      <c r="K753" s="4"/>
      <c r="L753" s="4"/>
      <c r="M753" s="4"/>
    </row>
    <row r="754" spans="1:13" ht="15" customHeight="1" x14ac:dyDescent="0.35">
      <c r="A754" t="str">
        <f t="shared" si="11"/>
        <v>P620IM00C3732</v>
      </c>
      <c r="B754" t="str">
        <f>IFERROR(VLOOKUP($A754,'[5]Study Budget Mapping '!$O$2:$P$532,2,0),"TBA")</f>
        <v>TBA</v>
      </c>
      <c r="D754" s="2" t="s">
        <v>169</v>
      </c>
      <c r="E754" s="2" t="s">
        <v>13</v>
      </c>
      <c r="F754" s="3">
        <v>22228000</v>
      </c>
      <c r="G754" s="3">
        <v>6925000</v>
      </c>
      <c r="H754" s="4"/>
      <c r="I754" s="4"/>
      <c r="J754" s="4"/>
      <c r="K754" s="4"/>
      <c r="L754" s="4"/>
      <c r="M754" s="4"/>
    </row>
    <row r="755" spans="1:13" ht="15" customHeight="1" x14ac:dyDescent="0.35">
      <c r="A755" t="str">
        <f t="shared" si="11"/>
        <v>P620IM00C3732</v>
      </c>
      <c r="B755" t="str">
        <f>IFERROR(VLOOKUP($A755,'[5]Study Budget Mapping '!$O$2:$P$532,2,0),"TBA")</f>
        <v>TBA</v>
      </c>
      <c r="D755" s="2" t="s">
        <v>169</v>
      </c>
      <c r="E755" s="2" t="s">
        <v>14</v>
      </c>
      <c r="F755" s="3">
        <v>5400000</v>
      </c>
      <c r="G755" s="3">
        <v>1960000</v>
      </c>
      <c r="H755" s="4"/>
      <c r="I755" s="4"/>
      <c r="J755" s="4"/>
      <c r="K755" s="4"/>
      <c r="L755" s="4"/>
      <c r="M755" s="4"/>
    </row>
    <row r="756" spans="1:13" ht="15" customHeight="1" x14ac:dyDescent="0.35">
      <c r="A756" t="str">
        <f t="shared" si="11"/>
        <v>P620IM00C3732</v>
      </c>
      <c r="B756" t="str">
        <f>IFERROR(VLOOKUP($A756,'[5]Study Budget Mapping '!$O$2:$P$532,2,0),"TBA")</f>
        <v>TBA</v>
      </c>
      <c r="D756" s="2" t="s">
        <v>169</v>
      </c>
      <c r="E756" s="2" t="s">
        <v>19</v>
      </c>
      <c r="F756" s="3">
        <v>5410000</v>
      </c>
      <c r="G756" s="3">
        <v>2827000</v>
      </c>
      <c r="H756" s="4"/>
      <c r="I756" s="4"/>
      <c r="J756" s="4"/>
      <c r="K756" s="4"/>
      <c r="L756" s="4"/>
      <c r="M756" s="4"/>
    </row>
    <row r="757" spans="1:13" ht="15" customHeight="1" x14ac:dyDescent="0.35">
      <c r="A757" t="str">
        <f t="shared" si="11"/>
        <v>P620IM00C3732</v>
      </c>
      <c r="B757" t="str">
        <f>IFERROR(VLOOKUP($A757,'[5]Study Budget Mapping '!$O$2:$P$532,2,0),"TBA")</f>
        <v>TBA</v>
      </c>
      <c r="D757" s="2" t="s">
        <v>169</v>
      </c>
      <c r="E757" s="2" t="s">
        <v>20</v>
      </c>
      <c r="F757" s="3">
        <v>0</v>
      </c>
      <c r="G757" s="3">
        <v>460000</v>
      </c>
      <c r="H757" s="4"/>
      <c r="I757" s="4"/>
      <c r="J757" s="4"/>
      <c r="K757" s="4"/>
      <c r="L757" s="4"/>
      <c r="M757" s="4"/>
    </row>
    <row r="758" spans="1:13" ht="15" customHeight="1" x14ac:dyDescent="0.35">
      <c r="A758" t="str">
        <f t="shared" si="11"/>
        <v>P620IM00C3732</v>
      </c>
      <c r="B758" t="str">
        <f>IFERROR(VLOOKUP($A758,'[5]Study Budget Mapping '!$O$2:$P$532,2,0),"TBA")</f>
        <v>TBA</v>
      </c>
      <c r="D758" s="2" t="s">
        <v>169</v>
      </c>
      <c r="E758" s="2" t="s">
        <v>15</v>
      </c>
      <c r="F758" s="3">
        <v>21565000</v>
      </c>
      <c r="G758" s="3">
        <v>11050000</v>
      </c>
      <c r="H758" s="4"/>
      <c r="I758" s="4"/>
      <c r="J758" s="4"/>
      <c r="K758" s="4"/>
      <c r="L758" s="4"/>
      <c r="M758" s="4"/>
    </row>
    <row r="759" spans="1:13" ht="15" customHeight="1" x14ac:dyDescent="0.35">
      <c r="A759" t="str">
        <f t="shared" si="11"/>
        <v>P620IM00C3732</v>
      </c>
      <c r="B759" t="str">
        <f>IFERROR(VLOOKUP($A759,'[5]Study Budget Mapping '!$O$2:$P$532,2,0),"TBA")</f>
        <v>TBA</v>
      </c>
      <c r="D759" s="2" t="s">
        <v>169</v>
      </c>
      <c r="E759" s="2" t="s">
        <v>22</v>
      </c>
      <c r="F759" s="3">
        <v>1104000</v>
      </c>
      <c r="G759" s="3">
        <v>1190000</v>
      </c>
      <c r="H759" s="4"/>
      <c r="I759" s="4"/>
      <c r="J759" s="4"/>
      <c r="K759" s="4"/>
      <c r="L759" s="4"/>
      <c r="M759" s="4"/>
    </row>
    <row r="760" spans="1:13" ht="15" customHeight="1" x14ac:dyDescent="0.35">
      <c r="A760" t="str">
        <f t="shared" si="11"/>
        <v>P620IM00C3732</v>
      </c>
      <c r="B760" t="str">
        <f>IFERROR(VLOOKUP($A760,'[5]Study Budget Mapping '!$O$2:$P$532,2,0),"TBA")</f>
        <v>TBA</v>
      </c>
      <c r="D760" s="2" t="s">
        <v>169</v>
      </c>
      <c r="E760" s="2" t="s">
        <v>16</v>
      </c>
      <c r="F760" s="3">
        <v>2720000</v>
      </c>
      <c r="G760" s="3">
        <v>2180000</v>
      </c>
      <c r="H760" s="4"/>
      <c r="I760" s="4"/>
      <c r="J760" s="4"/>
      <c r="K760" s="4"/>
      <c r="L760" s="4"/>
      <c r="M760" s="4"/>
    </row>
    <row r="761" spans="1:13" ht="15" customHeight="1" x14ac:dyDescent="0.35">
      <c r="A761" t="str">
        <f t="shared" si="11"/>
        <v>P620IM00C3732</v>
      </c>
      <c r="B761" t="str">
        <f>IFERROR(VLOOKUP($A761,'[5]Study Budget Mapping '!$O$2:$P$532,2,0),"TBA")</f>
        <v>TBA</v>
      </c>
      <c r="D761" s="2" t="s">
        <v>169</v>
      </c>
      <c r="E761" s="2" t="s">
        <v>17</v>
      </c>
      <c r="F761" s="3">
        <v>600000</v>
      </c>
      <c r="G761" s="3">
        <v>740000</v>
      </c>
      <c r="H761" s="4"/>
      <c r="I761" s="4"/>
      <c r="J761" s="4"/>
      <c r="K761" s="4"/>
      <c r="L761" s="4"/>
      <c r="M761" s="4"/>
    </row>
    <row r="762" spans="1:13" ht="15" customHeight="1" x14ac:dyDescent="0.35">
      <c r="A762" t="str">
        <f t="shared" si="11"/>
        <v>P620IM00C3732</v>
      </c>
      <c r="B762" t="str">
        <f>IFERROR(VLOOKUP($A762,'[5]Study Budget Mapping '!$O$2:$P$532,2,0),"TBA")</f>
        <v>TBA</v>
      </c>
      <c r="D762" s="2" t="s">
        <v>169</v>
      </c>
      <c r="E762" s="2" t="s">
        <v>23</v>
      </c>
      <c r="F762" s="3">
        <v>0</v>
      </c>
      <c r="G762" s="3">
        <v>280000</v>
      </c>
      <c r="H762" s="4"/>
      <c r="I762" s="4"/>
      <c r="J762" s="4"/>
      <c r="K762" s="4"/>
      <c r="L762" s="4"/>
      <c r="M762" s="4"/>
    </row>
    <row r="763" spans="1:13" ht="15" customHeight="1" x14ac:dyDescent="0.35">
      <c r="A763" t="str">
        <f t="shared" si="11"/>
        <v>P620IM00C3732</v>
      </c>
      <c r="B763" t="str">
        <f>IFERROR(VLOOKUP($A763,'[5]Study Budget Mapping '!$O$2:$P$532,2,0),"TBA")</f>
        <v>TBA</v>
      </c>
      <c r="D763" s="2" t="s">
        <v>169</v>
      </c>
      <c r="E763" s="2" t="s">
        <v>24</v>
      </c>
      <c r="F763" s="3">
        <v>2110000</v>
      </c>
      <c r="G763" s="3">
        <v>735000</v>
      </c>
      <c r="H763" s="4"/>
      <c r="I763" s="4"/>
      <c r="J763" s="4"/>
      <c r="K763" s="4"/>
      <c r="L763" s="4"/>
      <c r="M763" s="4"/>
    </row>
    <row r="764" spans="1:13" ht="15" customHeight="1" x14ac:dyDescent="0.35">
      <c r="A764" t="str">
        <f t="shared" si="11"/>
        <v>P620IM00C3732</v>
      </c>
      <c r="B764" t="str">
        <f>IFERROR(VLOOKUP($A764,'[5]Study Budget Mapping '!$O$2:$P$532,2,0),"TBA")</f>
        <v>TBA</v>
      </c>
      <c r="D764" s="2" t="s">
        <v>169</v>
      </c>
      <c r="E764" s="2" t="s">
        <v>32</v>
      </c>
      <c r="F764" s="3">
        <v>500000</v>
      </c>
      <c r="G764" s="3">
        <v>0</v>
      </c>
      <c r="H764" s="4"/>
      <c r="I764" s="4"/>
      <c r="J764" s="4"/>
      <c r="K764" s="4"/>
      <c r="L764" s="4"/>
      <c r="M764" s="4"/>
    </row>
    <row r="765" spans="1:13" ht="15" customHeight="1" x14ac:dyDescent="0.35">
      <c r="A765" t="str">
        <f t="shared" si="11"/>
        <v>P620IM08C4015</v>
      </c>
      <c r="B765" t="str">
        <f>IFERROR(VLOOKUP($A765,'[5]Study Budget Mapping '!$O$2:$P$532,2,0),"TBA")</f>
        <v>TBA</v>
      </c>
      <c r="D765" s="2" t="s">
        <v>170</v>
      </c>
      <c r="E765" s="2" t="s">
        <v>13</v>
      </c>
      <c r="F765" s="3">
        <v>4790000</v>
      </c>
      <c r="G765" s="3">
        <v>4790000</v>
      </c>
      <c r="H765" s="4"/>
      <c r="I765" s="4"/>
      <c r="J765" s="4"/>
      <c r="K765" s="4"/>
      <c r="L765" s="4"/>
      <c r="M765" s="4"/>
    </row>
    <row r="766" spans="1:13" ht="15" customHeight="1" x14ac:dyDescent="0.35">
      <c r="A766" t="str">
        <f t="shared" si="11"/>
        <v>P620IM08C4015</v>
      </c>
      <c r="B766" t="str">
        <f>IFERROR(VLOOKUP($A766,'[5]Study Budget Mapping '!$O$2:$P$532,2,0),"TBA")</f>
        <v>TBA</v>
      </c>
      <c r="D766" s="2" t="s">
        <v>170</v>
      </c>
      <c r="E766" s="2" t="s">
        <v>14</v>
      </c>
      <c r="F766" s="3">
        <v>360000</v>
      </c>
      <c r="G766" s="3">
        <v>360000</v>
      </c>
      <c r="H766" s="4"/>
      <c r="I766" s="4"/>
      <c r="J766" s="4"/>
      <c r="K766" s="4"/>
      <c r="L766" s="4"/>
      <c r="M766" s="4"/>
    </row>
    <row r="767" spans="1:13" ht="15" customHeight="1" x14ac:dyDescent="0.35">
      <c r="A767" t="str">
        <f t="shared" si="11"/>
        <v>P620IM08C4015</v>
      </c>
      <c r="B767" t="str">
        <f>IFERROR(VLOOKUP($A767,'[5]Study Budget Mapping '!$O$2:$P$532,2,0),"TBA")</f>
        <v>TBA</v>
      </c>
      <c r="D767" s="2" t="s">
        <v>170</v>
      </c>
      <c r="E767" s="2" t="s">
        <v>19</v>
      </c>
      <c r="F767" s="3">
        <v>2350000</v>
      </c>
      <c r="G767" s="3">
        <v>2350000</v>
      </c>
      <c r="H767" s="4"/>
      <c r="I767" s="4"/>
      <c r="J767" s="4"/>
      <c r="K767" s="4"/>
      <c r="L767" s="4"/>
      <c r="M767" s="4"/>
    </row>
    <row r="768" spans="1:13" ht="15" customHeight="1" x14ac:dyDescent="0.35">
      <c r="A768" t="str">
        <f t="shared" si="11"/>
        <v>P620IM08C4015</v>
      </c>
      <c r="B768" t="str">
        <f>IFERROR(VLOOKUP($A768,'[5]Study Budget Mapping '!$O$2:$P$532,2,0),"TBA")</f>
        <v>TBA</v>
      </c>
      <c r="D768" s="2" t="s">
        <v>170</v>
      </c>
      <c r="E768" s="2" t="s">
        <v>20</v>
      </c>
      <c r="F768" s="3">
        <v>450000</v>
      </c>
      <c r="G768" s="3">
        <v>450000</v>
      </c>
      <c r="H768" s="4"/>
      <c r="I768" s="4"/>
      <c r="J768" s="4"/>
      <c r="K768" s="4"/>
      <c r="L768" s="4"/>
      <c r="M768" s="4"/>
    </row>
    <row r="769" spans="1:13" ht="15" customHeight="1" x14ac:dyDescent="0.35">
      <c r="A769" t="str">
        <f t="shared" si="11"/>
        <v>P620IM08C4015</v>
      </c>
      <c r="B769" t="str">
        <f>IFERROR(VLOOKUP($A769,'[5]Study Budget Mapping '!$O$2:$P$532,2,0),"TBA")</f>
        <v>TBA</v>
      </c>
      <c r="D769" s="2" t="s">
        <v>170</v>
      </c>
      <c r="E769" s="2" t="s">
        <v>15</v>
      </c>
      <c r="F769" s="3">
        <v>3600000</v>
      </c>
      <c r="G769" s="3">
        <v>3600000</v>
      </c>
      <c r="H769" s="4"/>
      <c r="I769" s="4"/>
      <c r="J769" s="4"/>
      <c r="K769" s="4"/>
      <c r="L769" s="4"/>
      <c r="M769" s="4"/>
    </row>
    <row r="770" spans="1:13" ht="15" customHeight="1" x14ac:dyDescent="0.35">
      <c r="A770" t="str">
        <f t="shared" si="11"/>
        <v>P620IM08C4015</v>
      </c>
      <c r="B770" t="str">
        <f>IFERROR(VLOOKUP($A770,'[5]Study Budget Mapping '!$O$2:$P$532,2,0),"TBA")</f>
        <v>TBA</v>
      </c>
      <c r="D770" s="2" t="s">
        <v>170</v>
      </c>
      <c r="E770" s="2" t="s">
        <v>16</v>
      </c>
      <c r="F770" s="3">
        <v>1010000</v>
      </c>
      <c r="G770" s="3">
        <v>1010000</v>
      </c>
      <c r="H770" s="4"/>
      <c r="I770" s="4"/>
      <c r="J770" s="4"/>
      <c r="K770" s="4"/>
      <c r="L770" s="4"/>
      <c r="M770" s="4"/>
    </row>
    <row r="771" spans="1:13" ht="15" customHeight="1" x14ac:dyDescent="0.35">
      <c r="A771" t="str">
        <f t="shared" ref="A771:A834" si="12">TRIM(_xlfn.TEXTBEFORE(D771,"-",1))</f>
        <v>P620IM08C4015</v>
      </c>
      <c r="B771" t="str">
        <f>IFERROR(VLOOKUP($A771,'[5]Study Budget Mapping '!$O$2:$P$532,2,0),"TBA")</f>
        <v>TBA</v>
      </c>
      <c r="D771" s="2" t="s">
        <v>170</v>
      </c>
      <c r="E771" s="2" t="s">
        <v>17</v>
      </c>
      <c r="F771" s="3">
        <v>350000</v>
      </c>
      <c r="G771" s="3">
        <v>350000</v>
      </c>
      <c r="H771" s="4"/>
      <c r="I771" s="4"/>
      <c r="J771" s="4"/>
      <c r="K771" s="4"/>
      <c r="L771" s="4"/>
      <c r="M771" s="4"/>
    </row>
    <row r="772" spans="1:13" ht="15" customHeight="1" x14ac:dyDescent="0.35">
      <c r="A772" t="str">
        <f t="shared" si="12"/>
        <v>P620IM08C4015</v>
      </c>
      <c r="B772" t="str">
        <f>IFERROR(VLOOKUP($A772,'[5]Study Budget Mapping '!$O$2:$P$532,2,0),"TBA")</f>
        <v>TBA</v>
      </c>
      <c r="D772" s="2" t="s">
        <v>170</v>
      </c>
      <c r="E772" s="2" t="s">
        <v>26</v>
      </c>
      <c r="F772" s="3">
        <v>250000</v>
      </c>
      <c r="G772" s="3">
        <v>250000</v>
      </c>
      <c r="H772" s="4"/>
      <c r="I772" s="4"/>
      <c r="J772" s="4"/>
      <c r="K772" s="4"/>
      <c r="L772" s="4"/>
      <c r="M772" s="4"/>
    </row>
    <row r="773" spans="1:13" ht="15" customHeight="1" x14ac:dyDescent="0.35">
      <c r="A773" t="str">
        <f t="shared" si="12"/>
        <v>P620IM08C4015</v>
      </c>
      <c r="B773" t="str">
        <f>IFERROR(VLOOKUP($A773,'[5]Study Budget Mapping '!$O$2:$P$532,2,0),"TBA")</f>
        <v>TBA</v>
      </c>
      <c r="D773" s="2" t="s">
        <v>170</v>
      </c>
      <c r="E773" s="2" t="s">
        <v>23</v>
      </c>
      <c r="F773" s="3">
        <v>420000</v>
      </c>
      <c r="G773" s="3">
        <v>420000</v>
      </c>
      <c r="H773" s="4"/>
      <c r="I773" s="4"/>
      <c r="J773" s="4"/>
      <c r="K773" s="4"/>
      <c r="L773" s="4"/>
      <c r="M773" s="4"/>
    </row>
    <row r="774" spans="1:13" ht="15" customHeight="1" x14ac:dyDescent="0.35">
      <c r="A774" t="str">
        <f t="shared" si="12"/>
        <v>P620IM08C4015</v>
      </c>
      <c r="B774" t="str">
        <f>IFERROR(VLOOKUP($A774,'[5]Study Budget Mapping '!$O$2:$P$532,2,0),"TBA")</f>
        <v>TBA</v>
      </c>
      <c r="D774" s="2" t="s">
        <v>170</v>
      </c>
      <c r="E774" s="2" t="s">
        <v>24</v>
      </c>
      <c r="F774" s="3">
        <v>300000</v>
      </c>
      <c r="G774" s="3">
        <v>300000</v>
      </c>
      <c r="H774" s="4"/>
      <c r="I774" s="4"/>
      <c r="J774" s="4"/>
      <c r="K774" s="4"/>
      <c r="L774" s="4"/>
      <c r="M774" s="4"/>
    </row>
    <row r="775" spans="1:13" ht="15" customHeight="1" x14ac:dyDescent="0.35">
      <c r="A775" t="str">
        <f t="shared" si="12"/>
        <v>P620IM12C4011</v>
      </c>
      <c r="B775" t="str">
        <f>IFERROR(VLOOKUP($A775,'[5]Study Budget Mapping '!$O$2:$P$532,2,0),"TBA")</f>
        <v>TBA</v>
      </c>
      <c r="D775" s="2" t="s">
        <v>171</v>
      </c>
      <c r="E775" s="2" t="s">
        <v>13</v>
      </c>
      <c r="F775" s="3">
        <v>8590000</v>
      </c>
      <c r="G775" s="3">
        <v>9170000</v>
      </c>
      <c r="H775" s="4"/>
      <c r="I775" s="4"/>
      <c r="J775" s="4"/>
      <c r="K775" s="4"/>
      <c r="L775" s="4"/>
      <c r="M775" s="4"/>
    </row>
    <row r="776" spans="1:13" ht="15" customHeight="1" x14ac:dyDescent="0.35">
      <c r="A776" t="str">
        <f t="shared" si="12"/>
        <v>P620IM12C4011</v>
      </c>
      <c r="B776" t="str">
        <f>IFERROR(VLOOKUP($A776,'[5]Study Budget Mapping '!$O$2:$P$532,2,0),"TBA")</f>
        <v>TBA</v>
      </c>
      <c r="D776" s="2" t="s">
        <v>171</v>
      </c>
      <c r="E776" s="2" t="s">
        <v>19</v>
      </c>
      <c r="F776" s="3">
        <v>2815000</v>
      </c>
      <c r="G776" s="3">
        <v>1790000</v>
      </c>
      <c r="H776" s="4"/>
      <c r="I776" s="4"/>
      <c r="J776" s="4"/>
      <c r="K776" s="4"/>
      <c r="L776" s="4"/>
      <c r="M776" s="4"/>
    </row>
    <row r="777" spans="1:13" ht="15" customHeight="1" x14ac:dyDescent="0.35">
      <c r="A777" t="str">
        <f t="shared" si="12"/>
        <v>P620IM12C4011</v>
      </c>
      <c r="B777" t="str">
        <f>IFERROR(VLOOKUP($A777,'[5]Study Budget Mapping '!$O$2:$P$532,2,0),"TBA")</f>
        <v>TBA</v>
      </c>
      <c r="D777" s="2" t="s">
        <v>171</v>
      </c>
      <c r="E777" s="2" t="s">
        <v>20</v>
      </c>
      <c r="F777" s="3">
        <v>430000</v>
      </c>
      <c r="G777" s="3">
        <v>115000</v>
      </c>
      <c r="H777" s="4"/>
      <c r="I777" s="4"/>
      <c r="J777" s="4"/>
      <c r="K777" s="4"/>
      <c r="L777" s="4"/>
      <c r="M777" s="4"/>
    </row>
    <row r="778" spans="1:13" ht="15" customHeight="1" x14ac:dyDescent="0.35">
      <c r="A778" t="str">
        <f t="shared" si="12"/>
        <v>P620IM12C4011</v>
      </c>
      <c r="B778" t="str">
        <f>IFERROR(VLOOKUP($A778,'[5]Study Budget Mapping '!$O$2:$P$532,2,0),"TBA")</f>
        <v>TBA</v>
      </c>
      <c r="D778" s="2" t="s">
        <v>171</v>
      </c>
      <c r="E778" s="2" t="s">
        <v>15</v>
      </c>
      <c r="F778" s="3">
        <v>5975000</v>
      </c>
      <c r="G778" s="3">
        <v>5780000</v>
      </c>
      <c r="H778" s="4"/>
      <c r="I778" s="4"/>
      <c r="J778" s="4"/>
      <c r="K778" s="4"/>
      <c r="L778" s="4"/>
      <c r="M778" s="4"/>
    </row>
    <row r="779" spans="1:13" ht="15" customHeight="1" x14ac:dyDescent="0.35">
      <c r="A779" t="str">
        <f t="shared" si="12"/>
        <v>P620IM12C4011</v>
      </c>
      <c r="B779" t="str">
        <f>IFERROR(VLOOKUP($A779,'[5]Study Budget Mapping '!$O$2:$P$532,2,0),"TBA")</f>
        <v>TBA</v>
      </c>
      <c r="D779" s="2" t="s">
        <v>171</v>
      </c>
      <c r="E779" s="2" t="s">
        <v>22</v>
      </c>
      <c r="F779" s="3">
        <v>1260000</v>
      </c>
      <c r="G779" s="3">
        <v>1260000</v>
      </c>
      <c r="H779" s="4"/>
      <c r="I779" s="4"/>
      <c r="J779" s="4"/>
      <c r="K779" s="4"/>
      <c r="L779" s="4"/>
      <c r="M779" s="4"/>
    </row>
    <row r="780" spans="1:13" ht="15" customHeight="1" x14ac:dyDescent="0.35">
      <c r="A780" t="str">
        <f t="shared" si="12"/>
        <v>P620IM12C4011</v>
      </c>
      <c r="B780" t="str">
        <f>IFERROR(VLOOKUP($A780,'[5]Study Budget Mapping '!$O$2:$P$532,2,0),"TBA")</f>
        <v>TBA</v>
      </c>
      <c r="D780" s="2" t="s">
        <v>171</v>
      </c>
      <c r="E780" s="2" t="s">
        <v>16</v>
      </c>
      <c r="F780" s="3">
        <v>575000</v>
      </c>
      <c r="G780" s="3">
        <v>490000</v>
      </c>
      <c r="H780" s="4"/>
      <c r="I780" s="4"/>
      <c r="J780" s="4"/>
      <c r="K780" s="4"/>
      <c r="L780" s="4"/>
      <c r="M780" s="4"/>
    </row>
    <row r="781" spans="1:13" ht="15" customHeight="1" x14ac:dyDescent="0.35">
      <c r="A781" t="str">
        <f t="shared" si="12"/>
        <v>P620IM12C4011</v>
      </c>
      <c r="B781" t="str">
        <f>IFERROR(VLOOKUP($A781,'[5]Study Budget Mapping '!$O$2:$P$532,2,0),"TBA")</f>
        <v>TBA</v>
      </c>
      <c r="D781" s="2" t="s">
        <v>171</v>
      </c>
      <c r="E781" s="2" t="s">
        <v>23</v>
      </c>
      <c r="F781" s="3">
        <v>40000</v>
      </c>
      <c r="G781" s="3">
        <v>1080000</v>
      </c>
      <c r="H781" s="4"/>
      <c r="I781" s="4"/>
      <c r="J781" s="4"/>
      <c r="K781" s="4"/>
      <c r="L781" s="4"/>
      <c r="M781" s="4"/>
    </row>
    <row r="782" spans="1:13" ht="15" customHeight="1" x14ac:dyDescent="0.35">
      <c r="A782" t="str">
        <f t="shared" si="12"/>
        <v>P620IM07C4733</v>
      </c>
      <c r="B782" t="str">
        <f>IFERROR(VLOOKUP($A782,'[5]Study Budget Mapping '!$O$2:$P$532,2,0),"TBA")</f>
        <v>TBA</v>
      </c>
      <c r="D782" s="2" t="s">
        <v>172</v>
      </c>
      <c r="E782" s="2" t="s">
        <v>13</v>
      </c>
      <c r="F782" s="3">
        <v>12370000</v>
      </c>
      <c r="G782" s="3">
        <v>12370000</v>
      </c>
      <c r="H782" s="4"/>
      <c r="I782" s="4"/>
      <c r="J782" s="4"/>
      <c r="K782" s="4"/>
      <c r="L782" s="4"/>
      <c r="M782" s="4"/>
    </row>
    <row r="783" spans="1:13" ht="15" customHeight="1" x14ac:dyDescent="0.35">
      <c r="A783" t="str">
        <f t="shared" si="12"/>
        <v>P620IM07C4733</v>
      </c>
      <c r="B783" t="str">
        <f>IFERROR(VLOOKUP($A783,'[5]Study Budget Mapping '!$O$2:$P$532,2,0),"TBA")</f>
        <v>TBA</v>
      </c>
      <c r="D783" s="2" t="s">
        <v>172</v>
      </c>
      <c r="E783" s="2" t="s">
        <v>14</v>
      </c>
      <c r="F783" s="3">
        <v>550000</v>
      </c>
      <c r="G783" s="3">
        <v>550000</v>
      </c>
      <c r="H783" s="4"/>
      <c r="I783" s="4"/>
      <c r="J783" s="4"/>
      <c r="K783" s="4"/>
      <c r="L783" s="4"/>
      <c r="M783" s="4"/>
    </row>
    <row r="784" spans="1:13" ht="15" customHeight="1" x14ac:dyDescent="0.35">
      <c r="A784" t="str">
        <f t="shared" si="12"/>
        <v>P620IM07C4733</v>
      </c>
      <c r="B784" t="str">
        <f>IFERROR(VLOOKUP($A784,'[5]Study Budget Mapping '!$O$2:$P$532,2,0),"TBA")</f>
        <v>TBA</v>
      </c>
      <c r="D784" s="2" t="s">
        <v>172</v>
      </c>
      <c r="E784" s="2" t="s">
        <v>19</v>
      </c>
      <c r="F784" s="3">
        <v>3370000</v>
      </c>
      <c r="G784" s="3">
        <v>3370000</v>
      </c>
      <c r="H784" s="4"/>
      <c r="I784" s="4"/>
      <c r="J784" s="4"/>
      <c r="K784" s="4"/>
      <c r="L784" s="4"/>
      <c r="M784" s="4"/>
    </row>
    <row r="785" spans="1:13" ht="15" customHeight="1" x14ac:dyDescent="0.35">
      <c r="A785" t="str">
        <f t="shared" si="12"/>
        <v>P620IM07C4733</v>
      </c>
      <c r="B785" t="str">
        <f>IFERROR(VLOOKUP($A785,'[5]Study Budget Mapping '!$O$2:$P$532,2,0),"TBA")</f>
        <v>TBA</v>
      </c>
      <c r="D785" s="2" t="s">
        <v>172</v>
      </c>
      <c r="E785" s="2" t="s">
        <v>21</v>
      </c>
      <c r="F785" s="3">
        <v>3780000</v>
      </c>
      <c r="G785" s="3">
        <v>3780000</v>
      </c>
      <c r="H785" s="4"/>
      <c r="I785" s="4"/>
      <c r="J785" s="4"/>
      <c r="K785" s="4"/>
      <c r="L785" s="4"/>
      <c r="M785" s="4"/>
    </row>
    <row r="786" spans="1:13" ht="15" customHeight="1" x14ac:dyDescent="0.35">
      <c r="A786" t="str">
        <f t="shared" si="12"/>
        <v>P620IM07C4733</v>
      </c>
      <c r="B786" t="str">
        <f>IFERROR(VLOOKUP($A786,'[5]Study Budget Mapping '!$O$2:$P$532,2,0),"TBA")</f>
        <v>TBA</v>
      </c>
      <c r="D786" s="2" t="s">
        <v>172</v>
      </c>
      <c r="E786" s="2" t="s">
        <v>15</v>
      </c>
      <c r="F786" s="3">
        <v>9090000</v>
      </c>
      <c r="G786" s="3">
        <v>9090000</v>
      </c>
      <c r="H786" s="4"/>
      <c r="I786" s="4"/>
      <c r="J786" s="4"/>
      <c r="K786" s="4"/>
      <c r="L786" s="4"/>
      <c r="M786" s="4"/>
    </row>
    <row r="787" spans="1:13" ht="15" customHeight="1" x14ac:dyDescent="0.35">
      <c r="A787" t="str">
        <f t="shared" si="12"/>
        <v>P620IM07C4733</v>
      </c>
      <c r="B787" t="str">
        <f>IFERROR(VLOOKUP($A787,'[5]Study Budget Mapping '!$O$2:$P$532,2,0),"TBA")</f>
        <v>TBA</v>
      </c>
      <c r="D787" s="2" t="s">
        <v>172</v>
      </c>
      <c r="E787" s="2" t="s">
        <v>22</v>
      </c>
      <c r="F787" s="3">
        <v>710000</v>
      </c>
      <c r="G787" s="3">
        <v>710000</v>
      </c>
      <c r="H787" s="4"/>
      <c r="I787" s="4"/>
      <c r="J787" s="4"/>
      <c r="K787" s="4"/>
      <c r="L787" s="4"/>
      <c r="M787" s="4"/>
    </row>
    <row r="788" spans="1:13" ht="15" customHeight="1" x14ac:dyDescent="0.35">
      <c r="A788" t="str">
        <f t="shared" si="12"/>
        <v>P620IM07C4733</v>
      </c>
      <c r="B788" t="str">
        <f>IFERROR(VLOOKUP($A788,'[5]Study Budget Mapping '!$O$2:$P$532,2,0),"TBA")</f>
        <v>TBA</v>
      </c>
      <c r="D788" s="2" t="s">
        <v>172</v>
      </c>
      <c r="E788" s="2" t="s">
        <v>16</v>
      </c>
      <c r="F788" s="3">
        <v>1562000</v>
      </c>
      <c r="G788" s="3">
        <v>1562000</v>
      </c>
      <c r="H788" s="4"/>
      <c r="I788" s="4"/>
      <c r="J788" s="4"/>
      <c r="K788" s="4"/>
      <c r="L788" s="4"/>
      <c r="M788" s="4"/>
    </row>
    <row r="789" spans="1:13" ht="15" customHeight="1" x14ac:dyDescent="0.35">
      <c r="A789" t="str">
        <f t="shared" si="12"/>
        <v>P620IM07C4733</v>
      </c>
      <c r="B789" t="str">
        <f>IFERROR(VLOOKUP($A789,'[5]Study Budget Mapping '!$O$2:$P$532,2,0),"TBA")</f>
        <v>TBA</v>
      </c>
      <c r="D789" s="2" t="s">
        <v>172</v>
      </c>
      <c r="E789" s="2" t="s">
        <v>17</v>
      </c>
      <c r="F789" s="3">
        <v>380000</v>
      </c>
      <c r="G789" s="3">
        <v>380000</v>
      </c>
      <c r="H789" s="4"/>
      <c r="I789" s="4"/>
      <c r="J789" s="4"/>
      <c r="K789" s="4"/>
      <c r="L789" s="4"/>
      <c r="M789" s="4"/>
    </row>
    <row r="790" spans="1:13" ht="15" customHeight="1" x14ac:dyDescent="0.35">
      <c r="A790" t="str">
        <f t="shared" si="12"/>
        <v>P620IM07C4733</v>
      </c>
      <c r="B790" t="str">
        <f>IFERROR(VLOOKUP($A790,'[5]Study Budget Mapping '!$O$2:$P$532,2,0),"TBA")</f>
        <v>TBA</v>
      </c>
      <c r="D790" s="2" t="s">
        <v>172</v>
      </c>
      <c r="E790" s="2" t="s">
        <v>23</v>
      </c>
      <c r="F790" s="3">
        <v>360000</v>
      </c>
      <c r="G790" s="3">
        <v>360000</v>
      </c>
      <c r="H790" s="4"/>
      <c r="I790" s="4"/>
      <c r="J790" s="4"/>
      <c r="K790" s="4"/>
      <c r="L790" s="4"/>
      <c r="M790" s="4"/>
    </row>
    <row r="791" spans="1:13" ht="15" customHeight="1" x14ac:dyDescent="0.35">
      <c r="A791" t="str">
        <f t="shared" si="12"/>
        <v>P620IM07C4733</v>
      </c>
      <c r="B791" t="str">
        <f>IFERROR(VLOOKUP($A791,'[5]Study Budget Mapping '!$O$2:$P$532,2,0),"TBA")</f>
        <v>TBA</v>
      </c>
      <c r="D791" s="2" t="s">
        <v>172</v>
      </c>
      <c r="E791" s="2" t="s">
        <v>24</v>
      </c>
      <c r="F791" s="3">
        <v>1650000</v>
      </c>
      <c r="G791" s="3">
        <v>1650000</v>
      </c>
      <c r="H791" s="4"/>
      <c r="I791" s="4"/>
      <c r="J791" s="4"/>
      <c r="K791" s="4"/>
      <c r="L791" s="4"/>
      <c r="M791" s="4"/>
    </row>
    <row r="792" spans="1:13" ht="15" customHeight="1" x14ac:dyDescent="0.35">
      <c r="A792" t="str">
        <f t="shared" si="12"/>
        <v>P620IM12C3711</v>
      </c>
      <c r="B792" t="str">
        <f>IFERROR(VLOOKUP($A792,'[5]Study Budget Mapping '!$O$2:$P$532,2,0),"TBA")</f>
        <v>TBA</v>
      </c>
      <c r="D792" s="2" t="s">
        <v>173</v>
      </c>
      <c r="E792" s="2" t="s">
        <v>13</v>
      </c>
      <c r="F792" s="3">
        <v>2940000</v>
      </c>
      <c r="G792" s="3">
        <v>2940000</v>
      </c>
      <c r="H792" s="4"/>
      <c r="I792" s="4"/>
      <c r="J792" s="4"/>
      <c r="K792" s="4"/>
      <c r="L792" s="4"/>
      <c r="M792" s="4"/>
    </row>
    <row r="793" spans="1:13" ht="15" customHeight="1" x14ac:dyDescent="0.35">
      <c r="A793" t="str">
        <f t="shared" si="12"/>
        <v>P620IM12C3711</v>
      </c>
      <c r="B793" t="str">
        <f>IFERROR(VLOOKUP($A793,'[5]Study Budget Mapping '!$O$2:$P$532,2,0),"TBA")</f>
        <v>TBA</v>
      </c>
      <c r="D793" s="2" t="s">
        <v>173</v>
      </c>
      <c r="E793" s="2" t="s">
        <v>14</v>
      </c>
      <c r="F793" s="3">
        <v>480000</v>
      </c>
      <c r="G793" s="3">
        <v>480000</v>
      </c>
      <c r="H793" s="4"/>
      <c r="I793" s="4"/>
      <c r="J793" s="4"/>
      <c r="K793" s="4"/>
      <c r="L793" s="4"/>
      <c r="M793" s="4"/>
    </row>
    <row r="794" spans="1:13" ht="15" customHeight="1" x14ac:dyDescent="0.35">
      <c r="A794" t="str">
        <f t="shared" si="12"/>
        <v>P620IM12C3711</v>
      </c>
      <c r="B794" t="str">
        <f>IFERROR(VLOOKUP($A794,'[5]Study Budget Mapping '!$O$2:$P$532,2,0),"TBA")</f>
        <v>TBA</v>
      </c>
      <c r="D794" s="2" t="s">
        <v>173</v>
      </c>
      <c r="E794" s="2" t="s">
        <v>19</v>
      </c>
      <c r="F794" s="3">
        <v>10000</v>
      </c>
      <c r="G794" s="3">
        <v>10000</v>
      </c>
      <c r="H794" s="4"/>
      <c r="I794" s="4"/>
      <c r="J794" s="4"/>
      <c r="K794" s="4"/>
      <c r="L794" s="4"/>
      <c r="M794" s="4"/>
    </row>
    <row r="795" spans="1:13" ht="15" customHeight="1" x14ac:dyDescent="0.35">
      <c r="A795" t="str">
        <f t="shared" si="12"/>
        <v>P620IM12C3711</v>
      </c>
      <c r="B795" t="str">
        <f>IFERROR(VLOOKUP($A795,'[5]Study Budget Mapping '!$O$2:$P$532,2,0),"TBA")</f>
        <v>TBA</v>
      </c>
      <c r="D795" s="2" t="s">
        <v>173</v>
      </c>
      <c r="E795" s="2" t="s">
        <v>22</v>
      </c>
      <c r="F795" s="3">
        <v>1950000</v>
      </c>
      <c r="G795" s="3">
        <v>1950000</v>
      </c>
      <c r="H795" s="4"/>
      <c r="I795" s="4"/>
      <c r="J795" s="4"/>
      <c r="K795" s="4"/>
      <c r="L795" s="4"/>
      <c r="M795" s="4"/>
    </row>
    <row r="796" spans="1:13" ht="15" customHeight="1" x14ac:dyDescent="0.35">
      <c r="A796" t="str">
        <f t="shared" si="12"/>
        <v>P620IM12C3711</v>
      </c>
      <c r="B796" t="str">
        <f>IFERROR(VLOOKUP($A796,'[5]Study Budget Mapping '!$O$2:$P$532,2,0),"TBA")</f>
        <v>TBA</v>
      </c>
      <c r="D796" s="2" t="s">
        <v>173</v>
      </c>
      <c r="E796" s="2" t="s">
        <v>16</v>
      </c>
      <c r="F796" s="3">
        <v>175000</v>
      </c>
      <c r="G796" s="3">
        <v>175000</v>
      </c>
      <c r="H796" s="4"/>
      <c r="I796" s="4"/>
      <c r="J796" s="4"/>
      <c r="K796" s="4"/>
      <c r="L796" s="4"/>
      <c r="M796" s="4"/>
    </row>
    <row r="797" spans="1:13" ht="15" customHeight="1" x14ac:dyDescent="0.35">
      <c r="A797" t="str">
        <f t="shared" si="12"/>
        <v>P620IM12C3711</v>
      </c>
      <c r="B797" t="str">
        <f>IFERROR(VLOOKUP($A797,'[5]Study Budget Mapping '!$O$2:$P$532,2,0),"TBA")</f>
        <v>TBA</v>
      </c>
      <c r="D797" s="2" t="s">
        <v>173</v>
      </c>
      <c r="E797" s="2" t="s">
        <v>17</v>
      </c>
      <c r="F797" s="3">
        <v>350000</v>
      </c>
      <c r="G797" s="3">
        <v>350000</v>
      </c>
      <c r="H797" s="4"/>
      <c r="I797" s="4"/>
      <c r="J797" s="4"/>
      <c r="K797" s="4"/>
      <c r="L797" s="4"/>
      <c r="M797" s="4"/>
    </row>
    <row r="798" spans="1:13" ht="15" customHeight="1" x14ac:dyDescent="0.35">
      <c r="A798" t="str">
        <f t="shared" si="12"/>
        <v>P620IM12C3711</v>
      </c>
      <c r="B798" t="str">
        <f>IFERROR(VLOOKUP($A798,'[5]Study Budget Mapping '!$O$2:$P$532,2,0),"TBA")</f>
        <v>TBA</v>
      </c>
      <c r="D798" s="2" t="s">
        <v>173</v>
      </c>
      <c r="E798" s="2" t="s">
        <v>23</v>
      </c>
      <c r="F798" s="3">
        <v>70000</v>
      </c>
      <c r="G798" s="3">
        <v>70000</v>
      </c>
      <c r="H798" s="4"/>
      <c r="I798" s="4"/>
      <c r="J798" s="4"/>
      <c r="K798" s="4"/>
      <c r="L798" s="4"/>
      <c r="M798" s="4"/>
    </row>
    <row r="799" spans="1:13" ht="15" customHeight="1" x14ac:dyDescent="0.35">
      <c r="A799" t="str">
        <f t="shared" si="12"/>
        <v>P620IM12C3711</v>
      </c>
      <c r="B799" t="str">
        <f>IFERROR(VLOOKUP($A799,'[5]Study Budget Mapping '!$O$2:$P$532,2,0),"TBA")</f>
        <v>TBA</v>
      </c>
      <c r="D799" s="2" t="s">
        <v>173</v>
      </c>
      <c r="E799" s="2" t="s">
        <v>24</v>
      </c>
      <c r="F799" s="3">
        <v>190000</v>
      </c>
      <c r="G799" s="3">
        <v>190000</v>
      </c>
      <c r="H799" s="4"/>
      <c r="I799" s="4"/>
      <c r="J799" s="4"/>
      <c r="K799" s="4"/>
      <c r="L799" s="4"/>
      <c r="M799" s="4"/>
    </row>
    <row r="800" spans="1:13" ht="15" customHeight="1" x14ac:dyDescent="0.35">
      <c r="A800" t="str">
        <f t="shared" si="12"/>
        <v>P620IM08C4211</v>
      </c>
      <c r="B800" t="str">
        <f>IFERROR(VLOOKUP($A800,'[5]Study Budget Mapping '!$O$2:$P$532,2,0),"TBA")</f>
        <v>TBA</v>
      </c>
      <c r="D800" s="2" t="s">
        <v>174</v>
      </c>
      <c r="E800" s="2" t="s">
        <v>15</v>
      </c>
      <c r="F800" s="3">
        <v>7500000</v>
      </c>
      <c r="G800" s="3">
        <v>7500000</v>
      </c>
      <c r="H800" s="4"/>
      <c r="I800" s="4"/>
      <c r="J800" s="4"/>
      <c r="K800" s="4"/>
      <c r="L800" s="4"/>
      <c r="M800" s="4"/>
    </row>
    <row r="801" spans="1:13" ht="15" customHeight="1" x14ac:dyDescent="0.35">
      <c r="A801" t="str">
        <f t="shared" si="12"/>
        <v>P620IM28C4132</v>
      </c>
      <c r="B801" t="str">
        <f>IFERROR(VLOOKUP($A801,'[5]Study Budget Mapping '!$O$2:$P$532,2,0),"TBA")</f>
        <v>TBA</v>
      </c>
      <c r="D801" s="2" t="s">
        <v>175</v>
      </c>
      <c r="E801" s="2" t="s">
        <v>15</v>
      </c>
      <c r="F801" s="3">
        <v>7500000</v>
      </c>
      <c r="G801" s="3">
        <v>7500000</v>
      </c>
      <c r="H801" s="4"/>
      <c r="I801" s="4"/>
      <c r="J801" s="4"/>
      <c r="K801" s="4"/>
      <c r="L801" s="4"/>
      <c r="M801" s="4"/>
    </row>
    <row r="802" spans="1:13" ht="15" customHeight="1" x14ac:dyDescent="0.35">
      <c r="A802" t="str">
        <f t="shared" si="12"/>
        <v>P630CV01C3731</v>
      </c>
      <c r="B802" t="str">
        <f>IFERROR(VLOOKUP($A802,'[5]Study Budget Mapping '!$O$2:$P$532,2,0),"TBA")</f>
        <v>TBA</v>
      </c>
      <c r="D802" s="2" t="s">
        <v>176</v>
      </c>
      <c r="E802" s="2" t="s">
        <v>13</v>
      </c>
      <c r="F802" s="3">
        <v>2513625</v>
      </c>
      <c r="G802" s="3">
        <v>2513625</v>
      </c>
      <c r="H802" s="4"/>
      <c r="I802" s="4"/>
      <c r="J802" s="4"/>
      <c r="K802" s="4"/>
      <c r="L802" s="4"/>
      <c r="M802" s="4"/>
    </row>
    <row r="803" spans="1:13" ht="15" customHeight="1" x14ac:dyDescent="0.35">
      <c r="A803" t="str">
        <f t="shared" si="12"/>
        <v>P630CV01C3731</v>
      </c>
      <c r="B803" t="str">
        <f>IFERROR(VLOOKUP($A803,'[5]Study Budget Mapping '!$O$2:$P$532,2,0),"TBA")</f>
        <v>TBA</v>
      </c>
      <c r="D803" s="2" t="s">
        <v>176</v>
      </c>
      <c r="E803" s="2" t="s">
        <v>14</v>
      </c>
      <c r="F803" s="3">
        <v>402500</v>
      </c>
      <c r="G803" s="3">
        <v>402500</v>
      </c>
      <c r="H803" s="4"/>
      <c r="I803" s="4"/>
      <c r="J803" s="4"/>
      <c r="K803" s="4"/>
      <c r="L803" s="4"/>
      <c r="M803" s="4"/>
    </row>
    <row r="804" spans="1:13" ht="15" customHeight="1" x14ac:dyDescent="0.35">
      <c r="A804" t="str">
        <f t="shared" si="12"/>
        <v>P630CV01C3731</v>
      </c>
      <c r="B804" t="str">
        <f>IFERROR(VLOOKUP($A804,'[5]Study Budget Mapping '!$O$2:$P$532,2,0),"TBA")</f>
        <v>TBA</v>
      </c>
      <c r="D804" s="2" t="s">
        <v>176</v>
      </c>
      <c r="E804" s="2" t="s">
        <v>15</v>
      </c>
      <c r="F804" s="3">
        <v>8865824</v>
      </c>
      <c r="G804" s="3">
        <v>8865824</v>
      </c>
      <c r="H804" s="4"/>
      <c r="I804" s="4"/>
      <c r="J804" s="4"/>
      <c r="K804" s="4"/>
      <c r="L804" s="4"/>
      <c r="M804" s="4"/>
    </row>
    <row r="805" spans="1:13" ht="15" customHeight="1" x14ac:dyDescent="0.35">
      <c r="A805" t="str">
        <f t="shared" si="12"/>
        <v>P630CV01C3731</v>
      </c>
      <c r="B805" t="str">
        <f>IFERROR(VLOOKUP($A805,'[5]Study Budget Mapping '!$O$2:$P$532,2,0),"TBA")</f>
        <v>TBA</v>
      </c>
      <c r="D805" s="2" t="s">
        <v>176</v>
      </c>
      <c r="E805" s="2" t="s">
        <v>16</v>
      </c>
      <c r="F805" s="3">
        <v>544343</v>
      </c>
      <c r="G805" s="3">
        <v>544343</v>
      </c>
      <c r="H805" s="4"/>
      <c r="I805" s="4"/>
      <c r="J805" s="4"/>
      <c r="K805" s="4"/>
      <c r="L805" s="4"/>
      <c r="M805" s="4"/>
    </row>
    <row r="806" spans="1:13" ht="15" customHeight="1" x14ac:dyDescent="0.35">
      <c r="A806" t="str">
        <f t="shared" si="12"/>
        <v>P630CV01C3731</v>
      </c>
      <c r="B806" t="str">
        <f>IFERROR(VLOOKUP($A806,'[5]Study Budget Mapping '!$O$2:$P$532,2,0),"TBA")</f>
        <v>TBA</v>
      </c>
      <c r="D806" s="2" t="s">
        <v>176</v>
      </c>
      <c r="E806" s="2" t="s">
        <v>17</v>
      </c>
      <c r="F806" s="3">
        <v>361484</v>
      </c>
      <c r="G806" s="3">
        <v>361484</v>
      </c>
      <c r="H806" s="4"/>
      <c r="I806" s="4"/>
      <c r="J806" s="4"/>
      <c r="K806" s="4"/>
      <c r="L806" s="4"/>
      <c r="M806" s="4"/>
    </row>
    <row r="807" spans="1:13" ht="15" customHeight="1" x14ac:dyDescent="0.35">
      <c r="A807" t="str">
        <f t="shared" si="12"/>
        <v>P630CV01C3731</v>
      </c>
      <c r="B807" t="str">
        <f>IFERROR(VLOOKUP($A807,'[5]Study Budget Mapping '!$O$2:$P$532,2,0),"TBA")</f>
        <v>TBA</v>
      </c>
      <c r="D807" s="2" t="s">
        <v>176</v>
      </c>
      <c r="E807" s="2" t="s">
        <v>28</v>
      </c>
      <c r="F807" s="3">
        <v>197500</v>
      </c>
      <c r="G807" s="3">
        <v>197500</v>
      </c>
      <c r="H807" s="4"/>
      <c r="I807" s="4"/>
      <c r="J807" s="4"/>
      <c r="K807" s="4"/>
      <c r="L807" s="4"/>
      <c r="M807" s="4"/>
    </row>
    <row r="808" spans="1:13" ht="15" customHeight="1" x14ac:dyDescent="0.35">
      <c r="A808" t="str">
        <f t="shared" si="12"/>
        <v>P630CV01C3731</v>
      </c>
      <c r="B808" t="str">
        <f>IFERROR(VLOOKUP($A808,'[5]Study Budget Mapping '!$O$2:$P$532,2,0),"TBA")</f>
        <v>TBA</v>
      </c>
      <c r="D808" s="2" t="s">
        <v>176</v>
      </c>
      <c r="E808" s="2" t="s">
        <v>23</v>
      </c>
      <c r="F808" s="3">
        <v>723340</v>
      </c>
      <c r="G808" s="3">
        <v>723340</v>
      </c>
      <c r="H808" s="4"/>
      <c r="I808" s="4"/>
      <c r="J808" s="4"/>
      <c r="K808" s="4"/>
      <c r="L808" s="4"/>
      <c r="M808" s="4"/>
    </row>
    <row r="809" spans="1:13" ht="15" customHeight="1" x14ac:dyDescent="0.35">
      <c r="A809" t="str">
        <f t="shared" si="12"/>
        <v>P630CV01C3735</v>
      </c>
      <c r="B809" t="str">
        <f>IFERROR(VLOOKUP($A809,'[5]Study Budget Mapping '!$O$2:$P$532,2,0),"TBA")</f>
        <v>TBA</v>
      </c>
      <c r="D809" s="2" t="s">
        <v>177</v>
      </c>
      <c r="E809" s="2" t="s">
        <v>13</v>
      </c>
      <c r="F809" s="3">
        <v>1322783.92175</v>
      </c>
      <c r="G809" s="3">
        <v>1640000</v>
      </c>
      <c r="H809" s="4"/>
      <c r="I809" s="4"/>
      <c r="J809" s="4"/>
      <c r="K809" s="4"/>
      <c r="L809" s="4"/>
      <c r="M809" s="4"/>
    </row>
    <row r="810" spans="1:13" ht="15" customHeight="1" x14ac:dyDescent="0.35">
      <c r="A810" t="str">
        <f t="shared" si="12"/>
        <v>P630CV01C3735</v>
      </c>
      <c r="B810" t="str">
        <f>IFERROR(VLOOKUP($A810,'[5]Study Budget Mapping '!$O$2:$P$532,2,0),"TBA")</f>
        <v>TBA</v>
      </c>
      <c r="D810" s="2" t="s">
        <v>177</v>
      </c>
      <c r="E810" s="2" t="s">
        <v>14</v>
      </c>
      <c r="F810" s="3">
        <v>595522.69999999995</v>
      </c>
      <c r="G810" s="3">
        <v>830000</v>
      </c>
      <c r="H810" s="4"/>
      <c r="I810" s="4"/>
      <c r="J810" s="4"/>
      <c r="K810" s="4"/>
      <c r="L810" s="4"/>
      <c r="M810" s="4"/>
    </row>
    <row r="811" spans="1:13" ht="15" customHeight="1" x14ac:dyDescent="0.35">
      <c r="A811" t="str">
        <f t="shared" si="12"/>
        <v>P630CV01C3735</v>
      </c>
      <c r="B811" t="str">
        <f>IFERROR(VLOOKUP($A811,'[5]Study Budget Mapping '!$O$2:$P$532,2,0),"TBA")</f>
        <v>TBA</v>
      </c>
      <c r="D811" s="2" t="s">
        <v>177</v>
      </c>
      <c r="E811" s="2" t="s">
        <v>19</v>
      </c>
      <c r="F811" s="3">
        <v>0</v>
      </c>
      <c r="G811" s="3">
        <v>371000</v>
      </c>
      <c r="H811" s="4"/>
      <c r="I811" s="4"/>
      <c r="J811" s="4"/>
      <c r="K811" s="4"/>
      <c r="L811" s="4"/>
      <c r="M811" s="4"/>
    </row>
    <row r="812" spans="1:13" ht="15" customHeight="1" x14ac:dyDescent="0.35">
      <c r="A812" t="str">
        <f t="shared" si="12"/>
        <v>P630CV01C3735</v>
      </c>
      <c r="B812" t="str">
        <f>IFERROR(VLOOKUP($A812,'[5]Study Budget Mapping '!$O$2:$P$532,2,0),"TBA")</f>
        <v>TBA</v>
      </c>
      <c r="D812" s="2" t="s">
        <v>177</v>
      </c>
      <c r="E812" s="2" t="s">
        <v>15</v>
      </c>
      <c r="F812" s="3">
        <v>6182898.4298293702</v>
      </c>
      <c r="G812" s="3">
        <v>7810000</v>
      </c>
      <c r="H812" s="4"/>
      <c r="I812" s="4"/>
      <c r="J812" s="4"/>
      <c r="K812" s="4"/>
      <c r="L812" s="4"/>
      <c r="M812" s="4"/>
    </row>
    <row r="813" spans="1:13" ht="15" customHeight="1" x14ac:dyDescent="0.35">
      <c r="A813" t="str">
        <f t="shared" si="12"/>
        <v>P630CV01C3735</v>
      </c>
      <c r="B813" t="str">
        <f>IFERROR(VLOOKUP($A813,'[5]Study Budget Mapping '!$O$2:$P$532,2,0),"TBA")</f>
        <v>TBA</v>
      </c>
      <c r="D813" s="2" t="s">
        <v>177</v>
      </c>
      <c r="E813" s="2" t="s">
        <v>16</v>
      </c>
      <c r="F813" s="3">
        <v>2263894.0408795602</v>
      </c>
      <c r="G813" s="3">
        <v>2310000</v>
      </c>
      <c r="H813" s="4"/>
      <c r="I813" s="4"/>
      <c r="J813" s="4"/>
      <c r="K813" s="4"/>
      <c r="L813" s="4"/>
      <c r="M813" s="4"/>
    </row>
    <row r="814" spans="1:13" ht="15" customHeight="1" x14ac:dyDescent="0.35">
      <c r="A814" t="str">
        <f t="shared" si="12"/>
        <v>P630CV01C3735</v>
      </c>
      <c r="B814" t="str">
        <f>IFERROR(VLOOKUP($A814,'[5]Study Budget Mapping '!$O$2:$P$532,2,0),"TBA")</f>
        <v>TBA</v>
      </c>
      <c r="D814" s="2" t="s">
        <v>177</v>
      </c>
      <c r="E814" s="2" t="s">
        <v>17</v>
      </c>
      <c r="F814" s="3">
        <v>199524.15</v>
      </c>
      <c r="G814" s="3">
        <v>260000</v>
      </c>
      <c r="H814" s="4"/>
      <c r="I814" s="4"/>
      <c r="J814" s="4"/>
      <c r="K814" s="4"/>
      <c r="L814" s="4"/>
      <c r="M814" s="4"/>
    </row>
    <row r="815" spans="1:13" ht="15" customHeight="1" x14ac:dyDescent="0.35">
      <c r="A815" t="str">
        <f t="shared" si="12"/>
        <v>P630CV01C3735</v>
      </c>
      <c r="B815" t="str">
        <f>IFERROR(VLOOKUP($A815,'[5]Study Budget Mapping '!$O$2:$P$532,2,0),"TBA")</f>
        <v>TBA</v>
      </c>
      <c r="D815" s="2" t="s">
        <v>177</v>
      </c>
      <c r="E815" s="2" t="s">
        <v>24</v>
      </c>
      <c r="F815" s="3">
        <v>704382.62399999995</v>
      </c>
      <c r="G815" s="3">
        <v>1380000</v>
      </c>
      <c r="H815" s="4"/>
      <c r="I815" s="4"/>
      <c r="J815" s="4"/>
      <c r="K815" s="4"/>
      <c r="L815" s="4"/>
      <c r="M815" s="4"/>
    </row>
    <row r="816" spans="1:13" ht="15" customHeight="1" x14ac:dyDescent="0.35">
      <c r="A816" t="str">
        <f t="shared" si="12"/>
        <v>P630CV01C3832</v>
      </c>
      <c r="B816" t="str">
        <f>IFERROR(VLOOKUP($A816,'[5]Study Budget Mapping '!$O$2:$P$532,2,0),"TBA")</f>
        <v>TBA</v>
      </c>
      <c r="D816" s="2" t="s">
        <v>178</v>
      </c>
      <c r="E816" s="2" t="s">
        <v>13</v>
      </c>
      <c r="F816" s="3">
        <v>7380525</v>
      </c>
      <c r="G816" s="3">
        <v>7380525</v>
      </c>
      <c r="H816" s="4"/>
      <c r="I816" s="4"/>
      <c r="J816" s="4"/>
      <c r="K816" s="4"/>
      <c r="L816" s="4"/>
      <c r="M816" s="4"/>
    </row>
    <row r="817" spans="1:13" ht="15" customHeight="1" x14ac:dyDescent="0.35">
      <c r="A817" t="str">
        <f t="shared" si="12"/>
        <v>P630CV01C3832</v>
      </c>
      <c r="B817" t="str">
        <f>IFERROR(VLOOKUP($A817,'[5]Study Budget Mapping '!$O$2:$P$532,2,0),"TBA")</f>
        <v>TBA</v>
      </c>
      <c r="D817" s="2" t="s">
        <v>178</v>
      </c>
      <c r="E817" s="2" t="s">
        <v>14</v>
      </c>
      <c r="F817" s="3">
        <v>753245</v>
      </c>
      <c r="G817" s="3">
        <v>753245</v>
      </c>
      <c r="H817" s="4"/>
      <c r="I817" s="4"/>
      <c r="J817" s="4"/>
      <c r="K817" s="4"/>
      <c r="L817" s="4"/>
      <c r="M817" s="4"/>
    </row>
    <row r="818" spans="1:13" ht="15" customHeight="1" x14ac:dyDescent="0.35">
      <c r="A818" t="str">
        <f t="shared" si="12"/>
        <v>P630CV01C3832</v>
      </c>
      <c r="B818" t="str">
        <f>IFERROR(VLOOKUP($A818,'[5]Study Budget Mapping '!$O$2:$P$532,2,0),"TBA")</f>
        <v>TBA</v>
      </c>
      <c r="D818" s="2" t="s">
        <v>178</v>
      </c>
      <c r="E818" s="2" t="s">
        <v>15</v>
      </c>
      <c r="F818" s="3">
        <v>10657338</v>
      </c>
      <c r="G818" s="3">
        <v>10657338</v>
      </c>
      <c r="H818" s="4"/>
      <c r="I818" s="4"/>
      <c r="J818" s="4"/>
      <c r="K818" s="4"/>
      <c r="L818" s="4"/>
      <c r="M818" s="4"/>
    </row>
    <row r="819" spans="1:13" ht="15" customHeight="1" x14ac:dyDescent="0.35">
      <c r="A819" t="str">
        <f t="shared" si="12"/>
        <v>P630CV01C3832</v>
      </c>
      <c r="B819" t="str">
        <f>IFERROR(VLOOKUP($A819,'[5]Study Budget Mapping '!$O$2:$P$532,2,0),"TBA")</f>
        <v>TBA</v>
      </c>
      <c r="D819" s="2" t="s">
        <v>178</v>
      </c>
      <c r="E819" s="2" t="s">
        <v>16</v>
      </c>
      <c r="F819" s="3">
        <v>1244821</v>
      </c>
      <c r="G819" s="3">
        <v>1244821</v>
      </c>
      <c r="H819" s="4"/>
      <c r="I819" s="4"/>
      <c r="J819" s="4"/>
      <c r="K819" s="4"/>
      <c r="L819" s="4"/>
      <c r="M819" s="4"/>
    </row>
    <row r="820" spans="1:13" ht="15" customHeight="1" x14ac:dyDescent="0.35">
      <c r="A820" t="str">
        <f t="shared" si="12"/>
        <v>P630CV01C3832</v>
      </c>
      <c r="B820" t="str">
        <f>IFERROR(VLOOKUP($A820,'[5]Study Budget Mapping '!$O$2:$P$532,2,0),"TBA")</f>
        <v>TBA</v>
      </c>
      <c r="D820" s="2" t="s">
        <v>178</v>
      </c>
      <c r="E820" s="2" t="s">
        <v>17</v>
      </c>
      <c r="F820" s="3">
        <v>376421</v>
      </c>
      <c r="G820" s="3">
        <v>376421</v>
      </c>
      <c r="H820" s="4"/>
      <c r="I820" s="4"/>
      <c r="J820" s="4"/>
      <c r="K820" s="4"/>
      <c r="L820" s="4"/>
      <c r="M820" s="4"/>
    </row>
    <row r="821" spans="1:13" ht="15" customHeight="1" x14ac:dyDescent="0.35">
      <c r="A821" t="str">
        <f t="shared" si="12"/>
        <v>P630CV01C3832</v>
      </c>
      <c r="B821" t="str">
        <f>IFERROR(VLOOKUP($A821,'[5]Study Budget Mapping '!$O$2:$P$532,2,0),"TBA")</f>
        <v>TBA</v>
      </c>
      <c r="D821" s="2" t="s">
        <v>178</v>
      </c>
      <c r="E821" s="2" t="s">
        <v>28</v>
      </c>
      <c r="F821" s="3">
        <v>188700</v>
      </c>
      <c r="G821" s="3">
        <v>188700</v>
      </c>
      <c r="H821" s="4"/>
      <c r="I821" s="4"/>
      <c r="J821" s="4"/>
      <c r="K821" s="4"/>
      <c r="L821" s="4"/>
      <c r="M821" s="4"/>
    </row>
    <row r="822" spans="1:13" ht="15" customHeight="1" x14ac:dyDescent="0.35">
      <c r="A822" t="str">
        <f t="shared" si="12"/>
        <v>P630CV01C3832</v>
      </c>
      <c r="B822" t="str">
        <f>IFERROR(VLOOKUP($A822,'[5]Study Budget Mapping '!$O$2:$P$532,2,0),"TBA")</f>
        <v>TBA</v>
      </c>
      <c r="D822" s="2" t="s">
        <v>178</v>
      </c>
      <c r="E822" s="2" t="s">
        <v>23</v>
      </c>
      <c r="F822" s="3">
        <v>160244</v>
      </c>
      <c r="G822" s="3">
        <v>160244</v>
      </c>
      <c r="H822" s="4"/>
      <c r="I822" s="4"/>
      <c r="J822" s="4"/>
      <c r="K822" s="4"/>
      <c r="L822" s="4"/>
      <c r="M822" s="4"/>
    </row>
    <row r="823" spans="1:13" ht="15" customHeight="1" x14ac:dyDescent="0.35">
      <c r="A823" t="str">
        <f t="shared" si="12"/>
        <v>P630CV01C3833</v>
      </c>
      <c r="B823" t="str">
        <f>IFERROR(VLOOKUP($A823,'[5]Study Budget Mapping '!$O$2:$P$532,2,0),"TBA")</f>
        <v>TBA</v>
      </c>
      <c r="D823" s="2" t="s">
        <v>179</v>
      </c>
      <c r="E823" s="2" t="s">
        <v>13</v>
      </c>
      <c r="F823" s="3">
        <v>6365025</v>
      </c>
      <c r="G823" s="3">
        <v>6365025</v>
      </c>
      <c r="H823" s="4"/>
      <c r="I823" s="4"/>
      <c r="J823" s="4"/>
      <c r="K823" s="4"/>
      <c r="L823" s="4"/>
      <c r="M823" s="4"/>
    </row>
    <row r="824" spans="1:13" ht="15" customHeight="1" x14ac:dyDescent="0.35">
      <c r="A824" t="str">
        <f t="shared" si="12"/>
        <v>P630CV01C3833</v>
      </c>
      <c r="B824" t="str">
        <f>IFERROR(VLOOKUP($A824,'[5]Study Budget Mapping '!$O$2:$P$532,2,0),"TBA")</f>
        <v>TBA</v>
      </c>
      <c r="D824" s="2" t="s">
        <v>179</v>
      </c>
      <c r="E824" s="2" t="s">
        <v>14</v>
      </c>
      <c r="F824" s="3">
        <v>665982</v>
      </c>
      <c r="G824" s="3">
        <v>665982</v>
      </c>
      <c r="H824" s="4"/>
      <c r="I824" s="4"/>
      <c r="J824" s="4"/>
      <c r="K824" s="4"/>
      <c r="L824" s="4"/>
      <c r="M824" s="4"/>
    </row>
    <row r="825" spans="1:13" ht="15" customHeight="1" x14ac:dyDescent="0.35">
      <c r="A825" t="str">
        <f t="shared" si="12"/>
        <v>P630CV01C3833</v>
      </c>
      <c r="B825" t="str">
        <f>IFERROR(VLOOKUP($A825,'[5]Study Budget Mapping '!$O$2:$P$532,2,0),"TBA")</f>
        <v>TBA</v>
      </c>
      <c r="D825" s="2" t="s">
        <v>179</v>
      </c>
      <c r="E825" s="2" t="s">
        <v>15</v>
      </c>
      <c r="F825" s="3">
        <v>10673687</v>
      </c>
      <c r="G825" s="3">
        <v>10673687</v>
      </c>
      <c r="H825" s="4"/>
      <c r="I825" s="4"/>
      <c r="J825" s="4"/>
      <c r="K825" s="4"/>
      <c r="L825" s="4"/>
      <c r="M825" s="4"/>
    </row>
    <row r="826" spans="1:13" ht="15" customHeight="1" x14ac:dyDescent="0.35">
      <c r="A826" t="str">
        <f t="shared" si="12"/>
        <v>P630CV01C3833</v>
      </c>
      <c r="B826" t="str">
        <f>IFERROR(VLOOKUP($A826,'[5]Study Budget Mapping '!$O$2:$P$532,2,0),"TBA")</f>
        <v>TBA</v>
      </c>
      <c r="D826" s="2" t="s">
        <v>179</v>
      </c>
      <c r="E826" s="2" t="s">
        <v>16</v>
      </c>
      <c r="F826" s="3">
        <v>2146075</v>
      </c>
      <c r="G826" s="3">
        <v>2146075</v>
      </c>
      <c r="H826" s="4"/>
      <c r="I826" s="4"/>
      <c r="J826" s="4"/>
      <c r="K826" s="4"/>
      <c r="L826" s="4"/>
      <c r="M826" s="4"/>
    </row>
    <row r="827" spans="1:13" ht="15" customHeight="1" x14ac:dyDescent="0.35">
      <c r="A827" t="str">
        <f t="shared" si="12"/>
        <v>P630CV01C3833</v>
      </c>
      <c r="B827" t="str">
        <f>IFERROR(VLOOKUP($A827,'[5]Study Budget Mapping '!$O$2:$P$532,2,0),"TBA")</f>
        <v>TBA</v>
      </c>
      <c r="D827" s="2" t="s">
        <v>179</v>
      </c>
      <c r="E827" s="2" t="s">
        <v>23</v>
      </c>
      <c r="F827" s="3">
        <v>68681</v>
      </c>
      <c r="G827" s="3">
        <v>68681</v>
      </c>
      <c r="H827" s="4"/>
      <c r="I827" s="4"/>
      <c r="J827" s="4"/>
      <c r="K827" s="4"/>
      <c r="L827" s="4"/>
      <c r="M827" s="4"/>
    </row>
    <row r="828" spans="1:13" ht="15" customHeight="1" x14ac:dyDescent="0.35">
      <c r="A828" t="str">
        <f t="shared" si="12"/>
        <v>P630CV01C4931</v>
      </c>
      <c r="B828" t="str">
        <f>IFERROR(VLOOKUP($A828,'[5]Study Budget Mapping '!$O$2:$P$532,2,0),"TBA")</f>
        <v>TBA</v>
      </c>
      <c r="D828" s="2" t="s">
        <v>180</v>
      </c>
      <c r="E828" s="2" t="s">
        <v>13</v>
      </c>
      <c r="F828" s="3">
        <v>26268459</v>
      </c>
      <c r="G828" s="3">
        <v>26268459</v>
      </c>
      <c r="H828" s="4"/>
      <c r="I828" s="4"/>
      <c r="J828" s="4"/>
      <c r="K828" s="4"/>
      <c r="L828" s="4"/>
      <c r="M828" s="4"/>
    </row>
    <row r="829" spans="1:13" ht="15" customHeight="1" x14ac:dyDescent="0.35">
      <c r="A829" t="str">
        <f t="shared" si="12"/>
        <v>P630CV01C4931</v>
      </c>
      <c r="B829" t="str">
        <f>IFERROR(VLOOKUP($A829,'[5]Study Budget Mapping '!$O$2:$P$532,2,0),"TBA")</f>
        <v>TBA</v>
      </c>
      <c r="D829" s="2" t="s">
        <v>180</v>
      </c>
      <c r="E829" s="2" t="s">
        <v>14</v>
      </c>
      <c r="F829" s="3">
        <v>3653784</v>
      </c>
      <c r="G829" s="3">
        <v>3653784</v>
      </c>
      <c r="H829" s="4"/>
      <c r="I829" s="4"/>
      <c r="J829" s="4"/>
      <c r="K829" s="4"/>
      <c r="L829" s="4"/>
      <c r="M829" s="4"/>
    </row>
    <row r="830" spans="1:13" ht="15" customHeight="1" x14ac:dyDescent="0.35">
      <c r="A830" t="str">
        <f t="shared" si="12"/>
        <v>P630CV01C4931</v>
      </c>
      <c r="B830" t="str">
        <f>IFERROR(VLOOKUP($A830,'[5]Study Budget Mapping '!$O$2:$P$532,2,0),"TBA")</f>
        <v>TBA</v>
      </c>
      <c r="D830" s="2" t="s">
        <v>180</v>
      </c>
      <c r="E830" s="2" t="s">
        <v>19</v>
      </c>
      <c r="F830" s="3">
        <v>4685446</v>
      </c>
      <c r="G830" s="3">
        <v>4685446</v>
      </c>
      <c r="H830" s="4"/>
      <c r="I830" s="4"/>
      <c r="J830" s="4"/>
      <c r="K830" s="4"/>
      <c r="L830" s="4"/>
      <c r="M830" s="4"/>
    </row>
    <row r="831" spans="1:13" ht="15" customHeight="1" x14ac:dyDescent="0.35">
      <c r="A831" t="str">
        <f t="shared" si="12"/>
        <v>P630CV01C4931</v>
      </c>
      <c r="B831" t="str">
        <f>IFERROR(VLOOKUP($A831,'[5]Study Budget Mapping '!$O$2:$P$532,2,0),"TBA")</f>
        <v>TBA</v>
      </c>
      <c r="D831" s="2" t="s">
        <v>180</v>
      </c>
      <c r="E831" s="2" t="s">
        <v>31</v>
      </c>
      <c r="F831" s="3">
        <v>7304528</v>
      </c>
      <c r="G831" s="3">
        <v>7304528</v>
      </c>
      <c r="H831" s="4"/>
      <c r="I831" s="4"/>
      <c r="J831" s="4"/>
      <c r="K831" s="4"/>
      <c r="L831" s="4"/>
      <c r="M831" s="4"/>
    </row>
    <row r="832" spans="1:13" ht="15" customHeight="1" x14ac:dyDescent="0.35">
      <c r="A832" t="str">
        <f t="shared" si="12"/>
        <v>P630CV01C4931</v>
      </c>
      <c r="B832" t="str">
        <f>IFERROR(VLOOKUP($A832,'[5]Study Budget Mapping '!$O$2:$P$532,2,0),"TBA")</f>
        <v>TBA</v>
      </c>
      <c r="D832" s="2" t="s">
        <v>180</v>
      </c>
      <c r="E832" s="2" t="s">
        <v>15</v>
      </c>
      <c r="F832" s="3">
        <v>68119821</v>
      </c>
      <c r="G832" s="3">
        <v>68119821</v>
      </c>
      <c r="H832" s="4"/>
      <c r="I832" s="4"/>
      <c r="J832" s="4"/>
      <c r="K832" s="4"/>
      <c r="L832" s="4"/>
      <c r="M832" s="4"/>
    </row>
    <row r="833" spans="1:13" ht="15" customHeight="1" x14ac:dyDescent="0.35">
      <c r="A833" t="str">
        <f t="shared" si="12"/>
        <v>P630CV01C4931</v>
      </c>
      <c r="B833" t="str">
        <f>IFERROR(VLOOKUP($A833,'[5]Study Budget Mapping '!$O$2:$P$532,2,0),"TBA")</f>
        <v>TBA</v>
      </c>
      <c r="D833" s="2" t="s">
        <v>180</v>
      </c>
      <c r="E833" s="2" t="s">
        <v>16</v>
      </c>
      <c r="F833" s="3">
        <v>9933892</v>
      </c>
      <c r="G833" s="3">
        <v>9933892</v>
      </c>
      <c r="H833" s="4"/>
      <c r="I833" s="4"/>
      <c r="J833" s="4"/>
      <c r="K833" s="4"/>
      <c r="L833" s="4"/>
      <c r="M833" s="4"/>
    </row>
    <row r="834" spans="1:13" ht="15" customHeight="1" x14ac:dyDescent="0.35">
      <c r="A834" t="str">
        <f t="shared" si="12"/>
        <v>P630CV01C4931</v>
      </c>
      <c r="B834" t="str">
        <f>IFERROR(VLOOKUP($A834,'[5]Study Budget Mapping '!$O$2:$P$532,2,0),"TBA")</f>
        <v>TBA</v>
      </c>
      <c r="D834" s="2" t="s">
        <v>180</v>
      </c>
      <c r="E834" s="2" t="s">
        <v>17</v>
      </c>
      <c r="F834" s="3">
        <v>774208</v>
      </c>
      <c r="G834" s="3">
        <v>774208</v>
      </c>
      <c r="H834" s="4"/>
      <c r="I834" s="4"/>
      <c r="J834" s="4"/>
      <c r="K834" s="4"/>
      <c r="L834" s="4"/>
      <c r="M834" s="4"/>
    </row>
    <row r="835" spans="1:13" ht="15" customHeight="1" x14ac:dyDescent="0.35">
      <c r="A835" t="str">
        <f t="shared" ref="A835:A898" si="13">TRIM(_xlfn.TEXTBEFORE(D835,"-",1))</f>
        <v>P630CV01C4932</v>
      </c>
      <c r="B835" t="str">
        <f>IFERROR(VLOOKUP($A835,'[5]Study Budget Mapping '!$O$2:$P$532,2,0),"TBA")</f>
        <v>TBA</v>
      </c>
      <c r="D835" s="2" t="s">
        <v>181</v>
      </c>
      <c r="E835" s="2" t="s">
        <v>13</v>
      </c>
      <c r="F835" s="3">
        <v>13820000</v>
      </c>
      <c r="G835" s="3">
        <v>13820000</v>
      </c>
      <c r="H835" s="4"/>
      <c r="I835" s="4"/>
      <c r="J835" s="4"/>
      <c r="K835" s="4"/>
      <c r="L835" s="4"/>
      <c r="M835" s="4"/>
    </row>
    <row r="836" spans="1:13" ht="15" customHeight="1" x14ac:dyDescent="0.35">
      <c r="A836" t="str">
        <f t="shared" si="13"/>
        <v>P630CV01C4932</v>
      </c>
      <c r="B836" t="str">
        <f>IFERROR(VLOOKUP($A836,'[5]Study Budget Mapping '!$O$2:$P$532,2,0),"TBA")</f>
        <v>TBA</v>
      </c>
      <c r="D836" s="2" t="s">
        <v>181</v>
      </c>
      <c r="E836" s="2" t="s">
        <v>14</v>
      </c>
      <c r="F836" s="3">
        <v>6530000</v>
      </c>
      <c r="G836" s="3">
        <v>6530000</v>
      </c>
      <c r="H836" s="4"/>
      <c r="I836" s="4"/>
      <c r="J836" s="4"/>
      <c r="K836" s="4"/>
      <c r="L836" s="4"/>
      <c r="M836" s="4"/>
    </row>
    <row r="837" spans="1:13" ht="15" customHeight="1" x14ac:dyDescent="0.35">
      <c r="A837" t="str">
        <f t="shared" si="13"/>
        <v>P630CV01C4932</v>
      </c>
      <c r="B837" t="str">
        <f>IFERROR(VLOOKUP($A837,'[5]Study Budget Mapping '!$O$2:$P$532,2,0),"TBA")</f>
        <v>TBA</v>
      </c>
      <c r="D837" s="2" t="s">
        <v>181</v>
      </c>
      <c r="E837" s="2" t="s">
        <v>19</v>
      </c>
      <c r="F837" s="3">
        <v>75000</v>
      </c>
      <c r="G837" s="3">
        <v>75000</v>
      </c>
      <c r="H837" s="4"/>
      <c r="I837" s="4"/>
      <c r="J837" s="4"/>
      <c r="K837" s="4"/>
      <c r="L837" s="4"/>
      <c r="M837" s="4"/>
    </row>
    <row r="838" spans="1:13" ht="15" customHeight="1" x14ac:dyDescent="0.35">
      <c r="A838" t="str">
        <f t="shared" si="13"/>
        <v>P630CV01C4932</v>
      </c>
      <c r="B838" t="str">
        <f>IFERROR(VLOOKUP($A838,'[5]Study Budget Mapping '!$O$2:$P$532,2,0),"TBA")</f>
        <v>TBA</v>
      </c>
      <c r="D838" s="2" t="s">
        <v>181</v>
      </c>
      <c r="E838" s="2" t="s">
        <v>15</v>
      </c>
      <c r="F838" s="3">
        <v>27760000</v>
      </c>
      <c r="G838" s="3">
        <v>27760000</v>
      </c>
      <c r="H838" s="4"/>
      <c r="I838" s="4"/>
      <c r="J838" s="4"/>
      <c r="K838" s="4"/>
      <c r="L838" s="4"/>
      <c r="M838" s="4"/>
    </row>
    <row r="839" spans="1:13" ht="15" customHeight="1" x14ac:dyDescent="0.35">
      <c r="A839" t="str">
        <f t="shared" si="13"/>
        <v>P630CV01C4932</v>
      </c>
      <c r="B839" t="str">
        <f>IFERROR(VLOOKUP($A839,'[5]Study Budget Mapping '!$O$2:$P$532,2,0),"TBA")</f>
        <v>TBA</v>
      </c>
      <c r="D839" s="2" t="s">
        <v>181</v>
      </c>
      <c r="E839" s="2" t="s">
        <v>16</v>
      </c>
      <c r="F839" s="3">
        <v>5658000</v>
      </c>
      <c r="G839" s="3">
        <v>5658000</v>
      </c>
      <c r="H839" s="4"/>
      <c r="I839" s="4"/>
      <c r="J839" s="4"/>
      <c r="K839" s="4"/>
      <c r="L839" s="4"/>
      <c r="M839" s="4"/>
    </row>
    <row r="840" spans="1:13" ht="15" customHeight="1" x14ac:dyDescent="0.35">
      <c r="A840" t="str">
        <f t="shared" si="13"/>
        <v>P630CV01C4932</v>
      </c>
      <c r="B840" t="str">
        <f>IFERROR(VLOOKUP($A840,'[5]Study Budget Mapping '!$O$2:$P$532,2,0),"TBA")</f>
        <v>TBA</v>
      </c>
      <c r="D840" s="2" t="s">
        <v>181</v>
      </c>
      <c r="E840" s="2" t="s">
        <v>17</v>
      </c>
      <c r="F840" s="3">
        <v>540000</v>
      </c>
      <c r="G840" s="3">
        <v>540000</v>
      </c>
      <c r="H840" s="4"/>
      <c r="I840" s="4"/>
      <c r="J840" s="4"/>
      <c r="K840" s="4"/>
      <c r="L840" s="4"/>
      <c r="M840" s="4"/>
    </row>
    <row r="841" spans="1:13" ht="15" customHeight="1" x14ac:dyDescent="0.35">
      <c r="A841" t="str">
        <f t="shared" si="13"/>
        <v>P630CV01C4932</v>
      </c>
      <c r="B841" t="str">
        <f>IFERROR(VLOOKUP($A841,'[5]Study Budget Mapping '!$O$2:$P$532,2,0),"TBA")</f>
        <v>TBA</v>
      </c>
      <c r="D841" s="2" t="s">
        <v>181</v>
      </c>
      <c r="E841" s="2" t="s">
        <v>24</v>
      </c>
      <c r="F841" s="3">
        <v>8630000</v>
      </c>
      <c r="G841" s="3">
        <v>8630000</v>
      </c>
      <c r="H841" s="4"/>
      <c r="I841" s="4"/>
      <c r="J841" s="4"/>
      <c r="K841" s="4"/>
      <c r="L841" s="4"/>
      <c r="M841" s="4"/>
    </row>
    <row r="842" spans="1:13" ht="15" customHeight="1" x14ac:dyDescent="0.35">
      <c r="A842" t="str">
        <f t="shared" si="13"/>
        <v>P630CV00C5312</v>
      </c>
      <c r="B842" t="str">
        <f>IFERROR(VLOOKUP($A842,'[5]Study Budget Mapping '!$O$2:$P$532,2,0),"TBA")</f>
        <v>TBA</v>
      </c>
      <c r="D842" s="2" t="s">
        <v>182</v>
      </c>
      <c r="E842" s="2" t="s">
        <v>15</v>
      </c>
      <c r="F842" s="3">
        <v>0</v>
      </c>
      <c r="G842" s="3">
        <v>83000</v>
      </c>
      <c r="H842" s="4"/>
      <c r="I842" s="4"/>
      <c r="J842" s="4"/>
      <c r="K842" s="4"/>
      <c r="L842" s="4"/>
      <c r="M842" s="4"/>
    </row>
    <row r="843" spans="1:13" ht="15" customHeight="1" x14ac:dyDescent="0.35">
      <c r="A843" t="str">
        <f t="shared" si="13"/>
        <v>P630CV00C5401</v>
      </c>
      <c r="B843" t="str">
        <f>IFERROR(VLOOKUP($A843,'[5]Study Budget Mapping '!$O$2:$P$532,2,0),"TBA")</f>
        <v>TBA</v>
      </c>
      <c r="D843" s="2" t="s">
        <v>183</v>
      </c>
      <c r="E843" s="2" t="s">
        <v>15</v>
      </c>
      <c r="F843" s="3">
        <v>0</v>
      </c>
      <c r="G843" s="3">
        <v>100000</v>
      </c>
      <c r="H843" s="4"/>
      <c r="I843" s="4"/>
      <c r="J843" s="4"/>
      <c r="K843" s="4"/>
      <c r="L843" s="4"/>
      <c r="M843" s="4"/>
    </row>
    <row r="844" spans="1:13" ht="15" customHeight="1" x14ac:dyDescent="0.35">
      <c r="A844" t="str">
        <f t="shared" si="13"/>
        <v>P630CV00C5402</v>
      </c>
      <c r="B844" t="str">
        <f>IFERROR(VLOOKUP($A844,'[5]Study Budget Mapping '!$O$2:$P$532,2,0),"TBA")</f>
        <v>TBA</v>
      </c>
      <c r="D844" s="2" t="s">
        <v>184</v>
      </c>
      <c r="E844" s="2" t="s">
        <v>15</v>
      </c>
      <c r="F844" s="3">
        <v>0</v>
      </c>
      <c r="G844" s="3">
        <v>85000</v>
      </c>
      <c r="H844" s="4"/>
      <c r="I844" s="4"/>
      <c r="J844" s="4"/>
      <c r="K844" s="4"/>
      <c r="L844" s="4"/>
      <c r="M844" s="4"/>
    </row>
    <row r="845" spans="1:13" ht="15" customHeight="1" x14ac:dyDescent="0.35">
      <c r="A845" t="str">
        <f t="shared" si="13"/>
        <v>P630CV01C0331</v>
      </c>
      <c r="B845" t="str">
        <f>IFERROR(VLOOKUP($A845,'[5]Study Budget Mapping '!$O$2:$P$532,2,0),"TBA")</f>
        <v>TBA</v>
      </c>
      <c r="D845" s="2" t="s">
        <v>185</v>
      </c>
      <c r="E845" s="2" t="s">
        <v>13</v>
      </c>
      <c r="F845" s="3">
        <v>226200</v>
      </c>
      <c r="G845" s="3">
        <v>0</v>
      </c>
      <c r="H845" s="4"/>
      <c r="I845" s="4"/>
      <c r="J845" s="4"/>
      <c r="K845" s="4"/>
      <c r="L845" s="4"/>
      <c r="M845" s="4"/>
    </row>
    <row r="846" spans="1:13" ht="15" customHeight="1" x14ac:dyDescent="0.35">
      <c r="A846" t="str">
        <f t="shared" si="13"/>
        <v>P630CV01C0331</v>
      </c>
      <c r="B846" t="str">
        <f>IFERROR(VLOOKUP($A846,'[5]Study Budget Mapping '!$O$2:$P$532,2,0),"TBA")</f>
        <v>TBA</v>
      </c>
      <c r="D846" s="2" t="s">
        <v>185</v>
      </c>
      <c r="E846" s="2" t="s">
        <v>15</v>
      </c>
      <c r="F846" s="3">
        <v>461500</v>
      </c>
      <c r="G846" s="3">
        <v>223332</v>
      </c>
      <c r="H846" s="4"/>
      <c r="I846" s="4"/>
      <c r="J846" s="4"/>
      <c r="K846" s="4"/>
      <c r="L846" s="4"/>
      <c r="M846" s="4"/>
    </row>
    <row r="847" spans="1:13" ht="15" customHeight="1" x14ac:dyDescent="0.35">
      <c r="A847" t="str">
        <f t="shared" si="13"/>
        <v>P630CV01C0331</v>
      </c>
      <c r="B847" t="str">
        <f>IFERROR(VLOOKUP($A847,'[5]Study Budget Mapping '!$O$2:$P$532,2,0),"TBA")</f>
        <v>TBA</v>
      </c>
      <c r="D847" s="2" t="s">
        <v>185</v>
      </c>
      <c r="E847" s="2" t="s">
        <v>16</v>
      </c>
      <c r="F847" s="3">
        <v>4030</v>
      </c>
      <c r="G847" s="3">
        <v>0</v>
      </c>
      <c r="H847" s="4"/>
      <c r="I847" s="4"/>
      <c r="J847" s="4"/>
      <c r="K847" s="4"/>
      <c r="L847" s="4"/>
      <c r="M847" s="4"/>
    </row>
    <row r="848" spans="1:13" ht="15" customHeight="1" x14ac:dyDescent="0.35">
      <c r="A848" t="str">
        <f t="shared" si="13"/>
        <v>P630CV01C0331</v>
      </c>
      <c r="B848" t="str">
        <f>IFERROR(VLOOKUP($A848,'[5]Study Budget Mapping '!$O$2:$P$532,2,0),"TBA")</f>
        <v>TBA</v>
      </c>
      <c r="D848" s="2" t="s">
        <v>185</v>
      </c>
      <c r="E848" s="2" t="s">
        <v>23</v>
      </c>
      <c r="F848" s="3">
        <v>224130</v>
      </c>
      <c r="G848" s="3">
        <v>0</v>
      </c>
      <c r="H848" s="4"/>
      <c r="I848" s="4"/>
      <c r="J848" s="4"/>
      <c r="K848" s="4"/>
      <c r="L848" s="4"/>
      <c r="M848" s="4"/>
    </row>
    <row r="849" spans="1:13" ht="15" customHeight="1" x14ac:dyDescent="0.35">
      <c r="A849" t="str">
        <f t="shared" si="13"/>
        <v>P630CV01C1011</v>
      </c>
      <c r="B849" t="str">
        <f>IFERROR(VLOOKUP($A849,'[5]Study Budget Mapping '!$O$2:$P$532,2,0),"TBA")</f>
        <v>TBA</v>
      </c>
      <c r="D849" s="2" t="s">
        <v>186</v>
      </c>
      <c r="E849" s="2" t="s">
        <v>13</v>
      </c>
      <c r="F849" s="3">
        <v>1241280</v>
      </c>
      <c r="G849" s="3">
        <v>0</v>
      </c>
      <c r="H849" s="4"/>
      <c r="I849" s="4"/>
      <c r="J849" s="4"/>
      <c r="K849" s="4"/>
      <c r="L849" s="4"/>
      <c r="M849" s="4"/>
    </row>
    <row r="850" spans="1:13" ht="15" customHeight="1" x14ac:dyDescent="0.35">
      <c r="A850" t="str">
        <f t="shared" si="13"/>
        <v>P630CV01C1011</v>
      </c>
      <c r="B850" t="str">
        <f>IFERROR(VLOOKUP($A850,'[5]Study Budget Mapping '!$O$2:$P$532,2,0),"TBA")</f>
        <v>TBA</v>
      </c>
      <c r="D850" s="2" t="s">
        <v>186</v>
      </c>
      <c r="E850" s="2" t="s">
        <v>19</v>
      </c>
      <c r="F850" s="3">
        <v>100000</v>
      </c>
      <c r="G850" s="3">
        <v>0</v>
      </c>
      <c r="H850" s="4"/>
      <c r="I850" s="4"/>
      <c r="J850" s="4"/>
      <c r="K850" s="4"/>
      <c r="L850" s="4"/>
      <c r="M850" s="4"/>
    </row>
    <row r="851" spans="1:13" ht="15" customHeight="1" x14ac:dyDescent="0.35">
      <c r="A851" t="str">
        <f t="shared" si="13"/>
        <v>P630CV01C1011</v>
      </c>
      <c r="B851" t="str">
        <f>IFERROR(VLOOKUP($A851,'[5]Study Budget Mapping '!$O$2:$P$532,2,0),"TBA")</f>
        <v>TBA</v>
      </c>
      <c r="D851" s="2" t="s">
        <v>186</v>
      </c>
      <c r="E851" s="2" t="s">
        <v>31</v>
      </c>
      <c r="F851" s="3">
        <v>6400</v>
      </c>
      <c r="G851" s="3">
        <v>0</v>
      </c>
      <c r="H851" s="4"/>
      <c r="I851" s="4"/>
      <c r="J851" s="4"/>
      <c r="K851" s="4"/>
      <c r="L851" s="4"/>
      <c r="M851" s="4"/>
    </row>
    <row r="852" spans="1:13" ht="15" customHeight="1" x14ac:dyDescent="0.35">
      <c r="A852" t="str">
        <f t="shared" si="13"/>
        <v>P630CV01C1011</v>
      </c>
      <c r="B852" t="str">
        <f>IFERROR(VLOOKUP($A852,'[5]Study Budget Mapping '!$O$2:$P$532,2,0),"TBA")</f>
        <v>TBA</v>
      </c>
      <c r="D852" s="2" t="s">
        <v>186</v>
      </c>
      <c r="E852" s="2" t="s">
        <v>15</v>
      </c>
      <c r="F852" s="3">
        <v>0</v>
      </c>
      <c r="G852" s="3">
        <v>1593944.22</v>
      </c>
      <c r="H852" s="4"/>
      <c r="I852" s="4"/>
      <c r="J852" s="4"/>
      <c r="K852" s="4"/>
      <c r="L852" s="4"/>
      <c r="M852" s="4"/>
    </row>
    <row r="853" spans="1:13" ht="15" customHeight="1" x14ac:dyDescent="0.35">
      <c r="A853" t="str">
        <f t="shared" si="13"/>
        <v>P630CV01C1011</v>
      </c>
      <c r="B853" t="str">
        <f>IFERROR(VLOOKUP($A853,'[5]Study Budget Mapping '!$O$2:$P$532,2,0),"TBA")</f>
        <v>TBA</v>
      </c>
      <c r="D853" s="2" t="s">
        <v>186</v>
      </c>
      <c r="E853" s="2" t="s">
        <v>28</v>
      </c>
      <c r="F853" s="3">
        <v>91650</v>
      </c>
      <c r="G853" s="3">
        <v>0</v>
      </c>
      <c r="H853" s="4"/>
      <c r="I853" s="4"/>
      <c r="J853" s="4"/>
      <c r="K853" s="4"/>
      <c r="L853" s="4"/>
      <c r="M853" s="4"/>
    </row>
    <row r="854" spans="1:13" ht="15" customHeight="1" x14ac:dyDescent="0.35">
      <c r="A854" t="str">
        <f t="shared" si="13"/>
        <v>P630CV01C1011</v>
      </c>
      <c r="B854" t="str">
        <f>IFERROR(VLOOKUP($A854,'[5]Study Budget Mapping '!$O$2:$P$532,2,0),"TBA")</f>
        <v>TBA</v>
      </c>
      <c r="D854" s="2" t="s">
        <v>186</v>
      </c>
      <c r="E854" s="2" t="s">
        <v>23</v>
      </c>
      <c r="F854" s="3">
        <v>355358</v>
      </c>
      <c r="G854" s="3">
        <v>0</v>
      </c>
      <c r="H854" s="4"/>
      <c r="I854" s="4"/>
      <c r="J854" s="4"/>
      <c r="K854" s="4"/>
      <c r="L854" s="4"/>
      <c r="M854" s="4"/>
    </row>
    <row r="855" spans="1:13" ht="15" customHeight="1" x14ac:dyDescent="0.35">
      <c r="A855" t="str">
        <f t="shared" si="13"/>
        <v>P630CV01C1111</v>
      </c>
      <c r="B855" t="str">
        <f>IFERROR(VLOOKUP($A855,'[5]Study Budget Mapping '!$O$2:$P$532,2,0),"TBA")</f>
        <v>TBA</v>
      </c>
      <c r="D855" s="2" t="s">
        <v>187</v>
      </c>
      <c r="E855" s="2" t="s">
        <v>13</v>
      </c>
      <c r="F855" s="3">
        <v>930242</v>
      </c>
      <c r="G855" s="3">
        <v>0</v>
      </c>
      <c r="H855" s="4"/>
      <c r="I855" s="4"/>
      <c r="J855" s="4"/>
      <c r="K855" s="4"/>
      <c r="L855" s="4"/>
      <c r="M855" s="4"/>
    </row>
    <row r="856" spans="1:13" ht="15" customHeight="1" x14ac:dyDescent="0.35">
      <c r="A856" t="str">
        <f t="shared" si="13"/>
        <v>P630CV01C1111</v>
      </c>
      <c r="B856" t="str">
        <f>IFERROR(VLOOKUP($A856,'[5]Study Budget Mapping '!$O$2:$P$532,2,0),"TBA")</f>
        <v>TBA</v>
      </c>
      <c r="D856" s="2" t="s">
        <v>187</v>
      </c>
      <c r="E856" s="2" t="s">
        <v>31</v>
      </c>
      <c r="F856" s="3">
        <v>6400</v>
      </c>
      <c r="G856" s="3">
        <v>0</v>
      </c>
      <c r="H856" s="4"/>
      <c r="I856" s="4"/>
      <c r="J856" s="4"/>
      <c r="K856" s="4"/>
      <c r="L856" s="4"/>
      <c r="M856" s="4"/>
    </row>
    <row r="857" spans="1:13" ht="15" customHeight="1" x14ac:dyDescent="0.35">
      <c r="A857" t="str">
        <f t="shared" si="13"/>
        <v>P630CV01C1111</v>
      </c>
      <c r="B857" t="str">
        <f>IFERROR(VLOOKUP($A857,'[5]Study Budget Mapping '!$O$2:$P$532,2,0),"TBA")</f>
        <v>TBA</v>
      </c>
      <c r="D857" s="2" t="s">
        <v>187</v>
      </c>
      <c r="E857" s="2" t="s">
        <v>15</v>
      </c>
      <c r="F857" s="3">
        <v>0</v>
      </c>
      <c r="G857" s="3">
        <v>1135202.45</v>
      </c>
      <c r="H857" s="4"/>
      <c r="I857" s="4"/>
      <c r="J857" s="4"/>
      <c r="K857" s="4"/>
      <c r="L857" s="4"/>
      <c r="M857" s="4"/>
    </row>
    <row r="858" spans="1:13" ht="15" customHeight="1" x14ac:dyDescent="0.35">
      <c r="A858" t="str">
        <f t="shared" si="13"/>
        <v>P630CV01C1111</v>
      </c>
      <c r="B858" t="str">
        <f>IFERROR(VLOOKUP($A858,'[5]Study Budget Mapping '!$O$2:$P$532,2,0),"TBA")</f>
        <v>TBA</v>
      </c>
      <c r="D858" s="2" t="s">
        <v>187</v>
      </c>
      <c r="E858" s="2" t="s">
        <v>23</v>
      </c>
      <c r="F858" s="3">
        <v>279481</v>
      </c>
      <c r="G858" s="3">
        <v>0</v>
      </c>
      <c r="H858" s="4"/>
      <c r="I858" s="4"/>
      <c r="J858" s="4"/>
      <c r="K858" s="4"/>
      <c r="L858" s="4"/>
      <c r="M858" s="4"/>
    </row>
    <row r="859" spans="1:13" ht="15" customHeight="1" x14ac:dyDescent="0.35">
      <c r="A859" t="str">
        <f t="shared" si="13"/>
        <v>P630CV01C1211</v>
      </c>
      <c r="B859" t="str">
        <f>IFERROR(VLOOKUP($A859,'[5]Study Budget Mapping '!$O$2:$P$532,2,0),"TBA")</f>
        <v>TBA</v>
      </c>
      <c r="D859" s="2" t="s">
        <v>188</v>
      </c>
      <c r="E859" s="2" t="s">
        <v>13</v>
      </c>
      <c r="F859" s="3">
        <v>1403798</v>
      </c>
      <c r="G859" s="3">
        <v>0</v>
      </c>
      <c r="H859" s="4"/>
      <c r="I859" s="4"/>
      <c r="J859" s="4"/>
      <c r="K859" s="4"/>
      <c r="L859" s="4"/>
      <c r="M859" s="4"/>
    </row>
    <row r="860" spans="1:13" ht="15" customHeight="1" x14ac:dyDescent="0.35">
      <c r="A860" t="str">
        <f t="shared" si="13"/>
        <v>P630CV01C1211</v>
      </c>
      <c r="B860" t="str">
        <f>IFERROR(VLOOKUP($A860,'[5]Study Budget Mapping '!$O$2:$P$532,2,0),"TBA")</f>
        <v>TBA</v>
      </c>
      <c r="D860" s="2" t="s">
        <v>188</v>
      </c>
      <c r="E860" s="2" t="s">
        <v>14</v>
      </c>
      <c r="F860" s="3">
        <v>387363</v>
      </c>
      <c r="G860" s="3">
        <v>0</v>
      </c>
      <c r="H860" s="4"/>
      <c r="I860" s="4"/>
      <c r="J860" s="4"/>
      <c r="K860" s="4"/>
      <c r="L860" s="4"/>
      <c r="M860" s="4"/>
    </row>
    <row r="861" spans="1:13" ht="15" customHeight="1" x14ac:dyDescent="0.35">
      <c r="A861" t="str">
        <f t="shared" si="13"/>
        <v>P630CV01C1211</v>
      </c>
      <c r="B861" t="str">
        <f>IFERROR(VLOOKUP($A861,'[5]Study Budget Mapping '!$O$2:$P$532,2,0),"TBA")</f>
        <v>TBA</v>
      </c>
      <c r="D861" s="2" t="s">
        <v>188</v>
      </c>
      <c r="E861" s="2" t="s">
        <v>31</v>
      </c>
      <c r="F861" s="3">
        <v>3050</v>
      </c>
      <c r="G861" s="3">
        <v>0</v>
      </c>
      <c r="H861" s="4"/>
      <c r="I861" s="4"/>
      <c r="J861" s="4"/>
      <c r="K861" s="4"/>
      <c r="L861" s="4"/>
      <c r="M861" s="4"/>
    </row>
    <row r="862" spans="1:13" ht="15" customHeight="1" x14ac:dyDescent="0.35">
      <c r="A862" t="str">
        <f t="shared" si="13"/>
        <v>P630CV01C1211</v>
      </c>
      <c r="B862" t="str">
        <f>IFERROR(VLOOKUP($A862,'[5]Study Budget Mapping '!$O$2:$P$532,2,0),"TBA")</f>
        <v>TBA</v>
      </c>
      <c r="D862" s="2" t="s">
        <v>188</v>
      </c>
      <c r="E862" s="2" t="s">
        <v>15</v>
      </c>
      <c r="F862" s="3">
        <v>0</v>
      </c>
      <c r="G862" s="3">
        <v>2556989.62</v>
      </c>
      <c r="H862" s="4"/>
      <c r="I862" s="4"/>
      <c r="J862" s="4"/>
      <c r="K862" s="4"/>
      <c r="L862" s="4"/>
      <c r="M862" s="4"/>
    </row>
    <row r="863" spans="1:13" ht="15" customHeight="1" x14ac:dyDescent="0.35">
      <c r="A863" t="str">
        <f t="shared" si="13"/>
        <v>P630CV01C1211</v>
      </c>
      <c r="B863" t="str">
        <f>IFERROR(VLOOKUP($A863,'[5]Study Budget Mapping '!$O$2:$P$532,2,0),"TBA")</f>
        <v>TBA</v>
      </c>
      <c r="D863" s="2" t="s">
        <v>188</v>
      </c>
      <c r="E863" s="2" t="s">
        <v>28</v>
      </c>
      <c r="F863" s="3">
        <v>124200</v>
      </c>
      <c r="G863" s="3">
        <v>0</v>
      </c>
      <c r="H863" s="4"/>
      <c r="I863" s="4"/>
      <c r="J863" s="4"/>
      <c r="K863" s="4"/>
      <c r="L863" s="4"/>
      <c r="M863" s="4"/>
    </row>
    <row r="864" spans="1:13" ht="15" customHeight="1" x14ac:dyDescent="0.35">
      <c r="A864" t="str">
        <f t="shared" si="13"/>
        <v>P630CV01C1211</v>
      </c>
      <c r="B864" t="str">
        <f>IFERROR(VLOOKUP($A864,'[5]Study Budget Mapping '!$O$2:$P$532,2,0),"TBA")</f>
        <v>TBA</v>
      </c>
      <c r="D864" s="2" t="s">
        <v>188</v>
      </c>
      <c r="E864" s="2" t="s">
        <v>23</v>
      </c>
      <c r="F864" s="3">
        <v>343915</v>
      </c>
      <c r="G864" s="3">
        <v>0</v>
      </c>
      <c r="H864" s="4"/>
      <c r="I864" s="4"/>
      <c r="J864" s="4"/>
      <c r="K864" s="4"/>
      <c r="L864" s="4"/>
      <c r="M864" s="4"/>
    </row>
    <row r="865" spans="1:13" ht="15" customHeight="1" x14ac:dyDescent="0.35">
      <c r="A865" t="str">
        <f t="shared" si="13"/>
        <v>P630CV01C2412</v>
      </c>
      <c r="B865" t="str">
        <f>IFERROR(VLOOKUP($A865,'[5]Study Budget Mapping '!$O$2:$P$532,2,0),"TBA")</f>
        <v>TBA</v>
      </c>
      <c r="D865" s="2" t="s">
        <v>189</v>
      </c>
      <c r="E865" s="2" t="s">
        <v>13</v>
      </c>
      <c r="F865" s="3">
        <v>117000</v>
      </c>
      <c r="G865" s="3">
        <v>0</v>
      </c>
      <c r="H865" s="4"/>
      <c r="I865" s="4"/>
      <c r="J865" s="4"/>
      <c r="K865" s="4"/>
      <c r="L865" s="4"/>
      <c r="M865" s="4"/>
    </row>
    <row r="866" spans="1:13" ht="15" customHeight="1" x14ac:dyDescent="0.35">
      <c r="A866" t="str">
        <f t="shared" si="13"/>
        <v>P630CV01C2412</v>
      </c>
      <c r="B866" t="str">
        <f>IFERROR(VLOOKUP($A866,'[5]Study Budget Mapping '!$O$2:$P$532,2,0),"TBA")</f>
        <v>TBA</v>
      </c>
      <c r="D866" s="2" t="s">
        <v>189</v>
      </c>
      <c r="E866" s="2" t="s">
        <v>14</v>
      </c>
      <c r="F866" s="3">
        <v>105168</v>
      </c>
      <c r="G866" s="3">
        <v>0</v>
      </c>
      <c r="H866" s="4"/>
      <c r="I866" s="4"/>
      <c r="J866" s="4"/>
      <c r="K866" s="4"/>
      <c r="L866" s="4"/>
      <c r="M866" s="4"/>
    </row>
    <row r="867" spans="1:13" ht="15" customHeight="1" x14ac:dyDescent="0.35">
      <c r="A867" t="str">
        <f t="shared" si="13"/>
        <v>P630CV01C2412</v>
      </c>
      <c r="B867" t="str">
        <f>IFERROR(VLOOKUP($A867,'[5]Study Budget Mapping '!$O$2:$P$532,2,0),"TBA")</f>
        <v>TBA</v>
      </c>
      <c r="D867" s="2" t="s">
        <v>189</v>
      </c>
      <c r="E867" s="2" t="s">
        <v>15</v>
      </c>
      <c r="F867" s="3">
        <v>525810</v>
      </c>
      <c r="G867" s="3">
        <v>2573847.37</v>
      </c>
      <c r="H867" s="4"/>
      <c r="I867" s="4"/>
      <c r="J867" s="4"/>
      <c r="K867" s="4"/>
      <c r="L867" s="4"/>
      <c r="M867" s="4"/>
    </row>
    <row r="868" spans="1:13" ht="15" customHeight="1" x14ac:dyDescent="0.35">
      <c r="A868" t="str">
        <f t="shared" si="13"/>
        <v>P630CV01C2412</v>
      </c>
      <c r="B868" t="str">
        <f>IFERROR(VLOOKUP($A868,'[5]Study Budget Mapping '!$O$2:$P$532,2,0),"TBA")</f>
        <v>TBA</v>
      </c>
      <c r="D868" s="2" t="s">
        <v>189</v>
      </c>
      <c r="E868" s="2" t="s">
        <v>16</v>
      </c>
      <c r="F868" s="3">
        <v>40583</v>
      </c>
      <c r="G868" s="3">
        <v>0</v>
      </c>
      <c r="H868" s="4"/>
      <c r="I868" s="4"/>
      <c r="J868" s="4"/>
      <c r="K868" s="4"/>
      <c r="L868" s="4"/>
      <c r="M868" s="4"/>
    </row>
    <row r="869" spans="1:13" ht="15" customHeight="1" x14ac:dyDescent="0.35">
      <c r="A869" t="str">
        <f t="shared" si="13"/>
        <v>P630CV01C2412</v>
      </c>
      <c r="B869" t="str">
        <f>IFERROR(VLOOKUP($A869,'[5]Study Budget Mapping '!$O$2:$P$532,2,0),"TBA")</f>
        <v>TBA</v>
      </c>
      <c r="D869" s="2" t="s">
        <v>189</v>
      </c>
      <c r="E869" s="2" t="s">
        <v>28</v>
      </c>
      <c r="F869" s="3">
        <v>96925</v>
      </c>
      <c r="G869" s="3">
        <v>0</v>
      </c>
      <c r="H869" s="4"/>
      <c r="I869" s="4"/>
      <c r="J869" s="4"/>
      <c r="K869" s="4"/>
      <c r="L869" s="4"/>
      <c r="M869" s="4"/>
    </row>
    <row r="870" spans="1:13" ht="15" customHeight="1" x14ac:dyDescent="0.35">
      <c r="A870" t="str">
        <f t="shared" si="13"/>
        <v>P630CV01C2412</v>
      </c>
      <c r="B870" t="str">
        <f>IFERROR(VLOOKUP($A870,'[5]Study Budget Mapping '!$O$2:$P$532,2,0),"TBA")</f>
        <v>TBA</v>
      </c>
      <c r="D870" s="2" t="s">
        <v>189</v>
      </c>
      <c r="E870" s="2" t="s">
        <v>23</v>
      </c>
      <c r="F870" s="3">
        <v>187869</v>
      </c>
      <c r="G870" s="3">
        <v>0</v>
      </c>
      <c r="H870" s="4"/>
      <c r="I870" s="4"/>
      <c r="J870" s="4"/>
      <c r="K870" s="4"/>
      <c r="L870" s="4"/>
      <c r="M870" s="4"/>
    </row>
    <row r="871" spans="1:13" ht="15" customHeight="1" x14ac:dyDescent="0.35">
      <c r="A871" t="str">
        <f t="shared" si="13"/>
        <v>P630CV01C2611</v>
      </c>
      <c r="B871" t="str">
        <f>IFERROR(VLOOKUP($A871,'[5]Study Budget Mapping '!$O$2:$P$532,2,0),"TBA")</f>
        <v>TBA</v>
      </c>
      <c r="D871" s="2" t="s">
        <v>190</v>
      </c>
      <c r="E871" s="2" t="s">
        <v>13</v>
      </c>
      <c r="F871" s="3">
        <v>645000</v>
      </c>
      <c r="G871" s="3">
        <v>0</v>
      </c>
      <c r="H871" s="4"/>
      <c r="I871" s="4"/>
      <c r="J871" s="4"/>
      <c r="K871" s="4"/>
      <c r="L871" s="4"/>
      <c r="M871" s="4"/>
    </row>
    <row r="872" spans="1:13" ht="15" customHeight="1" x14ac:dyDescent="0.35">
      <c r="A872" t="str">
        <f t="shared" si="13"/>
        <v>P630CV01C2611</v>
      </c>
      <c r="B872" t="str">
        <f>IFERROR(VLOOKUP($A872,'[5]Study Budget Mapping '!$O$2:$P$532,2,0),"TBA")</f>
        <v>TBA</v>
      </c>
      <c r="D872" s="2" t="s">
        <v>190</v>
      </c>
      <c r="E872" s="2" t="s">
        <v>14</v>
      </c>
      <c r="F872" s="3">
        <v>196830</v>
      </c>
      <c r="G872" s="3">
        <v>0</v>
      </c>
      <c r="H872" s="4"/>
      <c r="I872" s="4"/>
      <c r="J872" s="4"/>
      <c r="K872" s="4"/>
      <c r="L872" s="4"/>
      <c r="M872" s="4"/>
    </row>
    <row r="873" spans="1:13" ht="15" customHeight="1" x14ac:dyDescent="0.35">
      <c r="A873" t="str">
        <f t="shared" si="13"/>
        <v>P630CV01C2611</v>
      </c>
      <c r="B873" t="str">
        <f>IFERROR(VLOOKUP($A873,'[5]Study Budget Mapping '!$O$2:$P$532,2,0),"TBA")</f>
        <v>TBA</v>
      </c>
      <c r="D873" s="2" t="s">
        <v>190</v>
      </c>
      <c r="E873" s="2" t="s">
        <v>31</v>
      </c>
      <c r="F873" s="3">
        <v>11250</v>
      </c>
      <c r="G873" s="3">
        <v>0</v>
      </c>
      <c r="H873" s="4"/>
      <c r="I873" s="4"/>
      <c r="J873" s="4"/>
      <c r="K873" s="4"/>
      <c r="L873" s="4"/>
      <c r="M873" s="4"/>
    </row>
    <row r="874" spans="1:13" ht="15" customHeight="1" x14ac:dyDescent="0.35">
      <c r="A874" t="str">
        <f t="shared" si="13"/>
        <v>P630CV01C2611</v>
      </c>
      <c r="B874" t="str">
        <f>IFERROR(VLOOKUP($A874,'[5]Study Budget Mapping '!$O$2:$P$532,2,0),"TBA")</f>
        <v>TBA</v>
      </c>
      <c r="D874" s="2" t="s">
        <v>190</v>
      </c>
      <c r="E874" s="2" t="s">
        <v>15</v>
      </c>
      <c r="F874" s="3">
        <v>2405563</v>
      </c>
      <c r="G874" s="3">
        <v>4049670.17</v>
      </c>
      <c r="H874" s="4"/>
      <c r="I874" s="4"/>
      <c r="J874" s="4"/>
      <c r="K874" s="4"/>
      <c r="L874" s="4"/>
      <c r="M874" s="4"/>
    </row>
    <row r="875" spans="1:13" ht="15" customHeight="1" x14ac:dyDescent="0.35">
      <c r="A875" t="str">
        <f t="shared" si="13"/>
        <v>P630CV01C2611</v>
      </c>
      <c r="B875" t="str">
        <f>IFERROR(VLOOKUP($A875,'[5]Study Budget Mapping '!$O$2:$P$532,2,0),"TBA")</f>
        <v>TBA</v>
      </c>
      <c r="D875" s="2" t="s">
        <v>190</v>
      </c>
      <c r="E875" s="2" t="s">
        <v>16</v>
      </c>
      <c r="F875" s="3">
        <v>298681</v>
      </c>
      <c r="G875" s="3">
        <v>0</v>
      </c>
      <c r="H875" s="4"/>
      <c r="I875" s="4"/>
      <c r="J875" s="4"/>
      <c r="K875" s="4"/>
      <c r="L875" s="4"/>
      <c r="M875" s="4"/>
    </row>
    <row r="876" spans="1:13" ht="15" customHeight="1" x14ac:dyDescent="0.35">
      <c r="A876" t="str">
        <f t="shared" si="13"/>
        <v>P630CV01C2611</v>
      </c>
      <c r="B876" t="str">
        <f>IFERROR(VLOOKUP($A876,'[5]Study Budget Mapping '!$O$2:$P$532,2,0),"TBA")</f>
        <v>TBA</v>
      </c>
      <c r="D876" s="2" t="s">
        <v>190</v>
      </c>
      <c r="E876" s="2" t="s">
        <v>17</v>
      </c>
      <c r="F876" s="3">
        <v>228517</v>
      </c>
      <c r="G876" s="3">
        <v>0</v>
      </c>
      <c r="H876" s="4"/>
      <c r="I876" s="4"/>
      <c r="J876" s="4"/>
      <c r="K876" s="4"/>
      <c r="L876" s="4"/>
      <c r="M876" s="4"/>
    </row>
    <row r="877" spans="1:13" ht="15" customHeight="1" x14ac:dyDescent="0.35">
      <c r="A877" t="str">
        <f t="shared" si="13"/>
        <v>P630CV01C2611</v>
      </c>
      <c r="B877" t="str">
        <f>IFERROR(VLOOKUP($A877,'[5]Study Budget Mapping '!$O$2:$P$532,2,0),"TBA")</f>
        <v>TBA</v>
      </c>
      <c r="D877" s="2" t="s">
        <v>190</v>
      </c>
      <c r="E877" s="2" t="s">
        <v>28</v>
      </c>
      <c r="F877" s="3">
        <v>89038</v>
      </c>
      <c r="G877" s="3">
        <v>0</v>
      </c>
      <c r="H877" s="4"/>
      <c r="I877" s="4"/>
      <c r="J877" s="4"/>
      <c r="K877" s="4"/>
      <c r="L877" s="4"/>
      <c r="M877" s="4"/>
    </row>
    <row r="878" spans="1:13" ht="15" customHeight="1" x14ac:dyDescent="0.35">
      <c r="A878" t="str">
        <f t="shared" si="13"/>
        <v>P630CV01C2611</v>
      </c>
      <c r="B878" t="str">
        <f>IFERROR(VLOOKUP($A878,'[5]Study Budget Mapping '!$O$2:$P$532,2,0),"TBA")</f>
        <v>TBA</v>
      </c>
      <c r="D878" s="2" t="s">
        <v>190</v>
      </c>
      <c r="E878" s="2" t="s">
        <v>23</v>
      </c>
      <c r="F878" s="3">
        <v>772806</v>
      </c>
      <c r="G878" s="3">
        <v>0</v>
      </c>
      <c r="H878" s="4"/>
      <c r="I878" s="4"/>
      <c r="J878" s="4"/>
      <c r="K878" s="4"/>
      <c r="L878" s="4"/>
      <c r="M878" s="4"/>
    </row>
    <row r="879" spans="1:13" ht="15" customHeight="1" x14ac:dyDescent="0.35">
      <c r="A879" t="str">
        <f t="shared" si="13"/>
        <v>P630CV01C2913</v>
      </c>
      <c r="B879" t="str">
        <f>IFERROR(VLOOKUP($A879,'[5]Study Budget Mapping '!$O$2:$P$532,2,0),"TBA")</f>
        <v>TBA</v>
      </c>
      <c r="D879" s="2" t="s">
        <v>191</v>
      </c>
      <c r="E879" s="2" t="s">
        <v>13</v>
      </c>
      <c r="F879" s="3">
        <v>1083750</v>
      </c>
      <c r="G879" s="3">
        <v>0</v>
      </c>
      <c r="H879" s="4"/>
      <c r="I879" s="4"/>
      <c r="J879" s="4"/>
      <c r="K879" s="4"/>
      <c r="L879" s="4"/>
      <c r="M879" s="4"/>
    </row>
    <row r="880" spans="1:13" ht="15" customHeight="1" x14ac:dyDescent="0.35">
      <c r="A880" t="str">
        <f t="shared" si="13"/>
        <v>P630CV01C2913</v>
      </c>
      <c r="B880" t="str">
        <f>IFERROR(VLOOKUP($A880,'[5]Study Budget Mapping '!$O$2:$P$532,2,0),"TBA")</f>
        <v>TBA</v>
      </c>
      <c r="D880" s="2" t="s">
        <v>191</v>
      </c>
      <c r="E880" s="2" t="s">
        <v>14</v>
      </c>
      <c r="F880" s="3">
        <v>396890</v>
      </c>
      <c r="G880" s="3">
        <v>0</v>
      </c>
      <c r="H880" s="4"/>
      <c r="I880" s="4"/>
      <c r="J880" s="4"/>
      <c r="K880" s="4"/>
      <c r="L880" s="4"/>
      <c r="M880" s="4"/>
    </row>
    <row r="881" spans="1:13" ht="15" customHeight="1" x14ac:dyDescent="0.35">
      <c r="A881" t="str">
        <f t="shared" si="13"/>
        <v>P630CV01C2913</v>
      </c>
      <c r="B881" t="str">
        <f>IFERROR(VLOOKUP($A881,'[5]Study Budget Mapping '!$O$2:$P$532,2,0),"TBA")</f>
        <v>TBA</v>
      </c>
      <c r="D881" s="2" t="s">
        <v>191</v>
      </c>
      <c r="E881" s="2" t="s">
        <v>31</v>
      </c>
      <c r="F881" s="3">
        <v>11250</v>
      </c>
      <c r="G881" s="3">
        <v>0</v>
      </c>
      <c r="H881" s="4"/>
      <c r="I881" s="4"/>
      <c r="J881" s="4"/>
      <c r="K881" s="4"/>
      <c r="L881" s="4"/>
      <c r="M881" s="4"/>
    </row>
    <row r="882" spans="1:13" ht="15" customHeight="1" x14ac:dyDescent="0.35">
      <c r="A882" t="str">
        <f t="shared" si="13"/>
        <v>P630CV01C2913</v>
      </c>
      <c r="B882" t="str">
        <f>IFERROR(VLOOKUP($A882,'[5]Study Budget Mapping '!$O$2:$P$532,2,0),"TBA")</f>
        <v>TBA</v>
      </c>
      <c r="D882" s="2" t="s">
        <v>191</v>
      </c>
      <c r="E882" s="2" t="s">
        <v>15</v>
      </c>
      <c r="F882" s="3">
        <v>2274944</v>
      </c>
      <c r="G882" s="3">
        <v>7020817</v>
      </c>
      <c r="H882" s="4"/>
      <c r="I882" s="4"/>
      <c r="J882" s="4"/>
      <c r="K882" s="4"/>
      <c r="L882" s="4"/>
      <c r="M882" s="4"/>
    </row>
    <row r="883" spans="1:13" ht="15" customHeight="1" x14ac:dyDescent="0.35">
      <c r="A883" t="str">
        <f t="shared" si="13"/>
        <v>P630CV01C2913</v>
      </c>
      <c r="B883" t="str">
        <f>IFERROR(VLOOKUP($A883,'[5]Study Budget Mapping '!$O$2:$P$532,2,0),"TBA")</f>
        <v>TBA</v>
      </c>
      <c r="D883" s="2" t="s">
        <v>191</v>
      </c>
      <c r="E883" s="2" t="s">
        <v>16</v>
      </c>
      <c r="F883" s="3">
        <v>409438</v>
      </c>
      <c r="G883" s="3">
        <v>0</v>
      </c>
      <c r="H883" s="4"/>
      <c r="I883" s="4"/>
      <c r="J883" s="4"/>
      <c r="K883" s="4"/>
      <c r="L883" s="4"/>
      <c r="M883" s="4"/>
    </row>
    <row r="884" spans="1:13" ht="15" customHeight="1" x14ac:dyDescent="0.35">
      <c r="A884" t="str">
        <f t="shared" si="13"/>
        <v>P630CV01C2913</v>
      </c>
      <c r="B884" t="str">
        <f>IFERROR(VLOOKUP($A884,'[5]Study Budget Mapping '!$O$2:$P$532,2,0),"TBA")</f>
        <v>TBA</v>
      </c>
      <c r="D884" s="2" t="s">
        <v>191</v>
      </c>
      <c r="E884" s="2" t="s">
        <v>17</v>
      </c>
      <c r="F884" s="3">
        <v>198017</v>
      </c>
      <c r="G884" s="3">
        <v>0</v>
      </c>
      <c r="H884" s="4"/>
      <c r="I884" s="4"/>
      <c r="J884" s="4"/>
      <c r="K884" s="4"/>
      <c r="L884" s="4"/>
      <c r="M884" s="4"/>
    </row>
    <row r="885" spans="1:13" ht="15" customHeight="1" x14ac:dyDescent="0.35">
      <c r="A885" t="str">
        <f t="shared" si="13"/>
        <v>P630CV01C2913</v>
      </c>
      <c r="B885" t="str">
        <f>IFERROR(VLOOKUP($A885,'[5]Study Budget Mapping '!$O$2:$P$532,2,0),"TBA")</f>
        <v>TBA</v>
      </c>
      <c r="D885" s="2" t="s">
        <v>191</v>
      </c>
      <c r="E885" s="2" t="s">
        <v>28</v>
      </c>
      <c r="F885" s="3">
        <v>212293</v>
      </c>
      <c r="G885" s="3">
        <v>0</v>
      </c>
      <c r="H885" s="4"/>
      <c r="I885" s="4"/>
      <c r="J885" s="4"/>
      <c r="K885" s="4"/>
      <c r="L885" s="4"/>
      <c r="M885" s="4"/>
    </row>
    <row r="886" spans="1:13" ht="15" customHeight="1" x14ac:dyDescent="0.35">
      <c r="A886" t="str">
        <f t="shared" si="13"/>
        <v>P630CV01C2913</v>
      </c>
      <c r="B886" t="str">
        <f>IFERROR(VLOOKUP($A886,'[5]Study Budget Mapping '!$O$2:$P$532,2,0),"TBA")</f>
        <v>TBA</v>
      </c>
      <c r="D886" s="2" t="s">
        <v>191</v>
      </c>
      <c r="E886" s="2" t="s">
        <v>23</v>
      </c>
      <c r="F886" s="3">
        <v>608918</v>
      </c>
      <c r="G886" s="3">
        <v>0</v>
      </c>
      <c r="H886" s="4"/>
      <c r="I886" s="4"/>
      <c r="J886" s="4"/>
      <c r="K886" s="4"/>
      <c r="L886" s="4"/>
      <c r="M886" s="4"/>
    </row>
    <row r="887" spans="1:13" ht="15" customHeight="1" x14ac:dyDescent="0.35">
      <c r="A887" t="str">
        <f t="shared" si="13"/>
        <v>P630CV01C3732</v>
      </c>
      <c r="B887" t="str">
        <f>IFERROR(VLOOKUP($A887,'[5]Study Budget Mapping '!$O$2:$P$532,2,0),"TBA")</f>
        <v>TBA</v>
      </c>
      <c r="D887" s="2" t="s">
        <v>192</v>
      </c>
      <c r="E887" s="2" t="s">
        <v>15</v>
      </c>
      <c r="F887" s="3">
        <v>0</v>
      </c>
      <c r="G887" s="3">
        <v>1679280.1</v>
      </c>
      <c r="H887" s="4"/>
      <c r="I887" s="4"/>
      <c r="J887" s="4"/>
      <c r="K887" s="4"/>
      <c r="L887" s="4"/>
      <c r="M887" s="4"/>
    </row>
    <row r="888" spans="1:13" ht="15" customHeight="1" x14ac:dyDescent="0.35">
      <c r="A888" t="str">
        <f t="shared" si="13"/>
        <v>P630CV01C3733</v>
      </c>
      <c r="B888" t="str">
        <f>IFERROR(VLOOKUP($A888,'[5]Study Budget Mapping '!$O$2:$P$532,2,0),"TBA")</f>
        <v>TBA</v>
      </c>
      <c r="D888" s="2" t="s">
        <v>193</v>
      </c>
      <c r="E888" s="2" t="s">
        <v>13</v>
      </c>
      <c r="F888" s="3">
        <v>11750375</v>
      </c>
      <c r="G888" s="3">
        <v>0</v>
      </c>
      <c r="H888" s="4"/>
      <c r="I888" s="4"/>
      <c r="J888" s="4"/>
      <c r="K888" s="4"/>
      <c r="L888" s="4"/>
      <c r="M888" s="4"/>
    </row>
    <row r="889" spans="1:13" ht="15" customHeight="1" x14ac:dyDescent="0.35">
      <c r="A889" t="str">
        <f t="shared" si="13"/>
        <v>P630CV01C3733</v>
      </c>
      <c r="B889" t="str">
        <f>IFERROR(VLOOKUP($A889,'[5]Study Budget Mapping '!$O$2:$P$532,2,0),"TBA")</f>
        <v>TBA</v>
      </c>
      <c r="D889" s="2" t="s">
        <v>193</v>
      </c>
      <c r="E889" s="2" t="s">
        <v>14</v>
      </c>
      <c r="F889" s="3">
        <v>4107677</v>
      </c>
      <c r="G889" s="3">
        <v>0</v>
      </c>
      <c r="H889" s="4"/>
      <c r="I889" s="4"/>
      <c r="J889" s="4"/>
      <c r="K889" s="4"/>
      <c r="L889" s="4"/>
      <c r="M889" s="4"/>
    </row>
    <row r="890" spans="1:13" ht="15" customHeight="1" x14ac:dyDescent="0.35">
      <c r="A890" t="str">
        <f t="shared" si="13"/>
        <v>P630CV01C3733</v>
      </c>
      <c r="B890" t="str">
        <f>IFERROR(VLOOKUP($A890,'[5]Study Budget Mapping '!$O$2:$P$532,2,0),"TBA")</f>
        <v>TBA</v>
      </c>
      <c r="D890" s="2" t="s">
        <v>193</v>
      </c>
      <c r="E890" s="2" t="s">
        <v>15</v>
      </c>
      <c r="F890" s="3">
        <v>23486027</v>
      </c>
      <c r="G890" s="3">
        <v>41850389.689999998</v>
      </c>
      <c r="H890" s="4"/>
      <c r="I890" s="4"/>
      <c r="J890" s="4"/>
      <c r="K890" s="4"/>
      <c r="L890" s="4"/>
      <c r="M890" s="4"/>
    </row>
    <row r="891" spans="1:13" ht="15" customHeight="1" x14ac:dyDescent="0.35">
      <c r="A891" t="str">
        <f t="shared" si="13"/>
        <v>P630CV01C3733</v>
      </c>
      <c r="B891" t="str">
        <f>IFERROR(VLOOKUP($A891,'[5]Study Budget Mapping '!$O$2:$P$532,2,0),"TBA")</f>
        <v>TBA</v>
      </c>
      <c r="D891" s="2" t="s">
        <v>193</v>
      </c>
      <c r="E891" s="2" t="s">
        <v>16</v>
      </c>
      <c r="F891" s="3">
        <v>2835354</v>
      </c>
      <c r="G891" s="3">
        <v>0</v>
      </c>
      <c r="H891" s="4"/>
      <c r="I891" s="4"/>
      <c r="J891" s="4"/>
      <c r="K891" s="4"/>
      <c r="L891" s="4"/>
      <c r="M891" s="4"/>
    </row>
    <row r="892" spans="1:13" ht="15" customHeight="1" x14ac:dyDescent="0.35">
      <c r="A892" t="str">
        <f t="shared" si="13"/>
        <v>P630CV01C3733</v>
      </c>
      <c r="B892" t="str">
        <f>IFERROR(VLOOKUP($A892,'[5]Study Budget Mapping '!$O$2:$P$532,2,0),"TBA")</f>
        <v>TBA</v>
      </c>
      <c r="D892" s="2" t="s">
        <v>193</v>
      </c>
      <c r="E892" s="2" t="s">
        <v>17</v>
      </c>
      <c r="F892" s="3">
        <v>406500</v>
      </c>
      <c r="G892" s="3">
        <v>0</v>
      </c>
      <c r="H892" s="4"/>
      <c r="I892" s="4"/>
      <c r="J892" s="4"/>
      <c r="K892" s="4"/>
      <c r="L892" s="4"/>
      <c r="M892" s="4"/>
    </row>
    <row r="893" spans="1:13" ht="15" customHeight="1" x14ac:dyDescent="0.35">
      <c r="A893" t="str">
        <f t="shared" si="13"/>
        <v>P630CV01C3733</v>
      </c>
      <c r="B893" t="str">
        <f>IFERROR(VLOOKUP($A893,'[5]Study Budget Mapping '!$O$2:$P$532,2,0),"TBA")</f>
        <v>TBA</v>
      </c>
      <c r="D893" s="2" t="s">
        <v>193</v>
      </c>
      <c r="E893" s="2" t="s">
        <v>28</v>
      </c>
      <c r="F893" s="3">
        <v>478500</v>
      </c>
      <c r="G893" s="3">
        <v>0</v>
      </c>
      <c r="H893" s="4"/>
      <c r="I893" s="4"/>
      <c r="J893" s="4"/>
      <c r="K893" s="4"/>
      <c r="L893" s="4"/>
      <c r="M893" s="4"/>
    </row>
    <row r="894" spans="1:13" ht="15" customHeight="1" x14ac:dyDescent="0.35">
      <c r="A894" t="str">
        <f t="shared" si="13"/>
        <v>P630CV01C3733</v>
      </c>
      <c r="B894" t="str">
        <f>IFERROR(VLOOKUP($A894,'[5]Study Budget Mapping '!$O$2:$P$532,2,0),"TBA")</f>
        <v>TBA</v>
      </c>
      <c r="D894" s="2" t="s">
        <v>193</v>
      </c>
      <c r="E894" s="2" t="s">
        <v>23</v>
      </c>
      <c r="F894" s="3">
        <v>457554</v>
      </c>
      <c r="G894" s="3">
        <v>0</v>
      </c>
      <c r="H894" s="4"/>
      <c r="I894" s="4"/>
      <c r="J894" s="4"/>
      <c r="K894" s="4"/>
      <c r="L894" s="4"/>
      <c r="M894" s="4"/>
    </row>
    <row r="895" spans="1:13" ht="15" customHeight="1" x14ac:dyDescent="0.35">
      <c r="A895" t="str">
        <f t="shared" si="13"/>
        <v>P630CV01C3734</v>
      </c>
      <c r="B895" t="str">
        <f>IFERROR(VLOOKUP($A895,'[5]Study Budget Mapping '!$O$2:$P$532,2,0),"TBA")</f>
        <v>TBA</v>
      </c>
      <c r="D895" s="2" t="s">
        <v>194</v>
      </c>
      <c r="E895" s="2" t="s">
        <v>13</v>
      </c>
      <c r="F895" s="3">
        <v>1170558</v>
      </c>
      <c r="G895" s="3">
        <v>0</v>
      </c>
      <c r="H895" s="4"/>
      <c r="I895" s="4"/>
      <c r="J895" s="4"/>
      <c r="K895" s="4"/>
      <c r="L895" s="4"/>
      <c r="M895" s="4"/>
    </row>
    <row r="896" spans="1:13" ht="15" customHeight="1" x14ac:dyDescent="0.35">
      <c r="A896" t="str">
        <f t="shared" si="13"/>
        <v>P630CV01C3734</v>
      </c>
      <c r="B896" t="str">
        <f>IFERROR(VLOOKUP($A896,'[5]Study Budget Mapping '!$O$2:$P$532,2,0),"TBA")</f>
        <v>TBA</v>
      </c>
      <c r="D896" s="2" t="s">
        <v>194</v>
      </c>
      <c r="E896" s="2" t="s">
        <v>14</v>
      </c>
      <c r="F896" s="3">
        <v>440148</v>
      </c>
      <c r="G896" s="3">
        <v>0</v>
      </c>
      <c r="H896" s="4"/>
      <c r="I896" s="4"/>
      <c r="J896" s="4"/>
      <c r="K896" s="4"/>
      <c r="L896" s="4"/>
      <c r="M896" s="4"/>
    </row>
    <row r="897" spans="1:13" ht="15" customHeight="1" x14ac:dyDescent="0.35">
      <c r="A897" t="str">
        <f t="shared" si="13"/>
        <v>P630CV01C3734</v>
      </c>
      <c r="B897" t="str">
        <f>IFERROR(VLOOKUP($A897,'[5]Study Budget Mapping '!$O$2:$P$532,2,0),"TBA")</f>
        <v>TBA</v>
      </c>
      <c r="D897" s="2" t="s">
        <v>194</v>
      </c>
      <c r="E897" s="2" t="s">
        <v>15</v>
      </c>
      <c r="F897" s="3">
        <v>2989560</v>
      </c>
      <c r="G897" s="3">
        <v>7321815.71</v>
      </c>
      <c r="H897" s="4"/>
      <c r="I897" s="4"/>
      <c r="J897" s="4"/>
      <c r="K897" s="4"/>
      <c r="L897" s="4"/>
      <c r="M897" s="4"/>
    </row>
    <row r="898" spans="1:13" ht="15" customHeight="1" x14ac:dyDescent="0.35">
      <c r="A898" t="str">
        <f t="shared" si="13"/>
        <v>P630CV01C3734</v>
      </c>
      <c r="B898" t="str">
        <f>IFERROR(VLOOKUP($A898,'[5]Study Budget Mapping '!$O$2:$P$532,2,0),"TBA")</f>
        <v>TBA</v>
      </c>
      <c r="D898" s="2" t="s">
        <v>194</v>
      </c>
      <c r="E898" s="2" t="s">
        <v>16</v>
      </c>
      <c r="F898" s="3">
        <v>747920</v>
      </c>
      <c r="G898" s="3">
        <v>0</v>
      </c>
      <c r="H898" s="4"/>
      <c r="I898" s="4"/>
      <c r="J898" s="4"/>
      <c r="K898" s="4"/>
      <c r="L898" s="4"/>
      <c r="M898" s="4"/>
    </row>
    <row r="899" spans="1:13" ht="15" customHeight="1" x14ac:dyDescent="0.35">
      <c r="A899" t="str">
        <f t="shared" ref="A899:A962" si="14">TRIM(_xlfn.TEXTBEFORE(D899,"-",1))</f>
        <v>P630CV01C3734</v>
      </c>
      <c r="B899" t="str">
        <f>IFERROR(VLOOKUP($A899,'[5]Study Budget Mapping '!$O$2:$P$532,2,0),"TBA")</f>
        <v>TBA</v>
      </c>
      <c r="D899" s="2" t="s">
        <v>194</v>
      </c>
      <c r="E899" s="2" t="s">
        <v>17</v>
      </c>
      <c r="F899" s="3">
        <v>215263</v>
      </c>
      <c r="G899" s="3">
        <v>0</v>
      </c>
      <c r="H899" s="4"/>
      <c r="I899" s="4"/>
      <c r="J899" s="4"/>
      <c r="K899" s="4"/>
      <c r="L899" s="4"/>
      <c r="M899" s="4"/>
    </row>
    <row r="900" spans="1:13" ht="15" customHeight="1" x14ac:dyDescent="0.35">
      <c r="A900" t="str">
        <f t="shared" si="14"/>
        <v>P630CV01C3831</v>
      </c>
      <c r="B900" t="str">
        <f>IFERROR(VLOOKUP($A900,'[5]Study Budget Mapping '!$O$2:$P$532,2,0),"TBA")</f>
        <v>TBA</v>
      </c>
      <c r="D900" s="2" t="s">
        <v>195</v>
      </c>
      <c r="E900" s="2" t="s">
        <v>13</v>
      </c>
      <c r="F900" s="3">
        <v>6527750</v>
      </c>
      <c r="G900" s="3">
        <v>0</v>
      </c>
      <c r="H900" s="4"/>
      <c r="I900" s="4"/>
      <c r="J900" s="4"/>
      <c r="K900" s="4"/>
      <c r="L900" s="4"/>
      <c r="M900" s="4"/>
    </row>
    <row r="901" spans="1:13" ht="15" customHeight="1" x14ac:dyDescent="0.35">
      <c r="A901" t="str">
        <f t="shared" si="14"/>
        <v>P630CV01C3831</v>
      </c>
      <c r="B901" t="str">
        <f>IFERROR(VLOOKUP($A901,'[5]Study Budget Mapping '!$O$2:$P$532,2,0),"TBA")</f>
        <v>TBA</v>
      </c>
      <c r="D901" s="2" t="s">
        <v>195</v>
      </c>
      <c r="E901" s="2" t="s">
        <v>14</v>
      </c>
      <c r="F901" s="3">
        <v>700000</v>
      </c>
      <c r="G901" s="3">
        <v>0</v>
      </c>
      <c r="H901" s="4"/>
      <c r="I901" s="4"/>
      <c r="J901" s="4"/>
      <c r="K901" s="4"/>
      <c r="L901" s="4"/>
      <c r="M901" s="4"/>
    </row>
    <row r="902" spans="1:13" ht="15" customHeight="1" x14ac:dyDescent="0.35">
      <c r="A902" t="str">
        <f t="shared" si="14"/>
        <v>P630CV01C3831</v>
      </c>
      <c r="B902" t="str">
        <f>IFERROR(VLOOKUP($A902,'[5]Study Budget Mapping '!$O$2:$P$532,2,0),"TBA")</f>
        <v>TBA</v>
      </c>
      <c r="D902" s="2" t="s">
        <v>195</v>
      </c>
      <c r="E902" s="2" t="s">
        <v>15</v>
      </c>
      <c r="F902" s="3">
        <v>8112187</v>
      </c>
      <c r="G902" s="3">
        <v>27245161.879999999</v>
      </c>
      <c r="H902" s="4"/>
      <c r="I902" s="4"/>
      <c r="J902" s="4"/>
      <c r="K902" s="4"/>
      <c r="L902" s="4"/>
      <c r="M902" s="4"/>
    </row>
    <row r="903" spans="1:13" ht="15" customHeight="1" x14ac:dyDescent="0.35">
      <c r="A903" t="str">
        <f t="shared" si="14"/>
        <v>P630CV01C3831</v>
      </c>
      <c r="B903" t="str">
        <f>IFERROR(VLOOKUP($A903,'[5]Study Budget Mapping '!$O$2:$P$532,2,0),"TBA")</f>
        <v>TBA</v>
      </c>
      <c r="D903" s="2" t="s">
        <v>195</v>
      </c>
      <c r="E903" s="2" t="s">
        <v>16</v>
      </c>
      <c r="F903" s="3">
        <v>1496293</v>
      </c>
      <c r="G903" s="3">
        <v>0</v>
      </c>
      <c r="H903" s="4"/>
      <c r="I903" s="4"/>
      <c r="J903" s="4"/>
      <c r="K903" s="4"/>
      <c r="L903" s="4"/>
      <c r="M903" s="4"/>
    </row>
    <row r="904" spans="1:13" ht="15" customHeight="1" x14ac:dyDescent="0.35">
      <c r="A904" t="str">
        <f t="shared" si="14"/>
        <v>P630CV01C3831</v>
      </c>
      <c r="B904" t="str">
        <f>IFERROR(VLOOKUP($A904,'[5]Study Budget Mapping '!$O$2:$P$532,2,0),"TBA")</f>
        <v>TBA</v>
      </c>
      <c r="D904" s="2" t="s">
        <v>195</v>
      </c>
      <c r="E904" s="2" t="s">
        <v>17</v>
      </c>
      <c r="F904" s="3">
        <v>365594</v>
      </c>
      <c r="G904" s="3">
        <v>0</v>
      </c>
      <c r="H904" s="4"/>
      <c r="I904" s="4"/>
      <c r="J904" s="4"/>
      <c r="K904" s="4"/>
      <c r="L904" s="4"/>
      <c r="M904" s="4"/>
    </row>
    <row r="905" spans="1:13" ht="15" customHeight="1" x14ac:dyDescent="0.35">
      <c r="A905" t="str">
        <f t="shared" si="14"/>
        <v>P630CV01C3831</v>
      </c>
      <c r="B905" t="str">
        <f>IFERROR(VLOOKUP($A905,'[5]Study Budget Mapping '!$O$2:$P$532,2,0),"TBA")</f>
        <v>TBA</v>
      </c>
      <c r="D905" s="2" t="s">
        <v>195</v>
      </c>
      <c r="E905" s="2" t="s">
        <v>28</v>
      </c>
      <c r="F905" s="3">
        <v>122300</v>
      </c>
      <c r="G905" s="3">
        <v>0</v>
      </c>
      <c r="H905" s="4"/>
      <c r="I905" s="4"/>
      <c r="J905" s="4"/>
      <c r="K905" s="4"/>
      <c r="L905" s="4"/>
      <c r="M905" s="4"/>
    </row>
    <row r="906" spans="1:13" ht="15" customHeight="1" x14ac:dyDescent="0.35">
      <c r="A906" t="str">
        <f t="shared" si="14"/>
        <v>P630CV01C3831</v>
      </c>
      <c r="B906" t="str">
        <f>IFERROR(VLOOKUP($A906,'[5]Study Budget Mapping '!$O$2:$P$532,2,0),"TBA")</f>
        <v>TBA</v>
      </c>
      <c r="D906" s="2" t="s">
        <v>195</v>
      </c>
      <c r="E906" s="2" t="s">
        <v>23</v>
      </c>
      <c r="F906" s="3">
        <v>3449655</v>
      </c>
      <c r="G906" s="3">
        <v>0</v>
      </c>
      <c r="H906" s="4"/>
      <c r="I906" s="4"/>
      <c r="J906" s="4"/>
      <c r="K906" s="4"/>
      <c r="L906" s="4"/>
      <c r="M906" s="4"/>
    </row>
    <row r="907" spans="1:13" ht="15" customHeight="1" x14ac:dyDescent="0.35">
      <c r="A907" t="str">
        <f t="shared" si="14"/>
        <v>P630CV01C4011</v>
      </c>
      <c r="B907" t="str">
        <f>IFERROR(VLOOKUP($A907,'[5]Study Budget Mapping '!$O$2:$P$532,2,0),"TBA")</f>
        <v>TBA</v>
      </c>
      <c r="D907" s="2" t="s">
        <v>196</v>
      </c>
      <c r="E907" s="2" t="s">
        <v>15</v>
      </c>
      <c r="F907" s="3">
        <v>0</v>
      </c>
      <c r="G907" s="3">
        <v>6835000</v>
      </c>
      <c r="H907" s="4"/>
      <c r="I907" s="4"/>
      <c r="J907" s="4"/>
      <c r="K907" s="4"/>
      <c r="L907" s="4"/>
      <c r="M907" s="4"/>
    </row>
    <row r="908" spans="1:13" ht="15" customHeight="1" x14ac:dyDescent="0.35">
      <c r="A908" t="str">
        <f t="shared" si="14"/>
        <v>P630CV01C4711</v>
      </c>
      <c r="B908" t="str">
        <f>IFERROR(VLOOKUP($A908,'[5]Study Budget Mapping '!$O$2:$P$532,2,0),"TBA")</f>
        <v>TBA</v>
      </c>
      <c r="D908" s="2" t="s">
        <v>197</v>
      </c>
      <c r="E908" s="2" t="s">
        <v>22</v>
      </c>
      <c r="F908" s="3">
        <v>5000000</v>
      </c>
      <c r="G908" s="3">
        <v>0</v>
      </c>
      <c r="H908" s="4"/>
      <c r="I908" s="4"/>
      <c r="J908" s="4"/>
      <c r="K908" s="4"/>
      <c r="L908" s="4"/>
      <c r="M908" s="4"/>
    </row>
    <row r="909" spans="1:13" ht="15" customHeight="1" x14ac:dyDescent="0.35">
      <c r="A909" t="str">
        <f t="shared" si="14"/>
        <v>P630CV01C4712</v>
      </c>
      <c r="B909" t="str">
        <f>IFERROR(VLOOKUP($A909,'[5]Study Budget Mapping '!$O$2:$P$532,2,0),"TBA")</f>
        <v>TBA</v>
      </c>
      <c r="D909" s="2" t="s">
        <v>198</v>
      </c>
      <c r="E909" s="2" t="s">
        <v>22</v>
      </c>
      <c r="F909" s="3">
        <v>5000000</v>
      </c>
      <c r="G909" s="3">
        <v>0</v>
      </c>
      <c r="H909" s="4"/>
      <c r="I909" s="4"/>
      <c r="J909" s="4"/>
      <c r="K909" s="4"/>
      <c r="L909" s="4"/>
      <c r="M909" s="4"/>
    </row>
    <row r="910" spans="1:13" ht="15" customHeight="1" x14ac:dyDescent="0.35">
      <c r="A910" t="str">
        <f t="shared" si="14"/>
        <v>P630CV01C5322</v>
      </c>
      <c r="B910" t="str">
        <f>IFERROR(VLOOKUP($A910,'[5]Study Budget Mapping '!$O$2:$P$532,2,0),"TBA")</f>
        <v>TBA</v>
      </c>
      <c r="D910" s="2" t="s">
        <v>199</v>
      </c>
      <c r="E910" s="2" t="s">
        <v>15</v>
      </c>
      <c r="F910" s="3">
        <v>0</v>
      </c>
      <c r="G910" s="3">
        <v>146580</v>
      </c>
      <c r="H910" s="4"/>
      <c r="I910" s="4"/>
      <c r="J910" s="4"/>
      <c r="K910" s="4"/>
      <c r="L910" s="4"/>
      <c r="M910" s="4"/>
    </row>
    <row r="911" spans="1:13" ht="15" customHeight="1" x14ac:dyDescent="0.35">
      <c r="A911" t="str">
        <f t="shared" si="14"/>
        <v>P630CV01C5323</v>
      </c>
      <c r="B911" t="str">
        <f>IFERROR(VLOOKUP($A911,'[5]Study Budget Mapping '!$O$2:$P$532,2,0),"TBA")</f>
        <v>TBA</v>
      </c>
      <c r="D911" s="2" t="s">
        <v>200</v>
      </c>
      <c r="E911" s="2" t="s">
        <v>15</v>
      </c>
      <c r="F911" s="3">
        <v>0</v>
      </c>
      <c r="G911" s="3">
        <v>290648</v>
      </c>
      <c r="H911" s="4"/>
      <c r="I911" s="4"/>
      <c r="J911" s="4"/>
      <c r="K911" s="4"/>
      <c r="L911" s="4"/>
      <c r="M911" s="4"/>
    </row>
    <row r="912" spans="1:13" ht="15" customHeight="1" x14ac:dyDescent="0.35">
      <c r="A912" t="str">
        <f t="shared" si="14"/>
        <v>P630CV01C5325</v>
      </c>
      <c r="B912" t="str">
        <f>IFERROR(VLOOKUP($A912,'[5]Study Budget Mapping '!$O$2:$P$532,2,0),"TBA")</f>
        <v>TBA</v>
      </c>
      <c r="D912" s="2" t="s">
        <v>201</v>
      </c>
      <c r="E912" s="2" t="s">
        <v>15</v>
      </c>
      <c r="F912" s="3">
        <v>0</v>
      </c>
      <c r="G912" s="3">
        <v>73560</v>
      </c>
      <c r="H912" s="4"/>
      <c r="I912" s="4"/>
      <c r="J912" s="4"/>
      <c r="K912" s="4"/>
      <c r="L912" s="4"/>
      <c r="M912" s="4"/>
    </row>
    <row r="913" spans="1:13" ht="15" customHeight="1" x14ac:dyDescent="0.35">
      <c r="A913" t="str">
        <f t="shared" si="14"/>
        <v>P630CV01C5326</v>
      </c>
      <c r="B913" t="str">
        <f>IFERROR(VLOOKUP($A913,'[5]Study Budget Mapping '!$O$2:$P$532,2,0),"TBA")</f>
        <v>TBA</v>
      </c>
      <c r="D913" s="2" t="s">
        <v>202</v>
      </c>
      <c r="E913" s="2" t="s">
        <v>15</v>
      </c>
      <c r="F913" s="3">
        <v>0</v>
      </c>
      <c r="G913" s="3">
        <v>62000</v>
      </c>
      <c r="H913" s="4"/>
      <c r="I913" s="4"/>
      <c r="J913" s="4"/>
      <c r="K913" s="4"/>
      <c r="L913" s="4"/>
      <c r="M913" s="4"/>
    </row>
    <row r="914" spans="1:13" ht="15" customHeight="1" x14ac:dyDescent="0.35">
      <c r="A914" t="str">
        <f t="shared" si="14"/>
        <v>P630CV01C5411</v>
      </c>
      <c r="B914" t="str">
        <f>IFERROR(VLOOKUP($A914,'[5]Study Budget Mapping '!$O$2:$P$532,2,0),"TBA")</f>
        <v>TBA</v>
      </c>
      <c r="D914" s="2" t="s">
        <v>203</v>
      </c>
      <c r="E914" s="2" t="s">
        <v>15</v>
      </c>
      <c r="F914" s="3">
        <v>0</v>
      </c>
      <c r="G914" s="3">
        <v>70000</v>
      </c>
      <c r="H914" s="4"/>
      <c r="I914" s="4"/>
      <c r="J914" s="4"/>
      <c r="K914" s="4"/>
      <c r="L914" s="4"/>
      <c r="M914" s="4"/>
    </row>
    <row r="915" spans="1:13" ht="15" customHeight="1" x14ac:dyDescent="0.35">
      <c r="A915" t="str">
        <f t="shared" si="14"/>
        <v>P630CV01C2511</v>
      </c>
      <c r="B915" t="str">
        <f>IFERROR(VLOOKUP($A915,'[5]Study Budget Mapping '!$O$2:$P$532,2,0),"TBA")</f>
        <v>TBA</v>
      </c>
      <c r="D915" s="2" t="s">
        <v>204</v>
      </c>
      <c r="E915" s="2" t="s">
        <v>15</v>
      </c>
      <c r="F915" s="3">
        <v>6000000</v>
      </c>
      <c r="G915" s="3">
        <v>6000000</v>
      </c>
      <c r="H915" s="4"/>
      <c r="I915" s="4"/>
      <c r="J915" s="4"/>
      <c r="K915" s="4"/>
      <c r="L915" s="4"/>
      <c r="M915" s="4"/>
    </row>
    <row r="916" spans="1:13" ht="15" customHeight="1" x14ac:dyDescent="0.35">
      <c r="A916" t="str">
        <f t="shared" si="14"/>
        <v>P631CV01C1011</v>
      </c>
      <c r="B916" t="str">
        <f>IFERROR(VLOOKUP($A916,'[5]Study Budget Mapping '!$O$2:$P$532,2,0),"TBA")</f>
        <v>TBA</v>
      </c>
      <c r="D916" s="2" t="s">
        <v>205</v>
      </c>
      <c r="E916" s="2" t="s">
        <v>13</v>
      </c>
      <c r="F916" s="3">
        <v>1894122</v>
      </c>
      <c r="G916" s="3">
        <v>0</v>
      </c>
      <c r="H916" s="4"/>
      <c r="I916" s="4"/>
      <c r="J916" s="4"/>
      <c r="K916" s="4"/>
      <c r="L916" s="4"/>
      <c r="M916" s="4"/>
    </row>
    <row r="917" spans="1:13" ht="15" customHeight="1" x14ac:dyDescent="0.35">
      <c r="A917" t="str">
        <f t="shared" si="14"/>
        <v>P631CV01C1011</v>
      </c>
      <c r="B917" t="str">
        <f>IFERROR(VLOOKUP($A917,'[5]Study Budget Mapping '!$O$2:$P$532,2,0),"TBA")</f>
        <v>TBA</v>
      </c>
      <c r="D917" s="2" t="s">
        <v>205</v>
      </c>
      <c r="E917" s="2" t="s">
        <v>31</v>
      </c>
      <c r="F917" s="3">
        <v>6720</v>
      </c>
      <c r="G917" s="3">
        <v>0</v>
      </c>
      <c r="H917" s="4"/>
      <c r="I917" s="4"/>
      <c r="J917" s="4"/>
      <c r="K917" s="4"/>
      <c r="L917" s="4"/>
      <c r="M917" s="4"/>
    </row>
    <row r="918" spans="1:13" ht="15" customHeight="1" x14ac:dyDescent="0.35">
      <c r="A918" t="str">
        <f t="shared" si="14"/>
        <v>P631CV01C1011</v>
      </c>
      <c r="B918" t="str">
        <f>IFERROR(VLOOKUP($A918,'[5]Study Budget Mapping '!$O$2:$P$532,2,0),"TBA")</f>
        <v>TBA</v>
      </c>
      <c r="D918" s="2" t="s">
        <v>205</v>
      </c>
      <c r="E918" s="2" t="s">
        <v>15</v>
      </c>
      <c r="F918" s="3">
        <v>0</v>
      </c>
      <c r="G918" s="3">
        <v>1864044.9</v>
      </c>
      <c r="H918" s="4"/>
      <c r="I918" s="4"/>
      <c r="J918" s="4"/>
      <c r="K918" s="4"/>
      <c r="L918" s="4"/>
      <c r="M918" s="4"/>
    </row>
    <row r="919" spans="1:13" ht="15" customHeight="1" x14ac:dyDescent="0.35">
      <c r="A919" t="str">
        <f t="shared" si="14"/>
        <v>P631CV01C1011</v>
      </c>
      <c r="B919" t="str">
        <f>IFERROR(VLOOKUP($A919,'[5]Study Budget Mapping '!$O$2:$P$532,2,0),"TBA")</f>
        <v>TBA</v>
      </c>
      <c r="D919" s="2" t="s">
        <v>205</v>
      </c>
      <c r="E919" s="2" t="s">
        <v>23</v>
      </c>
      <c r="F919" s="3">
        <v>378867</v>
      </c>
      <c r="G919" s="3">
        <v>0</v>
      </c>
      <c r="H919" s="4"/>
      <c r="I919" s="4"/>
      <c r="J919" s="4"/>
      <c r="K919" s="4"/>
      <c r="L919" s="4"/>
      <c r="M919" s="4"/>
    </row>
    <row r="920" spans="1:13" ht="15" customHeight="1" x14ac:dyDescent="0.35">
      <c r="A920" t="str">
        <f t="shared" si="14"/>
        <v>P640IM00C1011</v>
      </c>
      <c r="B920" t="str">
        <f>IFERROR(VLOOKUP($A920,'[5]Study Budget Mapping '!$O$2:$P$532,2,0),"TBA")</f>
        <v>TBA</v>
      </c>
      <c r="D920" s="2" t="s">
        <v>206</v>
      </c>
      <c r="E920" s="2" t="s">
        <v>13</v>
      </c>
      <c r="F920" s="3">
        <v>494083</v>
      </c>
      <c r="G920" s="3">
        <v>0</v>
      </c>
      <c r="H920" s="4"/>
      <c r="I920" s="4"/>
      <c r="J920" s="4"/>
      <c r="K920" s="4"/>
      <c r="L920" s="4"/>
      <c r="M920" s="4"/>
    </row>
    <row r="921" spans="1:13" ht="15" customHeight="1" x14ac:dyDescent="0.35">
      <c r="A921" t="str">
        <f t="shared" si="14"/>
        <v>P640IM00C1011</v>
      </c>
      <c r="B921" t="str">
        <f>IFERROR(VLOOKUP($A921,'[5]Study Budget Mapping '!$O$2:$P$532,2,0),"TBA")</f>
        <v>TBA</v>
      </c>
      <c r="D921" s="2" t="s">
        <v>206</v>
      </c>
      <c r="E921" s="2" t="s">
        <v>14</v>
      </c>
      <c r="F921" s="3">
        <v>82001</v>
      </c>
      <c r="G921" s="3">
        <v>0</v>
      </c>
      <c r="H921" s="4"/>
      <c r="I921" s="4"/>
      <c r="J921" s="4"/>
      <c r="K921" s="4"/>
      <c r="L921" s="4"/>
      <c r="M921" s="4"/>
    </row>
    <row r="922" spans="1:13" ht="15" customHeight="1" x14ac:dyDescent="0.35">
      <c r="A922" t="str">
        <f t="shared" si="14"/>
        <v>P640IM00C1011</v>
      </c>
      <c r="B922" t="str">
        <f>IFERROR(VLOOKUP($A922,'[5]Study Budget Mapping '!$O$2:$P$532,2,0),"TBA")</f>
        <v>TBA</v>
      </c>
      <c r="D922" s="2" t="s">
        <v>206</v>
      </c>
      <c r="E922" s="2" t="s">
        <v>19</v>
      </c>
      <c r="F922" s="3">
        <v>1</v>
      </c>
      <c r="G922" s="3">
        <v>0</v>
      </c>
      <c r="H922" s="4"/>
      <c r="I922" s="4"/>
      <c r="J922" s="4"/>
      <c r="K922" s="4"/>
      <c r="L922" s="4"/>
      <c r="M922" s="4"/>
    </row>
    <row r="923" spans="1:13" ht="15" customHeight="1" x14ac:dyDescent="0.35">
      <c r="A923" t="str">
        <f t="shared" si="14"/>
        <v>P640IM00C1011</v>
      </c>
      <c r="B923" t="str">
        <f>IFERROR(VLOOKUP($A923,'[5]Study Budget Mapping '!$O$2:$P$532,2,0),"TBA")</f>
        <v>TBA</v>
      </c>
      <c r="D923" s="2" t="s">
        <v>206</v>
      </c>
      <c r="E923" s="2" t="s">
        <v>31</v>
      </c>
      <c r="F923" s="3">
        <v>8379</v>
      </c>
      <c r="G923" s="3">
        <v>0</v>
      </c>
      <c r="H923" s="4"/>
      <c r="I923" s="4"/>
      <c r="J923" s="4"/>
      <c r="K923" s="4"/>
      <c r="L923" s="4"/>
      <c r="M923" s="4"/>
    </row>
    <row r="924" spans="1:13" ht="15" customHeight="1" x14ac:dyDescent="0.35">
      <c r="A924" t="str">
        <f t="shared" si="14"/>
        <v>P640IM00C1011</v>
      </c>
      <c r="B924" t="str">
        <f>IFERROR(VLOOKUP($A924,'[5]Study Budget Mapping '!$O$2:$P$532,2,0),"TBA")</f>
        <v>TBA</v>
      </c>
      <c r="D924" s="2" t="s">
        <v>206</v>
      </c>
      <c r="E924" s="2" t="s">
        <v>15</v>
      </c>
      <c r="F924" s="3">
        <v>0</v>
      </c>
      <c r="G924" s="3">
        <v>903125.52000000014</v>
      </c>
      <c r="H924" s="4"/>
      <c r="I924" s="4"/>
      <c r="J924" s="4"/>
      <c r="K924" s="4"/>
      <c r="L924" s="4"/>
      <c r="M924" s="4"/>
    </row>
    <row r="925" spans="1:13" ht="15" customHeight="1" x14ac:dyDescent="0.35">
      <c r="A925" t="str">
        <f t="shared" si="14"/>
        <v>P640IM00C1011</v>
      </c>
      <c r="B925" t="str">
        <f>IFERROR(VLOOKUP($A925,'[5]Study Budget Mapping '!$O$2:$P$532,2,0),"TBA")</f>
        <v>TBA</v>
      </c>
      <c r="D925" s="2" t="s">
        <v>206</v>
      </c>
      <c r="E925" s="2" t="s">
        <v>28</v>
      </c>
      <c r="F925" s="3">
        <v>84601</v>
      </c>
      <c r="G925" s="3">
        <v>0</v>
      </c>
      <c r="H925" s="4"/>
      <c r="I925" s="4"/>
      <c r="J925" s="4"/>
      <c r="K925" s="4"/>
      <c r="L925" s="4"/>
      <c r="M925" s="4"/>
    </row>
    <row r="926" spans="1:13" ht="15" customHeight="1" x14ac:dyDescent="0.35">
      <c r="A926" t="str">
        <f t="shared" si="14"/>
        <v>P640IM00C1011</v>
      </c>
      <c r="B926" t="str">
        <f>IFERROR(VLOOKUP($A926,'[5]Study Budget Mapping '!$O$2:$P$532,2,0),"TBA")</f>
        <v>TBA</v>
      </c>
      <c r="D926" s="2" t="s">
        <v>206</v>
      </c>
      <c r="E926" s="2" t="s">
        <v>23</v>
      </c>
      <c r="F926" s="3">
        <v>161192</v>
      </c>
      <c r="G926" s="3">
        <v>0</v>
      </c>
      <c r="H926" s="4"/>
      <c r="I926" s="4"/>
      <c r="J926" s="4"/>
      <c r="K926" s="4"/>
      <c r="L926" s="4"/>
      <c r="M926" s="4"/>
    </row>
    <row r="927" spans="1:13" ht="15" customHeight="1" x14ac:dyDescent="0.35">
      <c r="A927" t="str">
        <f t="shared" si="14"/>
        <v>P640IM00C1011</v>
      </c>
      <c r="B927" t="str">
        <f>IFERROR(VLOOKUP($A927,'[5]Study Budget Mapping '!$O$2:$P$532,2,0),"TBA")</f>
        <v>TBA</v>
      </c>
      <c r="D927" s="2" t="s">
        <v>206</v>
      </c>
      <c r="E927" s="2" t="s">
        <v>32</v>
      </c>
      <c r="F927" s="3">
        <v>1</v>
      </c>
      <c r="G927" s="3">
        <v>0</v>
      </c>
      <c r="H927" s="4"/>
      <c r="I927" s="4"/>
      <c r="J927" s="4"/>
      <c r="K927" s="4"/>
      <c r="L927" s="4"/>
      <c r="M927" s="4"/>
    </row>
    <row r="928" spans="1:13" ht="15" customHeight="1" x14ac:dyDescent="0.35">
      <c r="A928" t="str">
        <f t="shared" si="14"/>
        <v>P640IM08C2421</v>
      </c>
      <c r="B928" t="str">
        <f>IFERROR(VLOOKUP($A928,'[5]Study Budget Mapping '!$O$2:$P$532,2,0),"TBA")</f>
        <v>TBA</v>
      </c>
      <c r="D928" s="2" t="s">
        <v>207</v>
      </c>
      <c r="E928" s="2" t="s">
        <v>13</v>
      </c>
      <c r="F928" s="3">
        <v>434750</v>
      </c>
      <c r="G928" s="3">
        <v>0</v>
      </c>
      <c r="H928" s="4"/>
      <c r="I928" s="4"/>
      <c r="J928" s="4"/>
      <c r="K928" s="4"/>
      <c r="L928" s="4"/>
      <c r="M928" s="4"/>
    </row>
    <row r="929" spans="1:13" ht="15" customHeight="1" x14ac:dyDescent="0.35">
      <c r="A929" t="str">
        <f t="shared" si="14"/>
        <v>P640IM08C2421</v>
      </c>
      <c r="B929" t="str">
        <f>IFERROR(VLOOKUP($A929,'[5]Study Budget Mapping '!$O$2:$P$532,2,0),"TBA")</f>
        <v>TBA</v>
      </c>
      <c r="D929" s="2" t="s">
        <v>207</v>
      </c>
      <c r="E929" s="2" t="s">
        <v>14</v>
      </c>
      <c r="F929" s="3">
        <v>148940</v>
      </c>
      <c r="G929" s="3">
        <v>0</v>
      </c>
      <c r="H929" s="4"/>
      <c r="I929" s="4"/>
      <c r="J929" s="4"/>
      <c r="K929" s="4"/>
      <c r="L929" s="4"/>
      <c r="M929" s="4"/>
    </row>
    <row r="930" spans="1:13" ht="15" customHeight="1" x14ac:dyDescent="0.35">
      <c r="A930" t="str">
        <f t="shared" si="14"/>
        <v>P640IM08C2421</v>
      </c>
      <c r="B930" t="str">
        <f>IFERROR(VLOOKUP($A930,'[5]Study Budget Mapping '!$O$2:$P$532,2,0),"TBA")</f>
        <v>TBA</v>
      </c>
      <c r="D930" s="2" t="s">
        <v>207</v>
      </c>
      <c r="E930" s="2" t="s">
        <v>31</v>
      </c>
      <c r="F930" s="3">
        <v>6000</v>
      </c>
      <c r="G930" s="3">
        <v>0</v>
      </c>
      <c r="H930" s="4"/>
      <c r="I930" s="4"/>
      <c r="J930" s="4"/>
      <c r="K930" s="4"/>
      <c r="L930" s="4"/>
      <c r="M930" s="4"/>
    </row>
    <row r="931" spans="1:13" ht="15" customHeight="1" x14ac:dyDescent="0.35">
      <c r="A931" t="str">
        <f t="shared" si="14"/>
        <v>P640IM08C2421</v>
      </c>
      <c r="B931" t="str">
        <f>IFERROR(VLOOKUP($A931,'[5]Study Budget Mapping '!$O$2:$P$532,2,0),"TBA")</f>
        <v>TBA</v>
      </c>
      <c r="D931" s="2" t="s">
        <v>207</v>
      </c>
      <c r="E931" s="2" t="s">
        <v>15</v>
      </c>
      <c r="F931" s="3">
        <v>1441916</v>
      </c>
      <c r="G931" s="3">
        <v>5101026.2</v>
      </c>
      <c r="H931" s="4"/>
      <c r="I931" s="4"/>
      <c r="J931" s="4"/>
      <c r="K931" s="4"/>
      <c r="L931" s="4"/>
      <c r="M931" s="4"/>
    </row>
    <row r="932" spans="1:13" ht="15" customHeight="1" x14ac:dyDescent="0.35">
      <c r="A932" t="str">
        <f t="shared" si="14"/>
        <v>P640IM08C2421</v>
      </c>
      <c r="B932" t="str">
        <f>IFERROR(VLOOKUP($A932,'[5]Study Budget Mapping '!$O$2:$P$532,2,0),"TBA")</f>
        <v>TBA</v>
      </c>
      <c r="D932" s="2" t="s">
        <v>207</v>
      </c>
      <c r="E932" s="2" t="s">
        <v>16</v>
      </c>
      <c r="F932" s="3">
        <v>159106</v>
      </c>
      <c r="G932" s="3">
        <v>0</v>
      </c>
      <c r="H932" s="4"/>
      <c r="I932" s="4"/>
      <c r="J932" s="4"/>
      <c r="K932" s="4"/>
      <c r="L932" s="4"/>
      <c r="M932" s="4"/>
    </row>
    <row r="933" spans="1:13" ht="15" customHeight="1" x14ac:dyDescent="0.35">
      <c r="A933" t="str">
        <f t="shared" si="14"/>
        <v>P640IM08C2421</v>
      </c>
      <c r="B933" t="str">
        <f>IFERROR(VLOOKUP($A933,'[5]Study Budget Mapping '!$O$2:$P$532,2,0),"TBA")</f>
        <v>TBA</v>
      </c>
      <c r="D933" s="2" t="s">
        <v>207</v>
      </c>
      <c r="E933" s="2" t="s">
        <v>17</v>
      </c>
      <c r="F933" s="3">
        <v>306600</v>
      </c>
      <c r="G933" s="3">
        <v>0</v>
      </c>
      <c r="H933" s="4"/>
      <c r="I933" s="4"/>
      <c r="J933" s="4"/>
      <c r="K933" s="4"/>
      <c r="L933" s="4"/>
      <c r="M933" s="4"/>
    </row>
    <row r="934" spans="1:13" ht="15" customHeight="1" x14ac:dyDescent="0.35">
      <c r="A934" t="str">
        <f t="shared" si="14"/>
        <v>P640IM08C2421</v>
      </c>
      <c r="B934" t="str">
        <f>IFERROR(VLOOKUP($A934,'[5]Study Budget Mapping '!$O$2:$P$532,2,0),"TBA")</f>
        <v>TBA</v>
      </c>
      <c r="D934" s="2" t="s">
        <v>207</v>
      </c>
      <c r="E934" s="2" t="s">
        <v>28</v>
      </c>
      <c r="F934" s="3">
        <v>171737</v>
      </c>
      <c r="G934" s="3">
        <v>0</v>
      </c>
      <c r="H934" s="4"/>
      <c r="I934" s="4"/>
      <c r="J934" s="4"/>
      <c r="K934" s="4"/>
      <c r="L934" s="4"/>
      <c r="M934" s="4"/>
    </row>
    <row r="935" spans="1:13" ht="15" customHeight="1" x14ac:dyDescent="0.35">
      <c r="A935" t="str">
        <f t="shared" si="14"/>
        <v>P640IM08C2421</v>
      </c>
      <c r="B935" t="str">
        <f>IFERROR(VLOOKUP($A935,'[5]Study Budget Mapping '!$O$2:$P$532,2,0),"TBA")</f>
        <v>TBA</v>
      </c>
      <c r="D935" s="2" t="s">
        <v>207</v>
      </c>
      <c r="E935" s="2" t="s">
        <v>23</v>
      </c>
      <c r="F935" s="3">
        <v>377911</v>
      </c>
      <c r="G935" s="3">
        <v>0</v>
      </c>
      <c r="H935" s="4"/>
      <c r="I935" s="4"/>
      <c r="J935" s="4"/>
      <c r="K935" s="4"/>
      <c r="L935" s="4"/>
      <c r="M935" s="4"/>
    </row>
    <row r="936" spans="1:13" ht="15" customHeight="1" x14ac:dyDescent="0.35">
      <c r="A936" t="str">
        <f t="shared" si="14"/>
        <v>P645OD00C1011</v>
      </c>
      <c r="B936" t="str">
        <f>IFERROR(VLOOKUP($A936,'[5]Study Budget Mapping '!$O$2:$P$532,2,0),"TBA")</f>
        <v>TBA</v>
      </c>
      <c r="D936" s="2" t="s">
        <v>208</v>
      </c>
      <c r="E936" s="2" t="s">
        <v>13</v>
      </c>
      <c r="F936" s="3">
        <v>1200000</v>
      </c>
      <c r="G936" s="3">
        <v>1200000</v>
      </c>
      <c r="H936" s="4"/>
      <c r="I936" s="4"/>
      <c r="J936" s="4"/>
      <c r="K936" s="4"/>
      <c r="L936" s="4"/>
      <c r="M936" s="4"/>
    </row>
    <row r="937" spans="1:13" ht="15" customHeight="1" x14ac:dyDescent="0.35">
      <c r="A937" t="str">
        <f t="shared" si="14"/>
        <v>P645OD00C1011</v>
      </c>
      <c r="B937" t="str">
        <f>IFERROR(VLOOKUP($A937,'[5]Study Budget Mapping '!$O$2:$P$532,2,0),"TBA")</f>
        <v>TBA</v>
      </c>
      <c r="D937" s="2" t="s">
        <v>208</v>
      </c>
      <c r="E937" s="2" t="s">
        <v>14</v>
      </c>
      <c r="F937" s="3">
        <v>193571</v>
      </c>
      <c r="G937" s="3">
        <v>193571</v>
      </c>
      <c r="H937" s="4"/>
      <c r="I937" s="4"/>
      <c r="J937" s="4"/>
      <c r="K937" s="4"/>
      <c r="L937" s="4"/>
      <c r="M937" s="4"/>
    </row>
    <row r="938" spans="1:13" ht="15" customHeight="1" x14ac:dyDescent="0.35">
      <c r="A938" t="str">
        <f t="shared" si="14"/>
        <v>P645OD00C1011</v>
      </c>
      <c r="B938" t="str">
        <f>IFERROR(VLOOKUP($A938,'[5]Study Budget Mapping '!$O$2:$P$532,2,0),"TBA")</f>
        <v>TBA</v>
      </c>
      <c r="D938" s="2" t="s">
        <v>208</v>
      </c>
      <c r="E938" s="2" t="s">
        <v>19</v>
      </c>
      <c r="F938" s="3">
        <v>169690</v>
      </c>
      <c r="G938" s="3">
        <v>169690</v>
      </c>
      <c r="H938" s="4"/>
      <c r="I938" s="4"/>
      <c r="J938" s="4"/>
      <c r="K938" s="4"/>
      <c r="L938" s="4"/>
      <c r="M938" s="4"/>
    </row>
    <row r="939" spans="1:13" ht="15" customHeight="1" x14ac:dyDescent="0.35">
      <c r="A939" t="str">
        <f t="shared" si="14"/>
        <v>P645OD00C1011</v>
      </c>
      <c r="B939" t="str">
        <f>IFERROR(VLOOKUP($A939,'[5]Study Budget Mapping '!$O$2:$P$532,2,0),"TBA")</f>
        <v>TBA</v>
      </c>
      <c r="D939" s="2" t="s">
        <v>208</v>
      </c>
      <c r="E939" s="2" t="s">
        <v>20</v>
      </c>
      <c r="F939" s="3">
        <v>507491</v>
      </c>
      <c r="G939" s="3">
        <v>507491</v>
      </c>
      <c r="H939" s="4"/>
      <c r="I939" s="4"/>
      <c r="J939" s="4"/>
      <c r="K939" s="4"/>
      <c r="L939" s="4"/>
      <c r="M939" s="4"/>
    </row>
    <row r="940" spans="1:13" ht="15" customHeight="1" x14ac:dyDescent="0.35">
      <c r="A940" t="str">
        <f t="shared" si="14"/>
        <v>P645OD00C1011</v>
      </c>
      <c r="B940" t="str">
        <f>IFERROR(VLOOKUP($A940,'[5]Study Budget Mapping '!$O$2:$P$532,2,0),"TBA")</f>
        <v>TBA</v>
      </c>
      <c r="D940" s="2" t="s">
        <v>208</v>
      </c>
      <c r="E940" s="2" t="s">
        <v>15</v>
      </c>
      <c r="F940" s="3">
        <v>39425</v>
      </c>
      <c r="G940" s="3">
        <v>39425</v>
      </c>
      <c r="H940" s="4"/>
      <c r="I940" s="4"/>
      <c r="J940" s="4"/>
      <c r="K940" s="4"/>
      <c r="L940" s="4"/>
      <c r="M940" s="4"/>
    </row>
    <row r="941" spans="1:13" ht="15" customHeight="1" x14ac:dyDescent="0.35">
      <c r="A941" t="str">
        <f t="shared" si="14"/>
        <v>P645OD00C1011</v>
      </c>
      <c r="B941" t="str">
        <f>IFERROR(VLOOKUP($A941,'[5]Study Budget Mapping '!$O$2:$P$532,2,0),"TBA")</f>
        <v>TBA</v>
      </c>
      <c r="D941" s="2" t="s">
        <v>208</v>
      </c>
      <c r="E941" s="2" t="s">
        <v>16</v>
      </c>
      <c r="F941" s="3">
        <v>16891</v>
      </c>
      <c r="G941" s="3">
        <v>16891</v>
      </c>
      <c r="H941" s="4"/>
      <c r="I941" s="4"/>
      <c r="J941" s="4"/>
      <c r="K941" s="4"/>
      <c r="L941" s="4"/>
      <c r="M941" s="4"/>
    </row>
    <row r="942" spans="1:13" ht="15" customHeight="1" x14ac:dyDescent="0.35">
      <c r="A942" t="str">
        <f t="shared" si="14"/>
        <v>P645OD00C1011</v>
      </c>
      <c r="B942" t="str">
        <f>IFERROR(VLOOKUP($A942,'[5]Study Budget Mapping '!$O$2:$P$532,2,0),"TBA")</f>
        <v>TBA</v>
      </c>
      <c r="D942" s="2" t="s">
        <v>208</v>
      </c>
      <c r="E942" s="2" t="s">
        <v>28</v>
      </c>
      <c r="F942" s="3">
        <v>556431</v>
      </c>
      <c r="G942" s="3">
        <v>556431</v>
      </c>
      <c r="H942" s="4"/>
      <c r="I942" s="4"/>
      <c r="J942" s="4"/>
      <c r="K942" s="4"/>
      <c r="L942" s="4"/>
      <c r="M942" s="4"/>
    </row>
    <row r="943" spans="1:13" ht="15" customHeight="1" x14ac:dyDescent="0.35">
      <c r="A943" t="str">
        <f t="shared" si="14"/>
        <v>P645OD00C1011</v>
      </c>
      <c r="B943" t="str">
        <f>IFERROR(VLOOKUP($A943,'[5]Study Budget Mapping '!$O$2:$P$532,2,0),"TBA")</f>
        <v>TBA</v>
      </c>
      <c r="D943" s="2" t="s">
        <v>208</v>
      </c>
      <c r="E943" s="2" t="s">
        <v>23</v>
      </c>
      <c r="F943" s="3">
        <v>120000</v>
      </c>
      <c r="G943" s="3">
        <v>120000</v>
      </c>
      <c r="H943" s="4"/>
      <c r="I943" s="4"/>
      <c r="J943" s="4"/>
      <c r="K943" s="4"/>
      <c r="L943" s="4"/>
      <c r="M943" s="4"/>
    </row>
    <row r="944" spans="1:13" ht="15" customHeight="1" x14ac:dyDescent="0.35">
      <c r="A944" t="str">
        <f t="shared" si="14"/>
        <v>P645OD01C1411</v>
      </c>
      <c r="B944" t="str">
        <f>IFERROR(VLOOKUP($A944,'[5]Study Budget Mapping '!$O$2:$P$532,2,0),"TBA")</f>
        <v>TBA</v>
      </c>
      <c r="D944" s="2" t="s">
        <v>209</v>
      </c>
      <c r="E944" s="2" t="s">
        <v>13</v>
      </c>
      <c r="F944" s="3">
        <v>1644500</v>
      </c>
      <c r="G944" s="3">
        <v>0</v>
      </c>
      <c r="H944" s="4"/>
      <c r="I944" s="4"/>
      <c r="J944" s="4"/>
      <c r="K944" s="4"/>
      <c r="L944" s="4"/>
      <c r="M944" s="4"/>
    </row>
    <row r="945" spans="1:13" ht="15" customHeight="1" x14ac:dyDescent="0.35">
      <c r="A945" t="str">
        <f t="shared" si="14"/>
        <v>P645OD01C1411</v>
      </c>
      <c r="B945" t="str">
        <f>IFERROR(VLOOKUP($A945,'[5]Study Budget Mapping '!$O$2:$P$532,2,0),"TBA")</f>
        <v>TBA</v>
      </c>
      <c r="D945" s="2" t="s">
        <v>209</v>
      </c>
      <c r="E945" s="2" t="s">
        <v>20</v>
      </c>
      <c r="F945" s="3">
        <v>1100000</v>
      </c>
      <c r="G945" s="3">
        <v>0</v>
      </c>
      <c r="H945" s="4"/>
      <c r="I945" s="4"/>
      <c r="J945" s="4"/>
      <c r="K945" s="4"/>
      <c r="L945" s="4"/>
      <c r="M945" s="4"/>
    </row>
    <row r="946" spans="1:13" ht="15" customHeight="1" x14ac:dyDescent="0.35">
      <c r="A946" t="str">
        <f t="shared" si="14"/>
        <v>P645OD01C1411</v>
      </c>
      <c r="B946" t="str">
        <f>IFERROR(VLOOKUP($A946,'[5]Study Budget Mapping '!$O$2:$P$532,2,0),"TBA")</f>
        <v>TBA</v>
      </c>
      <c r="D946" s="2" t="s">
        <v>209</v>
      </c>
      <c r="E946" s="2" t="s">
        <v>15</v>
      </c>
      <c r="F946" s="3">
        <v>0</v>
      </c>
      <c r="G946" s="3">
        <v>2251116.2400000002</v>
      </c>
      <c r="H946" s="4"/>
      <c r="I946" s="4"/>
      <c r="J946" s="4"/>
      <c r="K946" s="4"/>
      <c r="L946" s="4"/>
      <c r="M946" s="4"/>
    </row>
    <row r="947" spans="1:13" ht="15" customHeight="1" x14ac:dyDescent="0.35">
      <c r="A947" t="str">
        <f t="shared" si="14"/>
        <v>P645OD01C1411</v>
      </c>
      <c r="B947" t="str">
        <f>IFERROR(VLOOKUP($A947,'[5]Study Budget Mapping '!$O$2:$P$532,2,0),"TBA")</f>
        <v>TBA</v>
      </c>
      <c r="D947" s="2" t="s">
        <v>209</v>
      </c>
      <c r="E947" s="2" t="s">
        <v>16</v>
      </c>
      <c r="F947" s="3">
        <v>1024264</v>
      </c>
      <c r="G947" s="3">
        <v>0</v>
      </c>
      <c r="H947" s="4"/>
      <c r="I947" s="4"/>
      <c r="J947" s="4"/>
      <c r="K947" s="4"/>
      <c r="L947" s="4"/>
      <c r="M947" s="4"/>
    </row>
    <row r="948" spans="1:13" ht="15" customHeight="1" x14ac:dyDescent="0.35">
      <c r="A948" t="str">
        <f t="shared" si="14"/>
        <v>P645OD01C1411</v>
      </c>
      <c r="B948" t="str">
        <f>IFERROR(VLOOKUP($A948,'[5]Study Budget Mapping '!$O$2:$P$532,2,0),"TBA")</f>
        <v>TBA</v>
      </c>
      <c r="D948" s="2" t="s">
        <v>209</v>
      </c>
      <c r="E948" s="2" t="s">
        <v>17</v>
      </c>
      <c r="F948" s="3">
        <v>216232</v>
      </c>
      <c r="G948" s="3">
        <v>0</v>
      </c>
      <c r="H948" s="4"/>
      <c r="I948" s="4"/>
      <c r="J948" s="4"/>
      <c r="K948" s="4"/>
      <c r="L948" s="4"/>
      <c r="M948" s="4"/>
    </row>
    <row r="949" spans="1:13" ht="15" customHeight="1" x14ac:dyDescent="0.35">
      <c r="A949" t="str">
        <f t="shared" si="14"/>
        <v>P645OD01C1411</v>
      </c>
      <c r="B949" t="str">
        <f>IFERROR(VLOOKUP($A949,'[5]Study Budget Mapping '!$O$2:$P$532,2,0),"TBA")</f>
        <v>TBA</v>
      </c>
      <c r="D949" s="2" t="s">
        <v>209</v>
      </c>
      <c r="E949" s="2" t="s">
        <v>28</v>
      </c>
      <c r="F949" s="3">
        <v>442247</v>
      </c>
      <c r="G949" s="3">
        <v>0</v>
      </c>
      <c r="H949" s="4"/>
      <c r="I949" s="4"/>
      <c r="J949" s="4"/>
      <c r="K949" s="4"/>
      <c r="L949" s="4"/>
      <c r="M949" s="4"/>
    </row>
    <row r="950" spans="1:13" ht="15" customHeight="1" x14ac:dyDescent="0.35">
      <c r="A950" t="str">
        <f t="shared" si="14"/>
        <v>P645OD01C1411</v>
      </c>
      <c r="B950" t="str">
        <f>IFERROR(VLOOKUP($A950,'[5]Study Budget Mapping '!$O$2:$P$532,2,0),"TBA")</f>
        <v>TBA</v>
      </c>
      <c r="D950" s="2" t="s">
        <v>209</v>
      </c>
      <c r="E950" s="2" t="s">
        <v>23</v>
      </c>
      <c r="F950" s="3">
        <v>29210</v>
      </c>
      <c r="G950" s="3">
        <v>0</v>
      </c>
      <c r="H950" s="4"/>
      <c r="I950" s="4"/>
      <c r="J950" s="4"/>
      <c r="K950" s="4"/>
      <c r="L950" s="4"/>
      <c r="M950" s="4"/>
    </row>
    <row r="951" spans="1:13" ht="15" customHeight="1" x14ac:dyDescent="0.35">
      <c r="A951" t="str">
        <f t="shared" si="14"/>
        <v>P645OD01C2431</v>
      </c>
      <c r="B951" t="str">
        <f>IFERROR(VLOOKUP($A951,'[5]Study Budget Mapping '!$O$2:$P$532,2,0),"TBA")</f>
        <v>TBA</v>
      </c>
      <c r="D951" s="2" t="s">
        <v>210</v>
      </c>
      <c r="E951" s="2" t="s">
        <v>13</v>
      </c>
      <c r="F951" s="3">
        <v>10409400</v>
      </c>
      <c r="G951" s="3">
        <v>0</v>
      </c>
      <c r="H951" s="4"/>
      <c r="I951" s="4"/>
      <c r="J951" s="4"/>
      <c r="K951" s="4"/>
      <c r="L951" s="4"/>
      <c r="M951" s="4"/>
    </row>
    <row r="952" spans="1:13" ht="15" customHeight="1" x14ac:dyDescent="0.35">
      <c r="A952" t="str">
        <f t="shared" si="14"/>
        <v>P645OD01C2431</v>
      </c>
      <c r="B952" t="str">
        <f>IFERROR(VLOOKUP($A952,'[5]Study Budget Mapping '!$O$2:$P$532,2,0),"TBA")</f>
        <v>TBA</v>
      </c>
      <c r="D952" s="2" t="s">
        <v>210</v>
      </c>
      <c r="E952" s="2" t="s">
        <v>14</v>
      </c>
      <c r="F952" s="3">
        <v>734750</v>
      </c>
      <c r="G952" s="3">
        <v>0</v>
      </c>
      <c r="H952" s="4"/>
      <c r="I952" s="4"/>
      <c r="J952" s="4"/>
      <c r="K952" s="4"/>
      <c r="L952" s="4"/>
      <c r="M952" s="4"/>
    </row>
    <row r="953" spans="1:13" ht="15" customHeight="1" x14ac:dyDescent="0.35">
      <c r="A953" t="str">
        <f t="shared" si="14"/>
        <v>P645OD01C2431</v>
      </c>
      <c r="B953" t="str">
        <f>IFERROR(VLOOKUP($A953,'[5]Study Budget Mapping '!$O$2:$P$532,2,0),"TBA")</f>
        <v>TBA</v>
      </c>
      <c r="D953" s="2" t="s">
        <v>210</v>
      </c>
      <c r="E953" s="2" t="s">
        <v>19</v>
      </c>
      <c r="F953" s="3">
        <v>385525</v>
      </c>
      <c r="G953" s="3">
        <v>0</v>
      </c>
      <c r="H953" s="4"/>
      <c r="I953" s="4"/>
      <c r="J953" s="4"/>
      <c r="K953" s="4"/>
      <c r="L953" s="4"/>
      <c r="M953" s="4"/>
    </row>
    <row r="954" spans="1:13" ht="15" customHeight="1" x14ac:dyDescent="0.35">
      <c r="A954" t="str">
        <f t="shared" si="14"/>
        <v>P645OD01C2431</v>
      </c>
      <c r="B954" t="str">
        <f>IFERROR(VLOOKUP($A954,'[5]Study Budget Mapping '!$O$2:$P$532,2,0),"TBA")</f>
        <v>TBA</v>
      </c>
      <c r="D954" s="2" t="s">
        <v>210</v>
      </c>
      <c r="E954" s="2" t="s">
        <v>20</v>
      </c>
      <c r="F954" s="3">
        <v>2433541</v>
      </c>
      <c r="G954" s="3">
        <v>0</v>
      </c>
      <c r="H954" s="4"/>
      <c r="I954" s="4"/>
      <c r="J954" s="4"/>
      <c r="K954" s="4"/>
      <c r="L954" s="4"/>
      <c r="M954" s="4"/>
    </row>
    <row r="955" spans="1:13" ht="15" customHeight="1" x14ac:dyDescent="0.35">
      <c r="A955" t="str">
        <f t="shared" si="14"/>
        <v>P645OD01C2431</v>
      </c>
      <c r="B955" t="str">
        <f>IFERROR(VLOOKUP($A955,'[5]Study Budget Mapping '!$O$2:$P$532,2,0),"TBA")</f>
        <v>TBA</v>
      </c>
      <c r="D955" s="2" t="s">
        <v>210</v>
      </c>
      <c r="E955" s="2" t="s">
        <v>15</v>
      </c>
      <c r="F955" s="3">
        <v>9911671</v>
      </c>
      <c r="G955" s="3">
        <v>29235404.989999998</v>
      </c>
      <c r="H955" s="4"/>
      <c r="I955" s="4"/>
      <c r="J955" s="4"/>
      <c r="K955" s="4"/>
      <c r="L955" s="4"/>
      <c r="M955" s="4"/>
    </row>
    <row r="956" spans="1:13" ht="15" customHeight="1" x14ac:dyDescent="0.35">
      <c r="A956" t="str">
        <f t="shared" si="14"/>
        <v>P645OD01C2431</v>
      </c>
      <c r="B956" t="str">
        <f>IFERROR(VLOOKUP($A956,'[5]Study Budget Mapping '!$O$2:$P$532,2,0),"TBA")</f>
        <v>TBA</v>
      </c>
      <c r="D956" s="2" t="s">
        <v>210</v>
      </c>
      <c r="E956" s="2" t="s">
        <v>16</v>
      </c>
      <c r="F956" s="3">
        <v>1004194</v>
      </c>
      <c r="G956" s="3">
        <v>0</v>
      </c>
      <c r="H956" s="4"/>
      <c r="I956" s="4"/>
      <c r="J956" s="4"/>
      <c r="K956" s="4"/>
      <c r="L956" s="4"/>
      <c r="M956" s="4"/>
    </row>
    <row r="957" spans="1:13" ht="15" customHeight="1" x14ac:dyDescent="0.35">
      <c r="A957" t="str">
        <f t="shared" si="14"/>
        <v>P645OD01C2431</v>
      </c>
      <c r="B957" t="str">
        <f>IFERROR(VLOOKUP($A957,'[5]Study Budget Mapping '!$O$2:$P$532,2,0),"TBA")</f>
        <v>TBA</v>
      </c>
      <c r="D957" s="2" t="s">
        <v>210</v>
      </c>
      <c r="E957" s="2" t="s">
        <v>23</v>
      </c>
      <c r="F957" s="3">
        <v>900395</v>
      </c>
      <c r="G957" s="3">
        <v>0</v>
      </c>
      <c r="H957" s="4"/>
      <c r="I957" s="4"/>
      <c r="J957" s="4"/>
      <c r="K957" s="4"/>
      <c r="L957" s="4"/>
      <c r="M957" s="4"/>
    </row>
    <row r="958" spans="1:13" ht="15" customHeight="1" x14ac:dyDescent="0.35">
      <c r="A958" t="str">
        <f t="shared" si="14"/>
        <v>P645OD02C2431</v>
      </c>
      <c r="B958" t="str">
        <f>IFERROR(VLOOKUP($A958,'[5]Study Budget Mapping '!$O$2:$P$532,2,0),"TBA")</f>
        <v>TBA</v>
      </c>
      <c r="D958" s="2" t="s">
        <v>211</v>
      </c>
      <c r="E958" s="2" t="s">
        <v>13</v>
      </c>
      <c r="F958" s="3">
        <v>7698000</v>
      </c>
      <c r="G958" s="3">
        <v>0</v>
      </c>
      <c r="H958" s="4"/>
      <c r="I958" s="4"/>
      <c r="J958" s="4"/>
      <c r="K958" s="4"/>
      <c r="L958" s="4"/>
      <c r="M958" s="4"/>
    </row>
    <row r="959" spans="1:13" ht="15" customHeight="1" x14ac:dyDescent="0.35">
      <c r="A959" t="str">
        <f t="shared" si="14"/>
        <v>P645OD02C2431</v>
      </c>
      <c r="B959" t="str">
        <f>IFERROR(VLOOKUP($A959,'[5]Study Budget Mapping '!$O$2:$P$532,2,0),"TBA")</f>
        <v>TBA</v>
      </c>
      <c r="D959" s="2" t="s">
        <v>211</v>
      </c>
      <c r="E959" s="2" t="s">
        <v>14</v>
      </c>
      <c r="F959" s="3">
        <v>631373</v>
      </c>
      <c r="G959" s="3">
        <v>0</v>
      </c>
      <c r="H959" s="4"/>
      <c r="I959" s="4"/>
      <c r="J959" s="4"/>
      <c r="K959" s="4"/>
      <c r="L959" s="4"/>
      <c r="M959" s="4"/>
    </row>
    <row r="960" spans="1:13" ht="15" customHeight="1" x14ac:dyDescent="0.35">
      <c r="A960" t="str">
        <f t="shared" si="14"/>
        <v>P645OD02C2431</v>
      </c>
      <c r="B960" t="str">
        <f>IFERROR(VLOOKUP($A960,'[5]Study Budget Mapping '!$O$2:$P$532,2,0),"TBA")</f>
        <v>TBA</v>
      </c>
      <c r="D960" s="2" t="s">
        <v>211</v>
      </c>
      <c r="E960" s="2" t="s">
        <v>19</v>
      </c>
      <c r="F960" s="3">
        <v>379525</v>
      </c>
      <c r="G960" s="3">
        <v>0</v>
      </c>
      <c r="H960" s="4"/>
      <c r="I960" s="4"/>
      <c r="J960" s="4"/>
      <c r="K960" s="4"/>
      <c r="L960" s="4"/>
      <c r="M960" s="4"/>
    </row>
    <row r="961" spans="1:13" ht="15" customHeight="1" x14ac:dyDescent="0.35">
      <c r="A961" t="str">
        <f t="shared" si="14"/>
        <v>P645OD02C2431</v>
      </c>
      <c r="B961" t="str">
        <f>IFERROR(VLOOKUP($A961,'[5]Study Budget Mapping '!$O$2:$P$532,2,0),"TBA")</f>
        <v>TBA</v>
      </c>
      <c r="D961" s="2" t="s">
        <v>211</v>
      </c>
      <c r="E961" s="2" t="s">
        <v>20</v>
      </c>
      <c r="F961" s="3">
        <v>1629904</v>
      </c>
      <c r="G961" s="3">
        <v>0</v>
      </c>
      <c r="H961" s="4"/>
      <c r="I961" s="4"/>
      <c r="J961" s="4"/>
      <c r="K961" s="4"/>
      <c r="L961" s="4"/>
      <c r="M961" s="4"/>
    </row>
    <row r="962" spans="1:13" ht="15" customHeight="1" x14ac:dyDescent="0.35">
      <c r="A962" t="str">
        <f t="shared" si="14"/>
        <v>P645OD02C2431</v>
      </c>
      <c r="B962" t="str">
        <f>IFERROR(VLOOKUP($A962,'[5]Study Budget Mapping '!$O$2:$P$532,2,0),"TBA")</f>
        <v>TBA</v>
      </c>
      <c r="D962" s="2" t="s">
        <v>211</v>
      </c>
      <c r="E962" s="2" t="s">
        <v>15</v>
      </c>
      <c r="F962" s="3">
        <v>8516670</v>
      </c>
      <c r="G962" s="3">
        <v>23272078.350000001</v>
      </c>
      <c r="H962" s="4"/>
      <c r="I962" s="4"/>
      <c r="J962" s="4"/>
      <c r="K962" s="4"/>
      <c r="L962" s="4"/>
      <c r="M962" s="4"/>
    </row>
    <row r="963" spans="1:13" ht="15" customHeight="1" x14ac:dyDescent="0.35">
      <c r="A963" t="str">
        <f t="shared" ref="A963:A1026" si="15">TRIM(_xlfn.TEXTBEFORE(D963,"-",1))</f>
        <v>P645OD02C2431</v>
      </c>
      <c r="B963" t="str">
        <f>IFERROR(VLOOKUP($A963,'[5]Study Budget Mapping '!$O$2:$P$532,2,0),"TBA")</f>
        <v>TBA</v>
      </c>
      <c r="D963" s="2" t="s">
        <v>211</v>
      </c>
      <c r="E963" s="2" t="s">
        <v>16</v>
      </c>
      <c r="F963" s="3">
        <v>821970</v>
      </c>
      <c r="G963" s="3">
        <v>0</v>
      </c>
      <c r="H963" s="4"/>
      <c r="I963" s="4"/>
      <c r="J963" s="4"/>
      <c r="K963" s="4"/>
      <c r="L963" s="4"/>
      <c r="M963" s="4"/>
    </row>
    <row r="964" spans="1:13" ht="15" customHeight="1" x14ac:dyDescent="0.35">
      <c r="A964" t="str">
        <f t="shared" si="15"/>
        <v>P645OD02C2431</v>
      </c>
      <c r="B964" t="str">
        <f>IFERROR(VLOOKUP($A964,'[5]Study Budget Mapping '!$O$2:$P$532,2,0),"TBA")</f>
        <v>TBA</v>
      </c>
      <c r="D964" s="2" t="s">
        <v>211</v>
      </c>
      <c r="E964" s="2" t="s">
        <v>23</v>
      </c>
      <c r="F964" s="3">
        <v>750763</v>
      </c>
      <c r="G964" s="3">
        <v>0</v>
      </c>
      <c r="H964" s="4"/>
      <c r="I964" s="4"/>
      <c r="J964" s="4"/>
      <c r="K964" s="4"/>
      <c r="L964" s="4"/>
      <c r="M964" s="4"/>
    </row>
    <row r="965" spans="1:13" ht="15" customHeight="1" x14ac:dyDescent="0.35">
      <c r="A965" t="str">
        <f t="shared" si="15"/>
        <v>P645ST00C1031</v>
      </c>
      <c r="B965" t="str">
        <f>IFERROR(VLOOKUP($A965,'[5]Study Budget Mapping '!$O$2:$P$532,2,0),"TBA")</f>
        <v>TBA</v>
      </c>
      <c r="D965" s="2" t="s">
        <v>212</v>
      </c>
      <c r="E965" s="2" t="s">
        <v>13</v>
      </c>
      <c r="F965" s="3">
        <v>1300000</v>
      </c>
      <c r="G965" s="3">
        <v>0</v>
      </c>
      <c r="H965" s="4"/>
      <c r="I965" s="4"/>
      <c r="J965" s="4"/>
      <c r="K965" s="4"/>
      <c r="L965" s="4"/>
      <c r="M965" s="4"/>
    </row>
    <row r="966" spans="1:13" ht="15" customHeight="1" x14ac:dyDescent="0.35">
      <c r="A966" t="str">
        <f t="shared" si="15"/>
        <v>P645ST00C1031</v>
      </c>
      <c r="B966" t="str">
        <f>IFERROR(VLOOKUP($A966,'[5]Study Budget Mapping '!$O$2:$P$532,2,0),"TBA")</f>
        <v>TBA</v>
      </c>
      <c r="D966" s="2" t="s">
        <v>212</v>
      </c>
      <c r="E966" s="2" t="s">
        <v>14</v>
      </c>
      <c r="F966" s="3">
        <v>350000</v>
      </c>
      <c r="G966" s="3">
        <v>0</v>
      </c>
      <c r="H966" s="4"/>
      <c r="I966" s="4"/>
      <c r="J966" s="4"/>
      <c r="K966" s="4"/>
      <c r="L966" s="4"/>
      <c r="M966" s="4"/>
    </row>
    <row r="967" spans="1:13" ht="15" customHeight="1" x14ac:dyDescent="0.35">
      <c r="A967" t="str">
        <f t="shared" si="15"/>
        <v>P645ST00C1031</v>
      </c>
      <c r="B967" t="str">
        <f>IFERROR(VLOOKUP($A967,'[5]Study Budget Mapping '!$O$2:$P$532,2,0),"TBA")</f>
        <v>TBA</v>
      </c>
      <c r="D967" s="2" t="s">
        <v>212</v>
      </c>
      <c r="E967" s="2" t="s">
        <v>15</v>
      </c>
      <c r="F967" s="3">
        <v>80773</v>
      </c>
      <c r="G967" s="3">
        <v>2829258.27</v>
      </c>
      <c r="H967" s="4"/>
      <c r="I967" s="4"/>
      <c r="J967" s="4"/>
      <c r="K967" s="4"/>
      <c r="L967" s="4"/>
      <c r="M967" s="4"/>
    </row>
    <row r="968" spans="1:13" ht="15" customHeight="1" x14ac:dyDescent="0.35">
      <c r="A968" t="str">
        <f t="shared" si="15"/>
        <v>P645ST00C1031</v>
      </c>
      <c r="B968" t="str">
        <f>IFERROR(VLOOKUP($A968,'[5]Study Budget Mapping '!$O$2:$P$532,2,0),"TBA")</f>
        <v>TBA</v>
      </c>
      <c r="D968" s="2" t="s">
        <v>212</v>
      </c>
      <c r="E968" s="2" t="s">
        <v>28</v>
      </c>
      <c r="F968" s="3">
        <v>335000</v>
      </c>
      <c r="G968" s="3">
        <v>0</v>
      </c>
      <c r="H968" s="4"/>
      <c r="I968" s="4"/>
      <c r="J968" s="4"/>
      <c r="K968" s="4"/>
      <c r="L968" s="4"/>
      <c r="M968" s="4"/>
    </row>
    <row r="969" spans="1:13" ht="15" customHeight="1" x14ac:dyDescent="0.35">
      <c r="A969" t="str">
        <f t="shared" si="15"/>
        <v>P645ST00C1031</v>
      </c>
      <c r="B969" t="str">
        <f>IFERROR(VLOOKUP($A969,'[5]Study Budget Mapping '!$O$2:$P$532,2,0),"TBA")</f>
        <v>TBA</v>
      </c>
      <c r="D969" s="2" t="s">
        <v>212</v>
      </c>
      <c r="E969" s="2" t="s">
        <v>23</v>
      </c>
      <c r="F969" s="3">
        <v>502516.36</v>
      </c>
      <c r="G969" s="3">
        <v>0</v>
      </c>
      <c r="H969" s="4"/>
      <c r="I969" s="4"/>
      <c r="J969" s="4"/>
      <c r="K969" s="4"/>
      <c r="L969" s="4"/>
      <c r="M969" s="4"/>
    </row>
    <row r="970" spans="1:13" ht="15" customHeight="1" x14ac:dyDescent="0.35">
      <c r="A970" t="str">
        <f t="shared" si="15"/>
        <v>P645ST00C1411</v>
      </c>
      <c r="B970" t="str">
        <f>IFERROR(VLOOKUP($A970,'[5]Study Budget Mapping '!$O$2:$P$532,2,0),"TBA")</f>
        <v>TBA</v>
      </c>
      <c r="D970" s="2" t="s">
        <v>213</v>
      </c>
      <c r="E970" s="2" t="s">
        <v>13</v>
      </c>
      <c r="F970" s="3">
        <v>1277000</v>
      </c>
      <c r="G970" s="3">
        <v>0</v>
      </c>
      <c r="H970" s="4"/>
      <c r="I970" s="4"/>
      <c r="J970" s="4"/>
      <c r="K970" s="4"/>
      <c r="L970" s="4"/>
      <c r="M970" s="4"/>
    </row>
    <row r="971" spans="1:13" ht="15" customHeight="1" x14ac:dyDescent="0.35">
      <c r="A971" t="str">
        <f t="shared" si="15"/>
        <v>P645ST00C1411</v>
      </c>
      <c r="B971" t="str">
        <f>IFERROR(VLOOKUP($A971,'[5]Study Budget Mapping '!$O$2:$P$532,2,0),"TBA")</f>
        <v>TBA</v>
      </c>
      <c r="D971" s="2" t="s">
        <v>213</v>
      </c>
      <c r="E971" s="2" t="s">
        <v>14</v>
      </c>
      <c r="F971" s="3">
        <v>468120</v>
      </c>
      <c r="G971" s="3">
        <v>0</v>
      </c>
      <c r="H971" s="4"/>
      <c r="I971" s="4"/>
      <c r="J971" s="4"/>
      <c r="K971" s="4"/>
      <c r="L971" s="4"/>
      <c r="M971" s="4"/>
    </row>
    <row r="972" spans="1:13" ht="15" customHeight="1" x14ac:dyDescent="0.35">
      <c r="A972" t="str">
        <f t="shared" si="15"/>
        <v>P645ST00C1411</v>
      </c>
      <c r="B972" t="str">
        <f>IFERROR(VLOOKUP($A972,'[5]Study Budget Mapping '!$O$2:$P$532,2,0),"TBA")</f>
        <v>TBA</v>
      </c>
      <c r="D972" s="2" t="s">
        <v>213</v>
      </c>
      <c r="E972" s="2" t="s">
        <v>15</v>
      </c>
      <c r="F972" s="3">
        <v>645196</v>
      </c>
      <c r="G972" s="3">
        <v>5071106.580000001</v>
      </c>
      <c r="H972" s="4"/>
      <c r="I972" s="4"/>
      <c r="J972" s="4"/>
      <c r="K972" s="4"/>
      <c r="L972" s="4"/>
      <c r="M972" s="4"/>
    </row>
    <row r="973" spans="1:13" ht="15" customHeight="1" x14ac:dyDescent="0.35">
      <c r="A973" t="str">
        <f t="shared" si="15"/>
        <v>P645ST00C1411</v>
      </c>
      <c r="B973" t="str">
        <f>IFERROR(VLOOKUP($A973,'[5]Study Budget Mapping '!$O$2:$P$532,2,0),"TBA")</f>
        <v>TBA</v>
      </c>
      <c r="D973" s="2" t="s">
        <v>213</v>
      </c>
      <c r="E973" s="2" t="s">
        <v>28</v>
      </c>
      <c r="F973" s="3">
        <v>479576</v>
      </c>
      <c r="G973" s="3">
        <v>0</v>
      </c>
      <c r="H973" s="4"/>
      <c r="I973" s="4"/>
      <c r="J973" s="4"/>
      <c r="K973" s="4"/>
      <c r="L973" s="4"/>
      <c r="M973" s="4"/>
    </row>
    <row r="974" spans="1:13" ht="15" customHeight="1" x14ac:dyDescent="0.35">
      <c r="A974" t="str">
        <f t="shared" si="15"/>
        <v>P645ST00C1411</v>
      </c>
      <c r="B974" t="str">
        <f>IFERROR(VLOOKUP($A974,'[5]Study Budget Mapping '!$O$2:$P$532,2,0),"TBA")</f>
        <v>TBA</v>
      </c>
      <c r="D974" s="2" t="s">
        <v>213</v>
      </c>
      <c r="E974" s="2" t="s">
        <v>23</v>
      </c>
      <c r="F974" s="3">
        <v>72121</v>
      </c>
      <c r="G974" s="3">
        <v>0</v>
      </c>
      <c r="H974" s="4"/>
      <c r="I974" s="4"/>
      <c r="J974" s="4"/>
      <c r="K974" s="4"/>
      <c r="L974" s="4"/>
      <c r="M974" s="4"/>
    </row>
    <row r="975" spans="1:13" ht="15" customHeight="1" x14ac:dyDescent="0.35">
      <c r="A975" t="str">
        <f t="shared" si="15"/>
        <v>P647MD00C1011</v>
      </c>
      <c r="B975" t="str">
        <f>IFERROR(VLOOKUP($A975,'[5]Study Budget Mapping '!$O$2:$P$532,2,0),"TBA")</f>
        <v>TBA</v>
      </c>
      <c r="D975" s="2" t="s">
        <v>214</v>
      </c>
      <c r="E975" s="2" t="s">
        <v>13</v>
      </c>
      <c r="F975" s="3">
        <v>1505000</v>
      </c>
      <c r="G975" s="3">
        <v>0</v>
      </c>
      <c r="H975" s="4"/>
      <c r="I975" s="4"/>
      <c r="J975" s="4"/>
      <c r="K975" s="4"/>
      <c r="L975" s="4"/>
      <c r="M975" s="4"/>
    </row>
    <row r="976" spans="1:13" ht="15" customHeight="1" x14ac:dyDescent="0.35">
      <c r="A976" t="str">
        <f t="shared" si="15"/>
        <v>P647MD00C1011</v>
      </c>
      <c r="B976" t="str">
        <f>IFERROR(VLOOKUP($A976,'[5]Study Budget Mapping '!$O$2:$P$532,2,0),"TBA")</f>
        <v>TBA</v>
      </c>
      <c r="D976" s="2" t="s">
        <v>214</v>
      </c>
      <c r="E976" s="2" t="s">
        <v>15</v>
      </c>
      <c r="F976" s="3">
        <v>0</v>
      </c>
      <c r="G976" s="3">
        <v>2196970.9700000002</v>
      </c>
      <c r="H976" s="4"/>
      <c r="I976" s="4"/>
      <c r="J976" s="4"/>
      <c r="K976" s="4"/>
      <c r="L976" s="4"/>
      <c r="M976" s="4"/>
    </row>
    <row r="977" spans="1:13" ht="15" customHeight="1" x14ac:dyDescent="0.35">
      <c r="A977" t="str">
        <f t="shared" si="15"/>
        <v>P647MD00C1011</v>
      </c>
      <c r="B977" t="str">
        <f>IFERROR(VLOOKUP($A977,'[5]Study Budget Mapping '!$O$2:$P$532,2,0),"TBA")</f>
        <v>TBA</v>
      </c>
      <c r="D977" s="2" t="s">
        <v>214</v>
      </c>
      <c r="E977" s="2" t="s">
        <v>16</v>
      </c>
      <c r="F977" s="3">
        <v>1350000</v>
      </c>
      <c r="G977" s="3">
        <v>0</v>
      </c>
      <c r="H977" s="4"/>
      <c r="I977" s="4"/>
      <c r="J977" s="4"/>
      <c r="K977" s="4"/>
      <c r="L977" s="4"/>
      <c r="M977" s="4"/>
    </row>
    <row r="978" spans="1:13" ht="15" customHeight="1" x14ac:dyDescent="0.35">
      <c r="A978" t="str">
        <f t="shared" si="15"/>
        <v>P647MD00C1011</v>
      </c>
      <c r="B978" t="str">
        <f>IFERROR(VLOOKUP($A978,'[5]Study Budget Mapping '!$O$2:$P$532,2,0),"TBA")</f>
        <v>TBA</v>
      </c>
      <c r="D978" s="2" t="s">
        <v>214</v>
      </c>
      <c r="E978" s="2" t="s">
        <v>23</v>
      </c>
      <c r="F978" s="3">
        <v>225000</v>
      </c>
      <c r="G978" s="3">
        <v>0</v>
      </c>
      <c r="H978" s="4"/>
      <c r="I978" s="4"/>
      <c r="J978" s="4"/>
      <c r="K978" s="4"/>
      <c r="L978" s="4"/>
      <c r="M978" s="4"/>
    </row>
    <row r="979" spans="1:13" ht="15" customHeight="1" x14ac:dyDescent="0.35">
      <c r="A979" t="str">
        <f t="shared" si="15"/>
        <v>P647MD00C1111</v>
      </c>
      <c r="B979" t="str">
        <f>IFERROR(VLOOKUP($A979,'[5]Study Budget Mapping '!$O$2:$P$532,2,0),"TBA")</f>
        <v>TBA</v>
      </c>
      <c r="D979" s="2" t="s">
        <v>215</v>
      </c>
      <c r="E979" s="2" t="s">
        <v>13</v>
      </c>
      <c r="F979" s="3">
        <v>397991</v>
      </c>
      <c r="G979" s="3">
        <v>0</v>
      </c>
      <c r="H979" s="4"/>
      <c r="I979" s="4"/>
      <c r="J979" s="4"/>
      <c r="K979" s="4"/>
      <c r="L979" s="4"/>
      <c r="M979" s="4"/>
    </row>
    <row r="980" spans="1:13" ht="15" customHeight="1" x14ac:dyDescent="0.35">
      <c r="A980" t="str">
        <f t="shared" si="15"/>
        <v>P647MD00C1111</v>
      </c>
      <c r="B980" t="str">
        <f>IFERROR(VLOOKUP($A980,'[5]Study Budget Mapping '!$O$2:$P$532,2,0),"TBA")</f>
        <v>TBA</v>
      </c>
      <c r="D980" s="2" t="s">
        <v>215</v>
      </c>
      <c r="E980" s="2" t="s">
        <v>14</v>
      </c>
      <c r="F980" s="3">
        <v>103945</v>
      </c>
      <c r="G980" s="3">
        <v>0</v>
      </c>
      <c r="H980" s="4"/>
      <c r="I980" s="4"/>
      <c r="J980" s="4"/>
      <c r="K980" s="4"/>
      <c r="L980" s="4"/>
      <c r="M980" s="4"/>
    </row>
    <row r="981" spans="1:13" ht="15" customHeight="1" x14ac:dyDescent="0.35">
      <c r="A981" t="str">
        <f t="shared" si="15"/>
        <v>P647MD00C1111</v>
      </c>
      <c r="B981" t="str">
        <f>IFERROR(VLOOKUP($A981,'[5]Study Budget Mapping '!$O$2:$P$532,2,0),"TBA")</f>
        <v>TBA</v>
      </c>
      <c r="D981" s="2" t="s">
        <v>215</v>
      </c>
      <c r="E981" s="2" t="s">
        <v>15</v>
      </c>
      <c r="F981" s="3">
        <v>0</v>
      </c>
      <c r="G981" s="3">
        <v>447297.34</v>
      </c>
      <c r="H981" s="4"/>
      <c r="I981" s="4"/>
      <c r="J981" s="4"/>
      <c r="K981" s="4"/>
      <c r="L981" s="4"/>
      <c r="M981" s="4"/>
    </row>
    <row r="982" spans="1:13" ht="15" customHeight="1" x14ac:dyDescent="0.35">
      <c r="A982" t="str">
        <f t="shared" si="15"/>
        <v>P647MD00C1111</v>
      </c>
      <c r="B982" t="str">
        <f>IFERROR(VLOOKUP($A982,'[5]Study Budget Mapping '!$O$2:$P$532,2,0),"TBA")</f>
        <v>TBA</v>
      </c>
      <c r="D982" s="2" t="s">
        <v>215</v>
      </c>
      <c r="E982" s="2" t="s">
        <v>23</v>
      </c>
      <c r="F982" s="3">
        <v>28311</v>
      </c>
      <c r="G982" s="3">
        <v>0</v>
      </c>
      <c r="H982" s="4"/>
      <c r="I982" s="4"/>
      <c r="J982" s="4"/>
      <c r="K982" s="4"/>
      <c r="L982" s="4"/>
      <c r="M982" s="4"/>
    </row>
    <row r="983" spans="1:13" ht="15" customHeight="1" x14ac:dyDescent="0.35">
      <c r="A983" t="str">
        <f t="shared" si="15"/>
        <v>P647MD00C1211</v>
      </c>
      <c r="B983" t="str">
        <f>IFERROR(VLOOKUP($A983,'[5]Study Budget Mapping '!$O$2:$P$532,2,0),"TBA")</f>
        <v>TBA</v>
      </c>
      <c r="D983" s="2" t="s">
        <v>216</v>
      </c>
      <c r="E983" s="2" t="s">
        <v>13</v>
      </c>
      <c r="F983" s="3">
        <v>704750</v>
      </c>
      <c r="G983" s="3">
        <v>0</v>
      </c>
      <c r="H983" s="4"/>
      <c r="I983" s="4"/>
      <c r="J983" s="4"/>
      <c r="K983" s="4"/>
      <c r="L983" s="4"/>
      <c r="M983" s="4"/>
    </row>
    <row r="984" spans="1:13" ht="15" customHeight="1" x14ac:dyDescent="0.35">
      <c r="A984" t="str">
        <f t="shared" si="15"/>
        <v>P647MD00C1211</v>
      </c>
      <c r="B984" t="str">
        <f>IFERROR(VLOOKUP($A984,'[5]Study Budget Mapping '!$O$2:$P$532,2,0),"TBA")</f>
        <v>TBA</v>
      </c>
      <c r="D984" s="2" t="s">
        <v>216</v>
      </c>
      <c r="E984" s="2" t="s">
        <v>14</v>
      </c>
      <c r="F984" s="3">
        <v>45914</v>
      </c>
      <c r="G984" s="3">
        <v>0</v>
      </c>
      <c r="H984" s="4"/>
      <c r="I984" s="4"/>
      <c r="J984" s="4"/>
      <c r="K984" s="4"/>
      <c r="L984" s="4"/>
      <c r="M984" s="4"/>
    </row>
    <row r="985" spans="1:13" ht="15" customHeight="1" x14ac:dyDescent="0.35">
      <c r="A985" t="str">
        <f t="shared" si="15"/>
        <v>P647MD00C1211</v>
      </c>
      <c r="B985" t="str">
        <f>IFERROR(VLOOKUP($A985,'[5]Study Budget Mapping '!$O$2:$P$532,2,0),"TBA")</f>
        <v>TBA</v>
      </c>
      <c r="D985" s="2" t="s">
        <v>216</v>
      </c>
      <c r="E985" s="2" t="s">
        <v>15</v>
      </c>
      <c r="F985" s="3">
        <v>1070746</v>
      </c>
      <c r="G985" s="3">
        <v>2300042.36</v>
      </c>
      <c r="H985" s="4"/>
      <c r="I985" s="4"/>
      <c r="J985" s="4"/>
      <c r="K985" s="4"/>
      <c r="L985" s="4"/>
      <c r="M985" s="4"/>
    </row>
    <row r="986" spans="1:13" ht="15" customHeight="1" x14ac:dyDescent="0.35">
      <c r="A986" t="str">
        <f t="shared" si="15"/>
        <v>P647MD00C1211</v>
      </c>
      <c r="B986" t="str">
        <f>IFERROR(VLOOKUP($A986,'[5]Study Budget Mapping '!$O$2:$P$532,2,0),"TBA")</f>
        <v>TBA</v>
      </c>
      <c r="D986" s="2" t="s">
        <v>216</v>
      </c>
      <c r="E986" s="2" t="s">
        <v>16</v>
      </c>
      <c r="F986" s="3">
        <v>538122</v>
      </c>
      <c r="G986" s="3">
        <v>0</v>
      </c>
      <c r="H986" s="4"/>
      <c r="I986" s="4"/>
      <c r="J986" s="4"/>
      <c r="K986" s="4"/>
      <c r="L986" s="4"/>
      <c r="M986" s="4"/>
    </row>
    <row r="987" spans="1:13" ht="15" customHeight="1" x14ac:dyDescent="0.35">
      <c r="A987" t="str">
        <f t="shared" si="15"/>
        <v>P647MD00C1211</v>
      </c>
      <c r="B987" t="str">
        <f>IFERROR(VLOOKUP($A987,'[5]Study Budget Mapping '!$O$2:$P$532,2,0),"TBA")</f>
        <v>TBA</v>
      </c>
      <c r="D987" s="2" t="s">
        <v>216</v>
      </c>
      <c r="E987" s="2" t="s">
        <v>17</v>
      </c>
      <c r="F987" s="3">
        <v>182019</v>
      </c>
      <c r="G987" s="3">
        <v>0</v>
      </c>
      <c r="H987" s="4"/>
      <c r="I987" s="4"/>
      <c r="J987" s="4"/>
      <c r="K987" s="4"/>
      <c r="L987" s="4"/>
      <c r="M987" s="4"/>
    </row>
    <row r="988" spans="1:13" ht="15" customHeight="1" x14ac:dyDescent="0.35">
      <c r="A988" t="str">
        <f t="shared" si="15"/>
        <v>P647MD00C1211</v>
      </c>
      <c r="B988" t="str">
        <f>IFERROR(VLOOKUP($A988,'[5]Study Budget Mapping '!$O$2:$P$532,2,0),"TBA")</f>
        <v>TBA</v>
      </c>
      <c r="D988" s="2" t="s">
        <v>216</v>
      </c>
      <c r="E988" s="2" t="s">
        <v>28</v>
      </c>
      <c r="F988" s="3">
        <v>18800</v>
      </c>
      <c r="G988" s="3">
        <v>0</v>
      </c>
      <c r="H988" s="4"/>
      <c r="I988" s="4"/>
      <c r="J988" s="4"/>
      <c r="K988" s="4"/>
      <c r="L988" s="4"/>
      <c r="M988" s="4"/>
    </row>
    <row r="989" spans="1:13" ht="15" customHeight="1" x14ac:dyDescent="0.35">
      <c r="A989" t="str">
        <f t="shared" si="15"/>
        <v>P647MD00C1211</v>
      </c>
      <c r="B989" t="str">
        <f>IFERROR(VLOOKUP($A989,'[5]Study Budget Mapping '!$O$2:$P$532,2,0),"TBA")</f>
        <v>TBA</v>
      </c>
      <c r="D989" s="2" t="s">
        <v>216</v>
      </c>
      <c r="E989" s="2" t="s">
        <v>23</v>
      </c>
      <c r="F989" s="3">
        <v>91342</v>
      </c>
      <c r="G989" s="3">
        <v>0</v>
      </c>
      <c r="H989" s="4"/>
      <c r="I989" s="4"/>
      <c r="J989" s="4"/>
      <c r="K989" s="4"/>
      <c r="L989" s="4"/>
      <c r="M989" s="4"/>
    </row>
    <row r="990" spans="1:13" ht="15" customHeight="1" x14ac:dyDescent="0.35">
      <c r="A990" t="str">
        <f t="shared" si="15"/>
        <v>P647MD00C2311</v>
      </c>
      <c r="B990" t="str">
        <f>IFERROR(VLOOKUP($A990,'[5]Study Budget Mapping '!$O$2:$P$532,2,0),"TBA")</f>
        <v>TBA</v>
      </c>
      <c r="D990" s="2" t="s">
        <v>217</v>
      </c>
      <c r="E990" s="2" t="s">
        <v>13</v>
      </c>
      <c r="F990" s="3">
        <v>2958388</v>
      </c>
      <c r="G990" s="3">
        <v>0</v>
      </c>
      <c r="H990" s="4"/>
      <c r="I990" s="4"/>
      <c r="J990" s="4"/>
      <c r="K990" s="4"/>
      <c r="L990" s="4"/>
      <c r="M990" s="4"/>
    </row>
    <row r="991" spans="1:13" ht="15" customHeight="1" x14ac:dyDescent="0.35">
      <c r="A991" t="str">
        <f t="shared" si="15"/>
        <v>P647MD00C2311</v>
      </c>
      <c r="B991" t="str">
        <f>IFERROR(VLOOKUP($A991,'[5]Study Budget Mapping '!$O$2:$P$532,2,0),"TBA")</f>
        <v>TBA</v>
      </c>
      <c r="D991" s="2" t="s">
        <v>217</v>
      </c>
      <c r="E991" s="2" t="s">
        <v>14</v>
      </c>
      <c r="F991" s="3">
        <v>1363822</v>
      </c>
      <c r="G991" s="3">
        <v>0</v>
      </c>
      <c r="H991" s="4"/>
      <c r="I991" s="4"/>
      <c r="J991" s="4"/>
      <c r="K991" s="4"/>
      <c r="L991" s="4"/>
      <c r="M991" s="4"/>
    </row>
    <row r="992" spans="1:13" ht="15" customHeight="1" x14ac:dyDescent="0.35">
      <c r="A992" t="str">
        <f t="shared" si="15"/>
        <v>P647MD00C2311</v>
      </c>
      <c r="B992" t="str">
        <f>IFERROR(VLOOKUP($A992,'[5]Study Budget Mapping '!$O$2:$P$532,2,0),"TBA")</f>
        <v>TBA</v>
      </c>
      <c r="D992" s="2" t="s">
        <v>217</v>
      </c>
      <c r="E992" s="2" t="s">
        <v>19</v>
      </c>
      <c r="F992" s="3">
        <v>64996</v>
      </c>
      <c r="G992" s="3">
        <v>0</v>
      </c>
      <c r="H992" s="4"/>
      <c r="I992" s="4"/>
      <c r="J992" s="4"/>
      <c r="K992" s="4"/>
      <c r="L992" s="4"/>
      <c r="M992" s="4"/>
    </row>
    <row r="993" spans="1:13" ht="15" customHeight="1" x14ac:dyDescent="0.35">
      <c r="A993" t="str">
        <f t="shared" si="15"/>
        <v>P647MD00C2311</v>
      </c>
      <c r="B993" t="str">
        <f>IFERROR(VLOOKUP($A993,'[5]Study Budget Mapping '!$O$2:$P$532,2,0),"TBA")</f>
        <v>TBA</v>
      </c>
      <c r="D993" s="2" t="s">
        <v>217</v>
      </c>
      <c r="E993" s="2" t="s">
        <v>15</v>
      </c>
      <c r="F993" s="3">
        <v>3269241</v>
      </c>
      <c r="G993" s="3">
        <v>9190504.8900000006</v>
      </c>
      <c r="H993" s="4"/>
      <c r="I993" s="4"/>
      <c r="J993" s="4"/>
      <c r="K993" s="4"/>
      <c r="L993" s="4"/>
      <c r="M993" s="4"/>
    </row>
    <row r="994" spans="1:13" ht="15" customHeight="1" x14ac:dyDescent="0.35">
      <c r="A994" t="str">
        <f t="shared" si="15"/>
        <v>P647MD00C2311</v>
      </c>
      <c r="B994" t="str">
        <f>IFERROR(VLOOKUP($A994,'[5]Study Budget Mapping '!$O$2:$P$532,2,0),"TBA")</f>
        <v>TBA</v>
      </c>
      <c r="D994" s="2" t="s">
        <v>217</v>
      </c>
      <c r="E994" s="2" t="s">
        <v>16</v>
      </c>
      <c r="F994" s="3">
        <v>880500</v>
      </c>
      <c r="G994" s="3">
        <v>0</v>
      </c>
      <c r="H994" s="4"/>
      <c r="I994" s="4"/>
      <c r="J994" s="4"/>
      <c r="K994" s="4"/>
      <c r="L994" s="4"/>
      <c r="M994" s="4"/>
    </row>
    <row r="995" spans="1:13" ht="15" customHeight="1" x14ac:dyDescent="0.35">
      <c r="A995" t="str">
        <f t="shared" si="15"/>
        <v>P647MD00C2311</v>
      </c>
      <c r="B995" t="str">
        <f>IFERROR(VLOOKUP($A995,'[5]Study Budget Mapping '!$O$2:$P$532,2,0),"TBA")</f>
        <v>TBA</v>
      </c>
      <c r="D995" s="2" t="s">
        <v>217</v>
      </c>
      <c r="E995" s="2" t="s">
        <v>17</v>
      </c>
      <c r="F995" s="3">
        <v>475704</v>
      </c>
      <c r="G995" s="3">
        <v>0</v>
      </c>
      <c r="H995" s="4"/>
      <c r="I995" s="4"/>
      <c r="J995" s="4"/>
      <c r="K995" s="4"/>
      <c r="L995" s="4"/>
      <c r="M995" s="4"/>
    </row>
    <row r="996" spans="1:13" ht="15" customHeight="1" x14ac:dyDescent="0.35">
      <c r="A996" t="str">
        <f t="shared" si="15"/>
        <v>P647MD00C2311</v>
      </c>
      <c r="B996" t="str">
        <f>IFERROR(VLOOKUP($A996,'[5]Study Budget Mapping '!$O$2:$P$532,2,0),"TBA")</f>
        <v>TBA</v>
      </c>
      <c r="D996" s="2" t="s">
        <v>217</v>
      </c>
      <c r="E996" s="2" t="s">
        <v>23</v>
      </c>
      <c r="F996" s="3">
        <v>125250</v>
      </c>
      <c r="G996" s="3">
        <v>0</v>
      </c>
      <c r="H996" s="4"/>
      <c r="I996" s="4"/>
      <c r="J996" s="4"/>
      <c r="K996" s="4"/>
      <c r="L996" s="4"/>
      <c r="M996" s="4"/>
    </row>
    <row r="997" spans="1:13" ht="15" customHeight="1" x14ac:dyDescent="0.35">
      <c r="A997" t="str">
        <f t="shared" si="15"/>
        <v>P647MD02C2431</v>
      </c>
      <c r="B997" t="str">
        <f>IFERROR(VLOOKUP($A997,'[5]Study Budget Mapping '!$O$2:$P$532,2,0),"TBA")</f>
        <v>TBA</v>
      </c>
      <c r="D997" s="2" t="s">
        <v>218</v>
      </c>
      <c r="E997" s="2" t="s">
        <v>13</v>
      </c>
      <c r="F997" s="3">
        <v>4415771.38</v>
      </c>
      <c r="G997" s="3">
        <v>0</v>
      </c>
      <c r="H997" s="4"/>
      <c r="I997" s="4"/>
      <c r="J997" s="4"/>
      <c r="K997" s="4"/>
      <c r="L997" s="4"/>
      <c r="M997" s="4"/>
    </row>
    <row r="998" spans="1:13" ht="15" customHeight="1" x14ac:dyDescent="0.35">
      <c r="A998" t="str">
        <f t="shared" si="15"/>
        <v>P647MD02C2431</v>
      </c>
      <c r="B998" t="str">
        <f>IFERROR(VLOOKUP($A998,'[5]Study Budget Mapping '!$O$2:$P$532,2,0),"TBA")</f>
        <v>TBA</v>
      </c>
      <c r="D998" s="2" t="s">
        <v>218</v>
      </c>
      <c r="E998" s="2" t="s">
        <v>14</v>
      </c>
      <c r="F998" s="3">
        <v>2529298</v>
      </c>
      <c r="G998" s="3">
        <v>0</v>
      </c>
      <c r="H998" s="4"/>
      <c r="I998" s="4"/>
      <c r="J998" s="4"/>
      <c r="K998" s="4"/>
      <c r="L998" s="4"/>
      <c r="M998" s="4"/>
    </row>
    <row r="999" spans="1:13" ht="15" customHeight="1" x14ac:dyDescent="0.35">
      <c r="A999" t="str">
        <f t="shared" si="15"/>
        <v>P647MD02C2431</v>
      </c>
      <c r="B999" t="str">
        <f>IFERROR(VLOOKUP($A999,'[5]Study Budget Mapping '!$O$2:$P$532,2,0),"TBA")</f>
        <v>TBA</v>
      </c>
      <c r="D999" s="2" t="s">
        <v>218</v>
      </c>
      <c r="E999" s="2" t="s">
        <v>19</v>
      </c>
      <c r="F999" s="3">
        <v>550923</v>
      </c>
      <c r="G999" s="3">
        <v>0</v>
      </c>
      <c r="H999" s="4"/>
      <c r="I999" s="4"/>
      <c r="J999" s="4"/>
      <c r="K999" s="4"/>
      <c r="L999" s="4"/>
      <c r="M999" s="4"/>
    </row>
    <row r="1000" spans="1:13" ht="15" customHeight="1" x14ac:dyDescent="0.35">
      <c r="A1000" t="str">
        <f t="shared" si="15"/>
        <v>P647MD02C2431</v>
      </c>
      <c r="B1000" t="str">
        <f>IFERROR(VLOOKUP($A1000,'[5]Study Budget Mapping '!$O$2:$P$532,2,0),"TBA")</f>
        <v>TBA</v>
      </c>
      <c r="D1000" s="2" t="s">
        <v>218</v>
      </c>
      <c r="E1000" s="2" t="s">
        <v>15</v>
      </c>
      <c r="F1000" s="3">
        <v>10566719</v>
      </c>
      <c r="G1000" s="3">
        <v>21938431.190000001</v>
      </c>
      <c r="H1000" s="4"/>
      <c r="I1000" s="4"/>
      <c r="J1000" s="4"/>
      <c r="K1000" s="4"/>
      <c r="L1000" s="4"/>
      <c r="M1000" s="4"/>
    </row>
    <row r="1001" spans="1:13" ht="15" customHeight="1" x14ac:dyDescent="0.35">
      <c r="A1001" t="str">
        <f t="shared" si="15"/>
        <v>P647MD02C2431</v>
      </c>
      <c r="B1001" t="str">
        <f>IFERROR(VLOOKUP($A1001,'[5]Study Budget Mapping '!$O$2:$P$532,2,0),"TBA")</f>
        <v>TBA</v>
      </c>
      <c r="D1001" s="2" t="s">
        <v>218</v>
      </c>
      <c r="E1001" s="2" t="s">
        <v>16</v>
      </c>
      <c r="F1001" s="3">
        <v>1586252.62</v>
      </c>
      <c r="G1001" s="3">
        <v>0</v>
      </c>
      <c r="H1001" s="4"/>
      <c r="I1001" s="4"/>
      <c r="J1001" s="4"/>
      <c r="K1001" s="4"/>
      <c r="L1001" s="4"/>
      <c r="M1001" s="4"/>
    </row>
    <row r="1002" spans="1:13" ht="15" customHeight="1" x14ac:dyDescent="0.35">
      <c r="A1002" t="str">
        <f t="shared" si="15"/>
        <v>P647MD02C2431</v>
      </c>
      <c r="B1002" t="str">
        <f>IFERROR(VLOOKUP($A1002,'[5]Study Budget Mapping '!$O$2:$P$532,2,0),"TBA")</f>
        <v>TBA</v>
      </c>
      <c r="D1002" s="2" t="s">
        <v>218</v>
      </c>
      <c r="E1002" s="2" t="s">
        <v>23</v>
      </c>
      <c r="F1002" s="3">
        <v>2110806</v>
      </c>
      <c r="G1002" s="3">
        <v>0</v>
      </c>
      <c r="H1002" s="4"/>
      <c r="I1002" s="4"/>
      <c r="J1002" s="4"/>
      <c r="K1002" s="4"/>
      <c r="L1002" s="4"/>
      <c r="M1002" s="4"/>
    </row>
    <row r="1003" spans="1:13" ht="15" customHeight="1" x14ac:dyDescent="0.35">
      <c r="A1003" t="str">
        <f t="shared" si="15"/>
        <v>P647MD02C2431</v>
      </c>
      <c r="B1003" t="str">
        <f>IFERROR(VLOOKUP($A1003,'[5]Study Budget Mapping '!$O$2:$P$532,2,0),"TBA")</f>
        <v>TBA</v>
      </c>
      <c r="D1003" s="2" t="s">
        <v>218</v>
      </c>
      <c r="E1003" s="2" t="s">
        <v>32</v>
      </c>
      <c r="F1003" s="3">
        <v>49500</v>
      </c>
      <c r="G1003" s="3">
        <v>0</v>
      </c>
      <c r="H1003" s="4"/>
      <c r="I1003" s="4"/>
      <c r="J1003" s="4"/>
      <c r="K1003" s="4"/>
      <c r="L1003" s="4"/>
      <c r="M1003" s="4"/>
    </row>
    <row r="1004" spans="1:13" ht="15" customHeight="1" x14ac:dyDescent="0.35">
      <c r="A1004" t="str">
        <f t="shared" si="15"/>
        <v>P647MD03C2911</v>
      </c>
      <c r="B1004" t="str">
        <f>IFERROR(VLOOKUP($A1004,'[5]Study Budget Mapping '!$O$2:$P$532,2,0),"TBA")</f>
        <v>TBA</v>
      </c>
      <c r="D1004" s="2" t="s">
        <v>219</v>
      </c>
      <c r="E1004" s="2" t="s">
        <v>15</v>
      </c>
      <c r="F1004" s="3">
        <v>5000000</v>
      </c>
      <c r="G1004" s="3">
        <v>43000</v>
      </c>
      <c r="H1004" s="4"/>
      <c r="I1004" s="4"/>
      <c r="J1004" s="4"/>
      <c r="K1004" s="4"/>
      <c r="L1004" s="4"/>
      <c r="M1004" s="4"/>
    </row>
    <row r="1005" spans="1:13" ht="15" customHeight="1" x14ac:dyDescent="0.35">
      <c r="A1005" t="str">
        <f t="shared" si="15"/>
        <v>P647MD03C3731</v>
      </c>
      <c r="B1005" t="str">
        <f>IFERROR(VLOOKUP($A1005,'[5]Study Budget Mapping '!$O$2:$P$532,2,0),"TBA")</f>
        <v>TBA</v>
      </c>
      <c r="D1005" s="2" t="s">
        <v>220</v>
      </c>
      <c r="E1005" s="2" t="s">
        <v>15</v>
      </c>
      <c r="F1005" s="3">
        <v>5000000</v>
      </c>
      <c r="G1005" s="3">
        <v>2370521.31</v>
      </c>
      <c r="H1005" s="4"/>
      <c r="I1005" s="4"/>
      <c r="J1005" s="4"/>
      <c r="K1005" s="4"/>
      <c r="L1005" s="4"/>
      <c r="M1005" s="4"/>
    </row>
    <row r="1006" spans="1:13" ht="15" customHeight="1" x14ac:dyDescent="0.35">
      <c r="A1006" t="str">
        <f t="shared" si="15"/>
        <v>P647MD05C2411</v>
      </c>
      <c r="B1006" t="str">
        <f>IFERROR(VLOOKUP($A1006,'[5]Study Budget Mapping '!$O$2:$P$532,2,0),"TBA")</f>
        <v>TBA</v>
      </c>
      <c r="D1006" s="2" t="s">
        <v>221</v>
      </c>
      <c r="E1006" s="2" t="s">
        <v>13</v>
      </c>
      <c r="F1006" s="3">
        <v>38450000</v>
      </c>
      <c r="G1006" s="3">
        <v>80195000</v>
      </c>
      <c r="H1006" s="4"/>
      <c r="I1006" s="4"/>
      <c r="J1006" s="4"/>
      <c r="K1006" s="4"/>
      <c r="L1006" s="4"/>
      <c r="M1006" s="4"/>
    </row>
    <row r="1007" spans="1:13" ht="15" customHeight="1" x14ac:dyDescent="0.35">
      <c r="A1007" t="str">
        <f t="shared" si="15"/>
        <v>P647MD05C2411</v>
      </c>
      <c r="B1007" t="str">
        <f>IFERROR(VLOOKUP($A1007,'[5]Study Budget Mapping '!$O$2:$P$532,2,0),"TBA")</f>
        <v>TBA</v>
      </c>
      <c r="D1007" s="2" t="s">
        <v>221</v>
      </c>
      <c r="E1007" s="2" t="s">
        <v>14</v>
      </c>
      <c r="F1007" s="3">
        <v>3075000</v>
      </c>
      <c r="G1007" s="3">
        <v>5850000</v>
      </c>
      <c r="H1007" s="4"/>
      <c r="I1007" s="4"/>
      <c r="J1007" s="4"/>
      <c r="K1007" s="4"/>
      <c r="L1007" s="4"/>
      <c r="M1007" s="4"/>
    </row>
    <row r="1008" spans="1:13" ht="15" customHeight="1" x14ac:dyDescent="0.35">
      <c r="A1008" t="str">
        <f t="shared" si="15"/>
        <v>P647MD05C2411</v>
      </c>
      <c r="B1008" t="str">
        <f>IFERROR(VLOOKUP($A1008,'[5]Study Budget Mapping '!$O$2:$P$532,2,0),"TBA")</f>
        <v>TBA</v>
      </c>
      <c r="D1008" s="2" t="s">
        <v>221</v>
      </c>
      <c r="E1008" s="2" t="s">
        <v>19</v>
      </c>
      <c r="F1008" s="3">
        <v>3080000</v>
      </c>
      <c r="G1008" s="3">
        <v>4420000</v>
      </c>
      <c r="H1008" s="4"/>
      <c r="I1008" s="4"/>
      <c r="J1008" s="4"/>
      <c r="K1008" s="4"/>
      <c r="L1008" s="4"/>
      <c r="M1008" s="4"/>
    </row>
    <row r="1009" spans="1:13" ht="15" customHeight="1" x14ac:dyDescent="0.35">
      <c r="A1009" t="str">
        <f t="shared" si="15"/>
        <v>P647MD05C2411</v>
      </c>
      <c r="B1009" t="str">
        <f>IFERROR(VLOOKUP($A1009,'[5]Study Budget Mapping '!$O$2:$P$532,2,0),"TBA")</f>
        <v>TBA</v>
      </c>
      <c r="D1009" s="2" t="s">
        <v>221</v>
      </c>
      <c r="E1009" s="2" t="s">
        <v>20</v>
      </c>
      <c r="F1009" s="3">
        <v>4550000</v>
      </c>
      <c r="G1009" s="3">
        <v>6980000</v>
      </c>
      <c r="H1009" s="4"/>
      <c r="I1009" s="4"/>
      <c r="J1009" s="4"/>
      <c r="K1009" s="4"/>
      <c r="L1009" s="4"/>
      <c r="M1009" s="4"/>
    </row>
    <row r="1010" spans="1:13" ht="15" customHeight="1" x14ac:dyDescent="0.35">
      <c r="A1010" t="str">
        <f t="shared" si="15"/>
        <v>P647MD05C2411</v>
      </c>
      <c r="B1010" t="str">
        <f>IFERROR(VLOOKUP($A1010,'[5]Study Budget Mapping '!$O$2:$P$532,2,0),"TBA")</f>
        <v>TBA</v>
      </c>
      <c r="D1010" s="2" t="s">
        <v>221</v>
      </c>
      <c r="E1010" s="2" t="s">
        <v>21</v>
      </c>
      <c r="F1010" s="3">
        <v>9060000</v>
      </c>
      <c r="G1010" s="3">
        <v>20100000</v>
      </c>
      <c r="H1010" s="4"/>
      <c r="I1010" s="4"/>
      <c r="J1010" s="4"/>
      <c r="K1010" s="4"/>
      <c r="L1010" s="4"/>
      <c r="M1010" s="4"/>
    </row>
    <row r="1011" spans="1:13" ht="15" customHeight="1" x14ac:dyDescent="0.35">
      <c r="A1011" t="str">
        <f t="shared" si="15"/>
        <v>P647MD05C2411</v>
      </c>
      <c r="B1011" t="str">
        <f>IFERROR(VLOOKUP($A1011,'[5]Study Budget Mapping '!$O$2:$P$532,2,0),"TBA")</f>
        <v>TBA</v>
      </c>
      <c r="D1011" s="2" t="s">
        <v>221</v>
      </c>
      <c r="E1011" s="2" t="s">
        <v>15</v>
      </c>
      <c r="F1011" s="3">
        <v>7140000</v>
      </c>
      <c r="G1011" s="3">
        <v>9040000</v>
      </c>
      <c r="H1011" s="4"/>
      <c r="I1011" s="4"/>
      <c r="J1011" s="4"/>
      <c r="K1011" s="4"/>
      <c r="L1011" s="4"/>
      <c r="M1011" s="4"/>
    </row>
    <row r="1012" spans="1:13" ht="15" customHeight="1" x14ac:dyDescent="0.35">
      <c r="A1012" t="str">
        <f t="shared" si="15"/>
        <v>P647MD05C2411</v>
      </c>
      <c r="B1012" t="str">
        <f>IFERROR(VLOOKUP($A1012,'[5]Study Budget Mapping '!$O$2:$P$532,2,0),"TBA")</f>
        <v>TBA</v>
      </c>
      <c r="D1012" s="2" t="s">
        <v>221</v>
      </c>
      <c r="E1012" s="2" t="s">
        <v>22</v>
      </c>
      <c r="F1012" s="3">
        <v>1109500</v>
      </c>
      <c r="G1012" s="3">
        <v>1720000</v>
      </c>
      <c r="H1012" s="4"/>
      <c r="I1012" s="4"/>
      <c r="J1012" s="4"/>
      <c r="K1012" s="4"/>
      <c r="L1012" s="4"/>
      <c r="M1012" s="4"/>
    </row>
    <row r="1013" spans="1:13" ht="15" customHeight="1" x14ac:dyDescent="0.35">
      <c r="A1013" t="str">
        <f t="shared" si="15"/>
        <v>P647MD05C2411</v>
      </c>
      <c r="B1013" t="str">
        <f>IFERROR(VLOOKUP($A1013,'[5]Study Budget Mapping '!$O$2:$P$532,2,0),"TBA")</f>
        <v>TBA</v>
      </c>
      <c r="D1013" s="2" t="s">
        <v>221</v>
      </c>
      <c r="E1013" s="2" t="s">
        <v>16</v>
      </c>
      <c r="F1013" s="3">
        <v>930000</v>
      </c>
      <c r="G1013" s="3">
        <v>2550000</v>
      </c>
      <c r="H1013" s="4"/>
      <c r="I1013" s="4"/>
      <c r="J1013" s="4"/>
      <c r="K1013" s="4"/>
      <c r="L1013" s="4"/>
      <c r="M1013" s="4"/>
    </row>
    <row r="1014" spans="1:13" ht="15" customHeight="1" x14ac:dyDescent="0.35">
      <c r="A1014" t="str">
        <f t="shared" si="15"/>
        <v>P647MD05C2411</v>
      </c>
      <c r="B1014" t="str">
        <f>IFERROR(VLOOKUP($A1014,'[5]Study Budget Mapping '!$O$2:$P$532,2,0),"TBA")</f>
        <v>TBA</v>
      </c>
      <c r="D1014" s="2" t="s">
        <v>221</v>
      </c>
      <c r="E1014" s="2" t="s">
        <v>17</v>
      </c>
      <c r="F1014" s="3">
        <v>460000</v>
      </c>
      <c r="G1014" s="3">
        <v>710000</v>
      </c>
      <c r="H1014" s="4"/>
      <c r="I1014" s="4"/>
      <c r="J1014" s="4"/>
      <c r="K1014" s="4"/>
      <c r="L1014" s="4"/>
      <c r="M1014" s="4"/>
    </row>
    <row r="1015" spans="1:13" ht="15" customHeight="1" x14ac:dyDescent="0.35">
      <c r="A1015" t="str">
        <f t="shared" si="15"/>
        <v>P647MD05C2411</v>
      </c>
      <c r="B1015" t="str">
        <f>IFERROR(VLOOKUP($A1015,'[5]Study Budget Mapping '!$O$2:$P$532,2,0),"TBA")</f>
        <v>TBA</v>
      </c>
      <c r="D1015" s="2" t="s">
        <v>221</v>
      </c>
      <c r="E1015" s="2" t="s">
        <v>23</v>
      </c>
      <c r="F1015" s="3">
        <v>2170000</v>
      </c>
      <c r="G1015" s="3">
        <v>1640000</v>
      </c>
      <c r="H1015" s="4"/>
      <c r="I1015" s="4"/>
      <c r="J1015" s="4"/>
      <c r="K1015" s="4"/>
      <c r="L1015" s="4"/>
      <c r="M1015" s="4"/>
    </row>
    <row r="1016" spans="1:13" ht="15" customHeight="1" x14ac:dyDescent="0.35">
      <c r="A1016" t="str">
        <f t="shared" si="15"/>
        <v>P647MD05C2411</v>
      </c>
      <c r="B1016" t="str">
        <f>IFERROR(VLOOKUP($A1016,'[5]Study Budget Mapping '!$O$2:$P$532,2,0),"TBA")</f>
        <v>TBA</v>
      </c>
      <c r="D1016" s="2" t="s">
        <v>221</v>
      </c>
      <c r="E1016" s="2" t="s">
        <v>24</v>
      </c>
      <c r="F1016" s="3">
        <v>625000</v>
      </c>
      <c r="G1016" s="3">
        <v>1050000</v>
      </c>
      <c r="H1016" s="4"/>
      <c r="I1016" s="4"/>
      <c r="J1016" s="4"/>
      <c r="K1016" s="4"/>
      <c r="L1016" s="4"/>
      <c r="M1016" s="4"/>
    </row>
    <row r="1017" spans="1:13" ht="15" customHeight="1" x14ac:dyDescent="0.35">
      <c r="A1017" t="str">
        <f t="shared" si="15"/>
        <v>P647MD05C2511</v>
      </c>
      <c r="B1017" t="str">
        <f>IFERROR(VLOOKUP($A1017,'[5]Study Budget Mapping '!$O$2:$P$532,2,0),"TBA")</f>
        <v>TBA</v>
      </c>
      <c r="D1017" s="2" t="s">
        <v>222</v>
      </c>
      <c r="E1017" s="2" t="s">
        <v>15</v>
      </c>
      <c r="F1017" s="3">
        <v>6000000</v>
      </c>
      <c r="G1017" s="3">
        <v>6000000</v>
      </c>
      <c r="H1017" s="4"/>
      <c r="I1017" s="4"/>
      <c r="J1017" s="4"/>
      <c r="K1017" s="4"/>
      <c r="L1017" s="4"/>
      <c r="M1017" s="4"/>
    </row>
    <row r="1018" spans="1:13" ht="15" customHeight="1" x14ac:dyDescent="0.35">
      <c r="A1018" t="str">
        <f t="shared" si="15"/>
        <v>P647MD01C2531</v>
      </c>
      <c r="B1018" t="str">
        <f>IFERROR(VLOOKUP($A1018,'[5]Study Budget Mapping '!$O$2:$P$532,2,0),"TBA")</f>
        <v>TBA</v>
      </c>
      <c r="D1018" s="2" t="s">
        <v>223</v>
      </c>
      <c r="E1018" s="2" t="s">
        <v>15</v>
      </c>
      <c r="F1018" s="3">
        <v>6000000</v>
      </c>
      <c r="G1018" s="3">
        <v>6000000</v>
      </c>
      <c r="H1018" s="4"/>
      <c r="I1018" s="4"/>
      <c r="J1018" s="4"/>
      <c r="K1018" s="4"/>
      <c r="L1018" s="4"/>
      <c r="M1018" s="4"/>
    </row>
    <row r="1019" spans="1:13" ht="15" customHeight="1" x14ac:dyDescent="0.35">
      <c r="A1019" t="str">
        <f t="shared" si="15"/>
        <v>P648IM00C1031</v>
      </c>
      <c r="B1019" t="str">
        <f>IFERROR(VLOOKUP($A1019,'[5]Study Budget Mapping '!$O$2:$P$532,2,0),"TBA")</f>
        <v>TBA</v>
      </c>
      <c r="D1019" s="2" t="s">
        <v>224</v>
      </c>
      <c r="E1019" s="2" t="s">
        <v>14</v>
      </c>
      <c r="F1019" s="3">
        <v>69410</v>
      </c>
      <c r="G1019" s="3">
        <v>0</v>
      </c>
      <c r="H1019" s="4"/>
      <c r="I1019" s="4"/>
      <c r="J1019" s="4"/>
      <c r="K1019" s="4"/>
      <c r="L1019" s="4"/>
      <c r="M1019" s="4"/>
    </row>
    <row r="1020" spans="1:13" ht="15" customHeight="1" x14ac:dyDescent="0.35">
      <c r="A1020" t="str">
        <f t="shared" si="15"/>
        <v>P648IM00C1031</v>
      </c>
      <c r="B1020" t="str">
        <f>IFERROR(VLOOKUP($A1020,'[5]Study Budget Mapping '!$O$2:$P$532,2,0),"TBA")</f>
        <v>TBA</v>
      </c>
      <c r="D1020" s="2" t="s">
        <v>224</v>
      </c>
      <c r="E1020" s="2" t="s">
        <v>15</v>
      </c>
      <c r="F1020" s="3">
        <v>850000</v>
      </c>
      <c r="G1020" s="3">
        <v>2297732.7998364</v>
      </c>
      <c r="H1020" s="4"/>
      <c r="I1020" s="4"/>
      <c r="J1020" s="4"/>
      <c r="K1020" s="4"/>
      <c r="L1020" s="4"/>
      <c r="M1020" s="4"/>
    </row>
    <row r="1021" spans="1:13" ht="15" customHeight="1" x14ac:dyDescent="0.35">
      <c r="A1021" t="str">
        <f t="shared" si="15"/>
        <v>P648IM00C1031</v>
      </c>
      <c r="B1021" t="str">
        <f>IFERROR(VLOOKUP($A1021,'[5]Study Budget Mapping '!$O$2:$P$532,2,0),"TBA")</f>
        <v>TBA</v>
      </c>
      <c r="D1021" s="2" t="s">
        <v>224</v>
      </c>
      <c r="E1021" s="2" t="s">
        <v>16</v>
      </c>
      <c r="F1021" s="3">
        <v>676020</v>
      </c>
      <c r="G1021" s="3">
        <v>0</v>
      </c>
      <c r="H1021" s="4"/>
      <c r="I1021" s="4"/>
      <c r="J1021" s="4"/>
      <c r="K1021" s="4"/>
      <c r="L1021" s="4"/>
      <c r="M1021" s="4"/>
    </row>
    <row r="1022" spans="1:13" ht="15" customHeight="1" x14ac:dyDescent="0.35">
      <c r="A1022" t="str">
        <f t="shared" si="15"/>
        <v>P648IM00C1031</v>
      </c>
      <c r="B1022" t="str">
        <f>IFERROR(VLOOKUP($A1022,'[5]Study Budget Mapping '!$O$2:$P$532,2,0),"TBA")</f>
        <v>TBA</v>
      </c>
      <c r="D1022" s="2" t="s">
        <v>224</v>
      </c>
      <c r="E1022" s="2" t="s">
        <v>17</v>
      </c>
      <c r="F1022" s="3">
        <v>125000</v>
      </c>
      <c r="G1022" s="3">
        <v>0</v>
      </c>
      <c r="H1022" s="4"/>
      <c r="I1022" s="4"/>
      <c r="J1022" s="4"/>
      <c r="K1022" s="4"/>
      <c r="L1022" s="4"/>
      <c r="M1022" s="4"/>
    </row>
    <row r="1023" spans="1:13" ht="15" customHeight="1" x14ac:dyDescent="0.35">
      <c r="A1023" t="str">
        <f t="shared" si="15"/>
        <v>P648IM00C1031</v>
      </c>
      <c r="B1023" t="str">
        <f>IFERROR(VLOOKUP($A1023,'[5]Study Budget Mapping '!$O$2:$P$532,2,0),"TBA")</f>
        <v>TBA</v>
      </c>
      <c r="D1023" s="2" t="s">
        <v>224</v>
      </c>
      <c r="E1023" s="2" t="s">
        <v>28</v>
      </c>
      <c r="F1023" s="3">
        <v>18500</v>
      </c>
      <c r="G1023" s="3">
        <v>0</v>
      </c>
      <c r="H1023" s="4"/>
      <c r="I1023" s="4"/>
      <c r="J1023" s="4"/>
      <c r="K1023" s="4"/>
      <c r="L1023" s="4"/>
      <c r="M1023" s="4"/>
    </row>
    <row r="1024" spans="1:13" ht="15" customHeight="1" x14ac:dyDescent="0.35">
      <c r="A1024" t="str">
        <f t="shared" si="15"/>
        <v>P648IM00C1031</v>
      </c>
      <c r="B1024" t="str">
        <f>IFERROR(VLOOKUP($A1024,'[5]Study Budget Mapping '!$O$2:$P$532,2,0),"TBA")</f>
        <v>TBA</v>
      </c>
      <c r="D1024" s="2" t="s">
        <v>224</v>
      </c>
      <c r="E1024" s="2" t="s">
        <v>23</v>
      </c>
      <c r="F1024" s="3">
        <v>11042</v>
      </c>
      <c r="G1024" s="3">
        <v>0</v>
      </c>
      <c r="H1024" s="4"/>
      <c r="I1024" s="4"/>
      <c r="J1024" s="4"/>
      <c r="K1024" s="4"/>
      <c r="L1024" s="4"/>
      <c r="M1024" s="4"/>
    </row>
    <row r="1025" spans="1:13" ht="15" customHeight="1" x14ac:dyDescent="0.35">
      <c r="A1025" t="str">
        <f t="shared" si="15"/>
        <v>P648IM10C1421</v>
      </c>
      <c r="B1025" t="str">
        <f>IFERROR(VLOOKUP($A1025,'[5]Study Budget Mapping '!$O$2:$P$532,2,0),"TBA")</f>
        <v>TBA</v>
      </c>
      <c r="D1025" s="2" t="s">
        <v>225</v>
      </c>
      <c r="E1025" s="2" t="s">
        <v>15</v>
      </c>
      <c r="F1025" s="3">
        <v>0</v>
      </c>
      <c r="G1025" s="3">
        <v>114520</v>
      </c>
      <c r="H1025" s="4"/>
      <c r="I1025" s="4"/>
      <c r="J1025" s="4"/>
      <c r="K1025" s="4"/>
      <c r="L1025" s="4"/>
      <c r="M1025" s="4"/>
    </row>
    <row r="1026" spans="1:13" ht="15" customHeight="1" x14ac:dyDescent="0.35">
      <c r="A1026" t="str">
        <f t="shared" si="15"/>
        <v>P650ST01C1011</v>
      </c>
      <c r="B1026" t="str">
        <f>IFERROR(VLOOKUP($A1026,'[5]Study Budget Mapping '!$O$2:$P$532,2,0),"TBA")</f>
        <v>TBA</v>
      </c>
      <c r="D1026" s="2" t="s">
        <v>226</v>
      </c>
      <c r="E1026" s="2" t="s">
        <v>13</v>
      </c>
      <c r="F1026" s="3">
        <v>2375000</v>
      </c>
      <c r="G1026" s="3">
        <v>0</v>
      </c>
      <c r="H1026" s="4"/>
      <c r="I1026" s="4"/>
      <c r="J1026" s="4"/>
      <c r="K1026" s="4"/>
      <c r="L1026" s="4"/>
      <c r="M1026" s="4"/>
    </row>
    <row r="1027" spans="1:13" ht="15" customHeight="1" x14ac:dyDescent="0.35">
      <c r="A1027" t="str">
        <f t="shared" ref="A1027:A1090" si="16">TRIM(_xlfn.TEXTBEFORE(D1027,"-",1))</f>
        <v>P650ST01C1011</v>
      </c>
      <c r="B1027" t="str">
        <f>IFERROR(VLOOKUP($A1027,'[5]Study Budget Mapping '!$O$2:$P$532,2,0),"TBA")</f>
        <v>TBA</v>
      </c>
      <c r="D1027" s="2" t="s">
        <v>226</v>
      </c>
      <c r="E1027" s="2" t="s">
        <v>14</v>
      </c>
      <c r="F1027" s="3">
        <v>992858</v>
      </c>
      <c r="G1027" s="3">
        <v>0</v>
      </c>
      <c r="H1027" s="4"/>
      <c r="I1027" s="4"/>
      <c r="J1027" s="4"/>
      <c r="K1027" s="4"/>
      <c r="L1027" s="4"/>
      <c r="M1027" s="4"/>
    </row>
    <row r="1028" spans="1:13" ht="15" customHeight="1" x14ac:dyDescent="0.35">
      <c r="A1028" t="str">
        <f t="shared" si="16"/>
        <v>P650ST01C1011</v>
      </c>
      <c r="B1028" t="str">
        <f>IFERROR(VLOOKUP($A1028,'[5]Study Budget Mapping '!$O$2:$P$532,2,0),"TBA")</f>
        <v>TBA</v>
      </c>
      <c r="D1028" s="2" t="s">
        <v>226</v>
      </c>
      <c r="E1028" s="2" t="s">
        <v>15</v>
      </c>
      <c r="F1028" s="3">
        <v>531956</v>
      </c>
      <c r="G1028" s="3">
        <v>4882865.07</v>
      </c>
      <c r="H1028" s="4"/>
      <c r="I1028" s="4"/>
      <c r="J1028" s="4"/>
      <c r="K1028" s="4"/>
      <c r="L1028" s="4"/>
      <c r="M1028" s="4"/>
    </row>
    <row r="1029" spans="1:13" ht="15" customHeight="1" x14ac:dyDescent="0.35">
      <c r="A1029" t="str">
        <f t="shared" si="16"/>
        <v>P650ST01C1011</v>
      </c>
      <c r="B1029" t="str">
        <f>IFERROR(VLOOKUP($A1029,'[5]Study Budget Mapping '!$O$2:$P$532,2,0),"TBA")</f>
        <v>TBA</v>
      </c>
      <c r="D1029" s="2" t="s">
        <v>226</v>
      </c>
      <c r="E1029" s="2" t="s">
        <v>16</v>
      </c>
      <c r="F1029" s="3">
        <v>1005280</v>
      </c>
      <c r="G1029" s="3">
        <v>0</v>
      </c>
      <c r="H1029" s="4"/>
      <c r="I1029" s="4"/>
      <c r="J1029" s="4"/>
      <c r="K1029" s="4"/>
      <c r="L1029" s="4"/>
      <c r="M1029" s="4"/>
    </row>
    <row r="1030" spans="1:13" ht="15" customHeight="1" x14ac:dyDescent="0.35">
      <c r="A1030" t="str">
        <f t="shared" si="16"/>
        <v>P650ST01C1011</v>
      </c>
      <c r="B1030" t="str">
        <f>IFERROR(VLOOKUP($A1030,'[5]Study Budget Mapping '!$O$2:$P$532,2,0),"TBA")</f>
        <v>TBA</v>
      </c>
      <c r="D1030" s="2" t="s">
        <v>226</v>
      </c>
      <c r="E1030" s="2" t="s">
        <v>28</v>
      </c>
      <c r="F1030" s="3">
        <v>459174</v>
      </c>
      <c r="G1030" s="3">
        <v>0</v>
      </c>
      <c r="H1030" s="4"/>
      <c r="I1030" s="4"/>
      <c r="J1030" s="4"/>
      <c r="K1030" s="4"/>
      <c r="L1030" s="4"/>
      <c r="M1030" s="4"/>
    </row>
    <row r="1031" spans="1:13" ht="15" customHeight="1" x14ac:dyDescent="0.35">
      <c r="A1031" t="str">
        <f t="shared" si="16"/>
        <v>P650ST01C1011</v>
      </c>
      <c r="B1031" t="str">
        <f>IFERROR(VLOOKUP($A1031,'[5]Study Budget Mapping '!$O$2:$P$532,2,0),"TBA")</f>
        <v>TBA</v>
      </c>
      <c r="D1031" s="2" t="s">
        <v>226</v>
      </c>
      <c r="E1031" s="2" t="s">
        <v>23</v>
      </c>
      <c r="F1031" s="3">
        <v>142200</v>
      </c>
      <c r="G1031" s="3">
        <v>0</v>
      </c>
      <c r="H1031" s="4"/>
      <c r="I1031" s="4"/>
      <c r="J1031" s="4"/>
      <c r="K1031" s="4"/>
      <c r="L1031" s="4"/>
      <c r="M1031" s="4"/>
    </row>
    <row r="1032" spans="1:13" ht="15" customHeight="1" x14ac:dyDescent="0.35">
      <c r="A1032" t="str">
        <f t="shared" si="16"/>
        <v>P651MD00C1011</v>
      </c>
      <c r="B1032" t="str">
        <f>IFERROR(VLOOKUP($A1032,'[5]Study Budget Mapping '!$O$2:$P$532,2,0),"TBA")</f>
        <v>TBA</v>
      </c>
      <c r="D1032" s="2" t="s">
        <v>227</v>
      </c>
      <c r="E1032" s="2" t="s">
        <v>13</v>
      </c>
      <c r="F1032" s="3">
        <v>1150250</v>
      </c>
      <c r="G1032" s="3">
        <v>1818161</v>
      </c>
      <c r="H1032" s="4"/>
      <c r="I1032" s="4"/>
      <c r="J1032" s="4"/>
      <c r="K1032" s="4"/>
      <c r="L1032" s="4"/>
      <c r="M1032" s="4"/>
    </row>
    <row r="1033" spans="1:13" ht="15" customHeight="1" x14ac:dyDescent="0.35">
      <c r="A1033" t="str">
        <f t="shared" si="16"/>
        <v>P651MD00C1011</v>
      </c>
      <c r="B1033" t="str">
        <f>IFERROR(VLOOKUP($A1033,'[5]Study Budget Mapping '!$O$2:$P$532,2,0),"TBA")</f>
        <v>TBA</v>
      </c>
      <c r="D1033" s="2" t="s">
        <v>227</v>
      </c>
      <c r="E1033" s="2" t="s">
        <v>14</v>
      </c>
      <c r="F1033" s="3">
        <v>225000</v>
      </c>
      <c r="G1033" s="3">
        <v>497241</v>
      </c>
      <c r="H1033" s="4"/>
      <c r="I1033" s="4"/>
      <c r="J1033" s="4"/>
      <c r="K1033" s="4"/>
      <c r="L1033" s="4"/>
      <c r="M1033" s="4"/>
    </row>
    <row r="1034" spans="1:13" ht="15" customHeight="1" x14ac:dyDescent="0.35">
      <c r="A1034" t="str">
        <f t="shared" si="16"/>
        <v>P651MD00C1011</v>
      </c>
      <c r="B1034" t="str">
        <f>IFERROR(VLOOKUP($A1034,'[5]Study Budget Mapping '!$O$2:$P$532,2,0),"TBA")</f>
        <v>TBA</v>
      </c>
      <c r="D1034" s="2" t="s">
        <v>227</v>
      </c>
      <c r="E1034" s="2" t="s">
        <v>16</v>
      </c>
      <c r="F1034" s="3">
        <v>75000</v>
      </c>
      <c r="G1034" s="3">
        <v>315700</v>
      </c>
      <c r="H1034" s="4"/>
      <c r="I1034" s="4"/>
      <c r="J1034" s="4"/>
      <c r="K1034" s="4"/>
      <c r="L1034" s="4"/>
      <c r="M1034" s="4"/>
    </row>
    <row r="1035" spans="1:13" ht="15" customHeight="1" x14ac:dyDescent="0.35">
      <c r="A1035" t="str">
        <f t="shared" si="16"/>
        <v>P651MD00C1011</v>
      </c>
      <c r="B1035" t="str">
        <f>IFERROR(VLOOKUP($A1035,'[5]Study Budget Mapping '!$O$2:$P$532,2,0),"TBA")</f>
        <v>TBA</v>
      </c>
      <c r="D1035" s="2" t="s">
        <v>227</v>
      </c>
      <c r="E1035" s="2" t="s">
        <v>17</v>
      </c>
      <c r="F1035" s="3">
        <v>140700</v>
      </c>
      <c r="G1035" s="3">
        <v>0</v>
      </c>
      <c r="H1035" s="4"/>
      <c r="I1035" s="4"/>
      <c r="J1035" s="4"/>
      <c r="K1035" s="4"/>
      <c r="L1035" s="4"/>
      <c r="M1035" s="4"/>
    </row>
    <row r="1036" spans="1:13" ht="15" customHeight="1" x14ac:dyDescent="0.35">
      <c r="A1036" t="str">
        <f t="shared" si="16"/>
        <v>P651MD00C1011</v>
      </c>
      <c r="B1036" t="str">
        <f>IFERROR(VLOOKUP($A1036,'[5]Study Budget Mapping '!$O$2:$P$532,2,0),"TBA")</f>
        <v>TBA</v>
      </c>
      <c r="D1036" s="2" t="s">
        <v>227</v>
      </c>
      <c r="E1036" s="2" t="s">
        <v>28</v>
      </c>
      <c r="F1036" s="3">
        <v>35000</v>
      </c>
      <c r="G1036" s="3">
        <v>196093</v>
      </c>
      <c r="H1036" s="4"/>
      <c r="I1036" s="4"/>
      <c r="J1036" s="4"/>
      <c r="K1036" s="4"/>
      <c r="L1036" s="4"/>
      <c r="M1036" s="4"/>
    </row>
    <row r="1037" spans="1:13" ht="15" customHeight="1" x14ac:dyDescent="0.35">
      <c r="A1037" t="str">
        <f t="shared" si="16"/>
        <v>P651MD00C1011</v>
      </c>
      <c r="B1037" t="str">
        <f>IFERROR(VLOOKUP($A1037,'[5]Study Budget Mapping '!$O$2:$P$532,2,0),"TBA")</f>
        <v>TBA</v>
      </c>
      <c r="D1037" s="2" t="s">
        <v>227</v>
      </c>
      <c r="E1037" s="2" t="s">
        <v>23</v>
      </c>
      <c r="F1037" s="3">
        <v>120000</v>
      </c>
      <c r="G1037" s="3">
        <v>20000</v>
      </c>
      <c r="H1037" s="4"/>
      <c r="I1037" s="4"/>
      <c r="J1037" s="4"/>
      <c r="K1037" s="4"/>
      <c r="L1037" s="4"/>
      <c r="M1037" s="4"/>
    </row>
    <row r="1038" spans="1:13" ht="15" customHeight="1" x14ac:dyDescent="0.35">
      <c r="A1038" t="str">
        <f t="shared" si="16"/>
        <v>P651MD01C1111</v>
      </c>
      <c r="B1038" t="str">
        <f>IFERROR(VLOOKUP($A1038,'[5]Study Budget Mapping '!$O$2:$P$532,2,0),"TBA")</f>
        <v>TBA</v>
      </c>
      <c r="D1038" s="2" t="s">
        <v>228</v>
      </c>
      <c r="E1038" s="2" t="s">
        <v>13</v>
      </c>
      <c r="F1038" s="3">
        <v>1282558</v>
      </c>
      <c r="G1038" s="3">
        <v>0</v>
      </c>
      <c r="H1038" s="4"/>
      <c r="I1038" s="4"/>
      <c r="J1038" s="4"/>
      <c r="K1038" s="4"/>
      <c r="L1038" s="4"/>
      <c r="M1038" s="4"/>
    </row>
    <row r="1039" spans="1:13" ht="15" customHeight="1" x14ac:dyDescent="0.35">
      <c r="A1039" t="str">
        <f t="shared" si="16"/>
        <v>P651MD01C1111</v>
      </c>
      <c r="B1039" t="str">
        <f>IFERROR(VLOOKUP($A1039,'[5]Study Budget Mapping '!$O$2:$P$532,2,0),"TBA")</f>
        <v>TBA</v>
      </c>
      <c r="D1039" s="2" t="s">
        <v>228</v>
      </c>
      <c r="E1039" s="2" t="s">
        <v>14</v>
      </c>
      <c r="F1039" s="3">
        <v>577149</v>
      </c>
      <c r="G1039" s="3">
        <v>0</v>
      </c>
      <c r="H1039" s="4"/>
      <c r="I1039" s="4"/>
      <c r="J1039" s="4"/>
      <c r="K1039" s="4"/>
      <c r="L1039" s="4"/>
      <c r="M1039" s="4"/>
    </row>
    <row r="1040" spans="1:13" ht="15" customHeight="1" x14ac:dyDescent="0.35">
      <c r="A1040" t="str">
        <f t="shared" si="16"/>
        <v>P651MD01C1111</v>
      </c>
      <c r="B1040" t="str">
        <f>IFERROR(VLOOKUP($A1040,'[5]Study Budget Mapping '!$O$2:$P$532,2,0),"TBA")</f>
        <v>TBA</v>
      </c>
      <c r="D1040" s="2" t="s">
        <v>228</v>
      </c>
      <c r="E1040" s="2" t="s">
        <v>31</v>
      </c>
      <c r="F1040" s="3">
        <v>26332</v>
      </c>
      <c r="G1040" s="3">
        <v>0</v>
      </c>
      <c r="H1040" s="4"/>
      <c r="I1040" s="4"/>
      <c r="J1040" s="4"/>
      <c r="K1040" s="4"/>
      <c r="L1040" s="4"/>
      <c r="M1040" s="4"/>
    </row>
    <row r="1041" spans="1:13" ht="15" customHeight="1" x14ac:dyDescent="0.35">
      <c r="A1041" t="str">
        <f t="shared" si="16"/>
        <v>P651MD01C1111</v>
      </c>
      <c r="B1041" t="str">
        <f>IFERROR(VLOOKUP($A1041,'[5]Study Budget Mapping '!$O$2:$P$532,2,0),"TBA")</f>
        <v>TBA</v>
      </c>
      <c r="D1041" s="2" t="s">
        <v>228</v>
      </c>
      <c r="E1041" s="2" t="s">
        <v>15</v>
      </c>
      <c r="F1041" s="3">
        <v>0</v>
      </c>
      <c r="G1041" s="3">
        <v>2162694.81</v>
      </c>
      <c r="H1041" s="4"/>
      <c r="I1041" s="4"/>
      <c r="J1041" s="4"/>
      <c r="K1041" s="4"/>
      <c r="L1041" s="4"/>
      <c r="M1041" s="4"/>
    </row>
    <row r="1042" spans="1:13" ht="15" customHeight="1" x14ac:dyDescent="0.35">
      <c r="A1042" t="str">
        <f t="shared" si="16"/>
        <v>P651MD01C1111</v>
      </c>
      <c r="B1042" t="str">
        <f>IFERROR(VLOOKUP($A1042,'[5]Study Budget Mapping '!$O$2:$P$532,2,0),"TBA")</f>
        <v>TBA</v>
      </c>
      <c r="D1042" s="2" t="s">
        <v>228</v>
      </c>
      <c r="E1042" s="2" t="s">
        <v>17</v>
      </c>
      <c r="F1042" s="3">
        <v>86031</v>
      </c>
      <c r="G1042" s="3">
        <v>0</v>
      </c>
      <c r="H1042" s="4"/>
      <c r="I1042" s="4"/>
      <c r="J1042" s="4"/>
      <c r="K1042" s="4"/>
      <c r="L1042" s="4"/>
      <c r="M1042" s="4"/>
    </row>
    <row r="1043" spans="1:13" ht="15" customHeight="1" x14ac:dyDescent="0.35">
      <c r="A1043" t="str">
        <f t="shared" si="16"/>
        <v>P651MD01C1111</v>
      </c>
      <c r="B1043" t="str">
        <f>IFERROR(VLOOKUP($A1043,'[5]Study Budget Mapping '!$O$2:$P$532,2,0),"TBA")</f>
        <v>TBA</v>
      </c>
      <c r="D1043" s="2" t="s">
        <v>228</v>
      </c>
      <c r="E1043" s="2" t="s">
        <v>23</v>
      </c>
      <c r="F1043" s="3">
        <v>315849</v>
      </c>
      <c r="G1043" s="3">
        <v>0</v>
      </c>
      <c r="H1043" s="4"/>
      <c r="I1043" s="4"/>
      <c r="J1043" s="4"/>
      <c r="K1043" s="4"/>
      <c r="L1043" s="4"/>
      <c r="M1043" s="4"/>
    </row>
    <row r="1044" spans="1:13" ht="15" customHeight="1" x14ac:dyDescent="0.35">
      <c r="A1044" t="str">
        <f t="shared" si="16"/>
        <v>P652CV00C1111</v>
      </c>
      <c r="B1044" t="str">
        <f>IFERROR(VLOOKUP($A1044,'[5]Study Budget Mapping '!$O$2:$P$532,2,0),"TBA")</f>
        <v>TBA</v>
      </c>
      <c r="D1044" s="2" t="s">
        <v>229</v>
      </c>
      <c r="E1044" s="2" t="s">
        <v>13</v>
      </c>
      <c r="F1044" s="3">
        <v>2110000</v>
      </c>
      <c r="G1044" s="3">
        <v>2110000</v>
      </c>
      <c r="H1044" s="4"/>
      <c r="I1044" s="4"/>
      <c r="J1044" s="4"/>
      <c r="K1044" s="4"/>
      <c r="L1044" s="4"/>
      <c r="M1044" s="4"/>
    </row>
    <row r="1045" spans="1:13" ht="15" customHeight="1" x14ac:dyDescent="0.35">
      <c r="A1045" t="str">
        <f t="shared" si="16"/>
        <v>P652CV00C1111</v>
      </c>
      <c r="B1045" t="str">
        <f>IFERROR(VLOOKUP($A1045,'[5]Study Budget Mapping '!$O$2:$P$532,2,0),"TBA")</f>
        <v>TBA</v>
      </c>
      <c r="D1045" s="2" t="s">
        <v>229</v>
      </c>
      <c r="E1045" s="2" t="s">
        <v>14</v>
      </c>
      <c r="F1045" s="3">
        <v>520000</v>
      </c>
      <c r="G1045" s="3">
        <v>520000</v>
      </c>
      <c r="H1045" s="4"/>
      <c r="I1045" s="4"/>
      <c r="J1045" s="4"/>
      <c r="K1045" s="4"/>
      <c r="L1045" s="4"/>
      <c r="M1045" s="4"/>
    </row>
    <row r="1046" spans="1:13" ht="15" customHeight="1" x14ac:dyDescent="0.35">
      <c r="A1046" t="str">
        <f t="shared" si="16"/>
        <v>P652CV00C1111</v>
      </c>
      <c r="B1046" t="str">
        <f>IFERROR(VLOOKUP($A1046,'[5]Study Budget Mapping '!$O$2:$P$532,2,0),"TBA")</f>
        <v>TBA</v>
      </c>
      <c r="D1046" s="2" t="s">
        <v>229</v>
      </c>
      <c r="E1046" s="2" t="s">
        <v>17</v>
      </c>
      <c r="F1046" s="3">
        <v>120000</v>
      </c>
      <c r="G1046" s="3">
        <v>120000</v>
      </c>
      <c r="H1046" s="4"/>
      <c r="I1046" s="4"/>
      <c r="J1046" s="4"/>
      <c r="K1046" s="4"/>
      <c r="L1046" s="4"/>
      <c r="M1046" s="4"/>
    </row>
    <row r="1047" spans="1:13" ht="15" customHeight="1" x14ac:dyDescent="0.35">
      <c r="A1047" t="str">
        <f t="shared" si="16"/>
        <v>P652CV00C1111</v>
      </c>
      <c r="B1047" t="str">
        <f>IFERROR(VLOOKUP($A1047,'[5]Study Budget Mapping '!$O$2:$P$532,2,0),"TBA")</f>
        <v>TBA</v>
      </c>
      <c r="D1047" s="2" t="s">
        <v>229</v>
      </c>
      <c r="E1047" s="2" t="s">
        <v>23</v>
      </c>
      <c r="F1047" s="3">
        <v>230000</v>
      </c>
      <c r="G1047" s="3">
        <v>230000</v>
      </c>
      <c r="H1047" s="4"/>
      <c r="I1047" s="4"/>
      <c r="J1047" s="4"/>
      <c r="K1047" s="4"/>
      <c r="L1047" s="4"/>
      <c r="M1047" s="4"/>
    </row>
    <row r="1048" spans="1:13" ht="15" customHeight="1" x14ac:dyDescent="0.35">
      <c r="A1048" t="str">
        <f t="shared" si="16"/>
        <v>P652CV00C1111</v>
      </c>
      <c r="B1048" t="str">
        <f>IFERROR(VLOOKUP($A1048,'[5]Study Budget Mapping '!$O$2:$P$532,2,0),"TBA")</f>
        <v>TBA</v>
      </c>
      <c r="D1048" s="2" t="s">
        <v>229</v>
      </c>
      <c r="E1048" s="2" t="s">
        <v>24</v>
      </c>
      <c r="F1048" s="3">
        <v>40000</v>
      </c>
      <c r="G1048" s="3">
        <v>40000</v>
      </c>
      <c r="H1048" s="4"/>
      <c r="I1048" s="4"/>
      <c r="J1048" s="4"/>
      <c r="K1048" s="4"/>
      <c r="L1048" s="4"/>
      <c r="M1048" s="4"/>
    </row>
    <row r="1049" spans="1:13" ht="15" customHeight="1" x14ac:dyDescent="0.35">
      <c r="A1049" t="str">
        <f t="shared" si="16"/>
        <v>P652CV00C2431</v>
      </c>
      <c r="B1049" t="str">
        <f>IFERROR(VLOOKUP($A1049,'[5]Study Budget Mapping '!$O$2:$P$532,2,0),"TBA")</f>
        <v>TBA</v>
      </c>
      <c r="D1049" s="2" t="s">
        <v>230</v>
      </c>
      <c r="E1049" s="2" t="s">
        <v>13</v>
      </c>
      <c r="F1049" s="3">
        <v>9011000.3200000003</v>
      </c>
      <c r="G1049" s="3">
        <v>9011000.3200000003</v>
      </c>
      <c r="H1049" s="4"/>
      <c r="I1049" s="4"/>
      <c r="J1049" s="4"/>
      <c r="K1049" s="4"/>
      <c r="L1049" s="4"/>
      <c r="M1049" s="4"/>
    </row>
    <row r="1050" spans="1:13" ht="15" customHeight="1" x14ac:dyDescent="0.35">
      <c r="A1050" t="str">
        <f t="shared" si="16"/>
        <v>P652CV00C2431</v>
      </c>
      <c r="B1050" t="str">
        <f>IFERROR(VLOOKUP($A1050,'[5]Study Budget Mapping '!$O$2:$P$532,2,0),"TBA")</f>
        <v>TBA</v>
      </c>
      <c r="D1050" s="2" t="s">
        <v>230</v>
      </c>
      <c r="E1050" s="2" t="s">
        <v>14</v>
      </c>
      <c r="F1050" s="3">
        <v>1100000</v>
      </c>
      <c r="G1050" s="3">
        <v>1100000</v>
      </c>
      <c r="H1050" s="4"/>
      <c r="I1050" s="4"/>
      <c r="J1050" s="4"/>
      <c r="K1050" s="4"/>
      <c r="L1050" s="4"/>
      <c r="M1050" s="4"/>
    </row>
    <row r="1051" spans="1:13" ht="15" customHeight="1" x14ac:dyDescent="0.35">
      <c r="A1051" t="str">
        <f t="shared" si="16"/>
        <v>P652CV00C2431</v>
      </c>
      <c r="B1051" t="str">
        <f>IFERROR(VLOOKUP($A1051,'[5]Study Budget Mapping '!$O$2:$P$532,2,0),"TBA")</f>
        <v>TBA</v>
      </c>
      <c r="D1051" s="2" t="s">
        <v>230</v>
      </c>
      <c r="E1051" s="2" t="s">
        <v>19</v>
      </c>
      <c r="F1051" s="3">
        <v>425000</v>
      </c>
      <c r="G1051" s="3">
        <v>425000</v>
      </c>
      <c r="H1051" s="4"/>
      <c r="I1051" s="4"/>
      <c r="J1051" s="4"/>
      <c r="K1051" s="4"/>
      <c r="L1051" s="4"/>
      <c r="M1051" s="4"/>
    </row>
    <row r="1052" spans="1:13" ht="15" customHeight="1" x14ac:dyDescent="0.35">
      <c r="A1052" t="str">
        <f t="shared" si="16"/>
        <v>P652CV00C2431</v>
      </c>
      <c r="B1052" t="str">
        <f>IFERROR(VLOOKUP($A1052,'[5]Study Budget Mapping '!$O$2:$P$532,2,0),"TBA")</f>
        <v>TBA</v>
      </c>
      <c r="D1052" s="2" t="s">
        <v>230</v>
      </c>
      <c r="E1052" s="2" t="s">
        <v>15</v>
      </c>
      <c r="F1052" s="3">
        <v>7820000</v>
      </c>
      <c r="G1052" s="3">
        <v>7820000</v>
      </c>
      <c r="H1052" s="4"/>
      <c r="I1052" s="4"/>
      <c r="J1052" s="4"/>
      <c r="K1052" s="4"/>
      <c r="L1052" s="4"/>
      <c r="M1052" s="4"/>
    </row>
    <row r="1053" spans="1:13" ht="15" customHeight="1" x14ac:dyDescent="0.35">
      <c r="A1053" t="str">
        <f t="shared" si="16"/>
        <v>P652CV00C2431</v>
      </c>
      <c r="B1053" t="str">
        <f>IFERROR(VLOOKUP($A1053,'[5]Study Budget Mapping '!$O$2:$P$532,2,0),"TBA")</f>
        <v>TBA</v>
      </c>
      <c r="D1053" s="2" t="s">
        <v>230</v>
      </c>
      <c r="E1053" s="2" t="s">
        <v>16</v>
      </c>
      <c r="F1053" s="3">
        <v>1300000</v>
      </c>
      <c r="G1053" s="3">
        <v>1300000</v>
      </c>
      <c r="H1053" s="4"/>
      <c r="I1053" s="4"/>
      <c r="J1053" s="4"/>
      <c r="K1053" s="4"/>
      <c r="L1053" s="4"/>
      <c r="M1053" s="4"/>
    </row>
    <row r="1054" spans="1:13" ht="15" customHeight="1" x14ac:dyDescent="0.35">
      <c r="A1054" t="str">
        <f t="shared" si="16"/>
        <v>P652CV00C2431</v>
      </c>
      <c r="B1054" t="str">
        <f>IFERROR(VLOOKUP($A1054,'[5]Study Budget Mapping '!$O$2:$P$532,2,0),"TBA")</f>
        <v>TBA</v>
      </c>
      <c r="D1054" s="2" t="s">
        <v>230</v>
      </c>
      <c r="E1054" s="2" t="s">
        <v>17</v>
      </c>
      <c r="F1054" s="3">
        <v>310000</v>
      </c>
      <c r="G1054" s="3">
        <v>310000</v>
      </c>
      <c r="H1054" s="4"/>
      <c r="I1054" s="4"/>
      <c r="J1054" s="4"/>
      <c r="K1054" s="4"/>
      <c r="L1054" s="4"/>
      <c r="M1054" s="4"/>
    </row>
    <row r="1055" spans="1:13" ht="15" customHeight="1" x14ac:dyDescent="0.35">
      <c r="A1055" t="str">
        <f t="shared" si="16"/>
        <v>P652CV00C2431</v>
      </c>
      <c r="B1055" t="str">
        <f>IFERROR(VLOOKUP($A1055,'[5]Study Budget Mapping '!$O$2:$P$532,2,0),"TBA")</f>
        <v>TBA</v>
      </c>
      <c r="D1055" s="2" t="s">
        <v>230</v>
      </c>
      <c r="E1055" s="2" t="s">
        <v>24</v>
      </c>
      <c r="F1055" s="3">
        <v>670000</v>
      </c>
      <c r="G1055" s="3">
        <v>670000</v>
      </c>
      <c r="H1055" s="4"/>
      <c r="I1055" s="4"/>
      <c r="J1055" s="4"/>
      <c r="K1055" s="4"/>
      <c r="L1055" s="4"/>
      <c r="M1055" s="4"/>
    </row>
    <row r="1056" spans="1:13" ht="15" customHeight="1" x14ac:dyDescent="0.35">
      <c r="A1056" t="str">
        <f t="shared" si="16"/>
        <v>P652CV01C2421</v>
      </c>
      <c r="B1056" t="str">
        <f>IFERROR(VLOOKUP($A1056,'[5]Study Budget Mapping '!$O$2:$P$532,2,0),"TBA")</f>
        <v>TBA</v>
      </c>
      <c r="D1056" s="2" t="s">
        <v>231</v>
      </c>
      <c r="E1056" s="2" t="s">
        <v>13</v>
      </c>
      <c r="F1056" s="3">
        <v>2300000</v>
      </c>
      <c r="G1056" s="3">
        <v>2300000</v>
      </c>
      <c r="H1056" s="4"/>
      <c r="I1056" s="4"/>
      <c r="J1056" s="4"/>
      <c r="K1056" s="4"/>
      <c r="L1056" s="4"/>
      <c r="M1056" s="4"/>
    </row>
    <row r="1057" spans="1:13" ht="15" customHeight="1" x14ac:dyDescent="0.35">
      <c r="A1057" t="str">
        <f t="shared" si="16"/>
        <v>P652CV01C2421</v>
      </c>
      <c r="B1057" t="str">
        <f>IFERROR(VLOOKUP($A1057,'[5]Study Budget Mapping '!$O$2:$P$532,2,0),"TBA")</f>
        <v>TBA</v>
      </c>
      <c r="D1057" s="2" t="s">
        <v>231</v>
      </c>
      <c r="E1057" s="2" t="s">
        <v>14</v>
      </c>
      <c r="F1057" s="3">
        <v>1250000</v>
      </c>
      <c r="G1057" s="3">
        <v>1250000</v>
      </c>
      <c r="H1057" s="4"/>
      <c r="I1057" s="4"/>
      <c r="J1057" s="4"/>
      <c r="K1057" s="4"/>
      <c r="L1057" s="4"/>
      <c r="M1057" s="4"/>
    </row>
    <row r="1058" spans="1:13" ht="15" customHeight="1" x14ac:dyDescent="0.35">
      <c r="A1058" t="str">
        <f t="shared" si="16"/>
        <v>P652CV01C2421</v>
      </c>
      <c r="B1058" t="str">
        <f>IFERROR(VLOOKUP($A1058,'[5]Study Budget Mapping '!$O$2:$P$532,2,0),"TBA")</f>
        <v>TBA</v>
      </c>
      <c r="D1058" s="2" t="s">
        <v>231</v>
      </c>
      <c r="E1058" s="2" t="s">
        <v>19</v>
      </c>
      <c r="F1058" s="3">
        <v>860000</v>
      </c>
      <c r="G1058" s="3">
        <v>860000</v>
      </c>
      <c r="H1058" s="4"/>
      <c r="I1058" s="4"/>
      <c r="J1058" s="4"/>
      <c r="K1058" s="4"/>
      <c r="L1058" s="4"/>
      <c r="M1058" s="4"/>
    </row>
    <row r="1059" spans="1:13" ht="15" customHeight="1" x14ac:dyDescent="0.35">
      <c r="A1059" t="str">
        <f t="shared" si="16"/>
        <v>P652CV01C2421</v>
      </c>
      <c r="B1059" t="str">
        <f>IFERROR(VLOOKUP($A1059,'[5]Study Budget Mapping '!$O$2:$P$532,2,0),"TBA")</f>
        <v>TBA</v>
      </c>
      <c r="D1059" s="2" t="s">
        <v>231</v>
      </c>
      <c r="E1059" s="2" t="s">
        <v>20</v>
      </c>
      <c r="F1059" s="3">
        <v>670000</v>
      </c>
      <c r="G1059" s="3">
        <v>670000</v>
      </c>
      <c r="H1059" s="4"/>
      <c r="I1059" s="4"/>
      <c r="J1059" s="4"/>
      <c r="K1059" s="4"/>
      <c r="L1059" s="4"/>
      <c r="M1059" s="4"/>
    </row>
    <row r="1060" spans="1:13" ht="15" customHeight="1" x14ac:dyDescent="0.35">
      <c r="A1060" t="str">
        <f t="shared" si="16"/>
        <v>P652CV01C2421</v>
      </c>
      <c r="B1060" t="str">
        <f>IFERROR(VLOOKUP($A1060,'[5]Study Budget Mapping '!$O$2:$P$532,2,0),"TBA")</f>
        <v>TBA</v>
      </c>
      <c r="D1060" s="2" t="s">
        <v>231</v>
      </c>
      <c r="E1060" s="2" t="s">
        <v>15</v>
      </c>
      <c r="F1060" s="3">
        <v>5250000</v>
      </c>
      <c r="G1060" s="3">
        <v>5250000</v>
      </c>
      <c r="H1060" s="4"/>
      <c r="I1060" s="4"/>
      <c r="J1060" s="4"/>
      <c r="K1060" s="4"/>
      <c r="L1060" s="4"/>
      <c r="M1060" s="4"/>
    </row>
    <row r="1061" spans="1:13" ht="15" customHeight="1" x14ac:dyDescent="0.35">
      <c r="A1061" t="str">
        <f t="shared" si="16"/>
        <v>P652CV01C2421</v>
      </c>
      <c r="B1061" t="str">
        <f>IFERROR(VLOOKUP($A1061,'[5]Study Budget Mapping '!$O$2:$P$532,2,0),"TBA")</f>
        <v>TBA</v>
      </c>
      <c r="D1061" s="2" t="s">
        <v>231</v>
      </c>
      <c r="E1061" s="2" t="s">
        <v>16</v>
      </c>
      <c r="F1061" s="3">
        <v>910000</v>
      </c>
      <c r="G1061" s="3">
        <v>910000</v>
      </c>
      <c r="H1061" s="4"/>
      <c r="I1061" s="4"/>
      <c r="J1061" s="4"/>
      <c r="K1061" s="4"/>
      <c r="L1061" s="4"/>
      <c r="M1061" s="4"/>
    </row>
    <row r="1062" spans="1:13" ht="15" customHeight="1" x14ac:dyDescent="0.35">
      <c r="A1062" t="str">
        <f t="shared" si="16"/>
        <v>P652CV01C2421</v>
      </c>
      <c r="B1062" t="str">
        <f>IFERROR(VLOOKUP($A1062,'[5]Study Budget Mapping '!$O$2:$P$532,2,0),"TBA")</f>
        <v>TBA</v>
      </c>
      <c r="D1062" s="2" t="s">
        <v>231</v>
      </c>
      <c r="E1062" s="2" t="s">
        <v>17</v>
      </c>
      <c r="F1062" s="3">
        <v>300000</v>
      </c>
      <c r="G1062" s="3">
        <v>300000</v>
      </c>
      <c r="H1062" s="4"/>
      <c r="I1062" s="4"/>
      <c r="J1062" s="4"/>
      <c r="K1062" s="4"/>
      <c r="L1062" s="4"/>
      <c r="M1062" s="4"/>
    </row>
    <row r="1063" spans="1:13" ht="15" customHeight="1" x14ac:dyDescent="0.35">
      <c r="A1063" t="str">
        <f t="shared" si="16"/>
        <v>P652CV01C2421</v>
      </c>
      <c r="B1063" t="str">
        <f>IFERROR(VLOOKUP($A1063,'[5]Study Budget Mapping '!$O$2:$P$532,2,0),"TBA")</f>
        <v>TBA</v>
      </c>
      <c r="D1063" s="2" t="s">
        <v>231</v>
      </c>
      <c r="E1063" s="2" t="s">
        <v>23</v>
      </c>
      <c r="F1063" s="3">
        <v>50000</v>
      </c>
      <c r="G1063" s="3">
        <v>50000</v>
      </c>
      <c r="H1063" s="4"/>
      <c r="I1063" s="4"/>
      <c r="J1063" s="4"/>
      <c r="K1063" s="4"/>
      <c r="L1063" s="4"/>
      <c r="M1063" s="4"/>
    </row>
    <row r="1064" spans="1:13" ht="15" customHeight="1" x14ac:dyDescent="0.35">
      <c r="A1064" t="str">
        <f t="shared" si="16"/>
        <v>P652CV01C2421</v>
      </c>
      <c r="B1064" t="str">
        <f>IFERROR(VLOOKUP($A1064,'[5]Study Budget Mapping '!$O$2:$P$532,2,0),"TBA")</f>
        <v>TBA</v>
      </c>
      <c r="D1064" s="2" t="s">
        <v>231</v>
      </c>
      <c r="E1064" s="2" t="s">
        <v>24</v>
      </c>
      <c r="F1064" s="3">
        <v>610000</v>
      </c>
      <c r="G1064" s="3">
        <v>610000</v>
      </c>
      <c r="H1064" s="4"/>
      <c r="I1064" s="4"/>
      <c r="J1064" s="4"/>
      <c r="K1064" s="4"/>
      <c r="L1064" s="4"/>
      <c r="M1064" s="4"/>
    </row>
    <row r="1065" spans="1:13" ht="15" customHeight="1" x14ac:dyDescent="0.35">
      <c r="A1065" t="str">
        <f t="shared" si="16"/>
        <v>P652CV01C2421</v>
      </c>
      <c r="B1065" t="str">
        <f>IFERROR(VLOOKUP($A1065,'[5]Study Budget Mapping '!$O$2:$P$532,2,0),"TBA")</f>
        <v>TBA</v>
      </c>
      <c r="D1065" s="2" t="s">
        <v>231</v>
      </c>
      <c r="E1065" s="2" t="s">
        <v>32</v>
      </c>
      <c r="F1065" s="3">
        <v>310000</v>
      </c>
      <c r="G1065" s="3">
        <v>310000</v>
      </c>
      <c r="H1065" s="4"/>
      <c r="I1065" s="4"/>
      <c r="J1065" s="4"/>
      <c r="K1065" s="4"/>
      <c r="L1065" s="4"/>
      <c r="M1065" s="4"/>
    </row>
    <row r="1066" spans="1:13" ht="15" customHeight="1" x14ac:dyDescent="0.35">
      <c r="A1066" t="str">
        <f t="shared" si="16"/>
        <v>P652CV01C2431</v>
      </c>
      <c r="B1066" t="str">
        <f>IFERROR(VLOOKUP($A1066,'[5]Study Budget Mapping '!$O$2:$P$532,2,0),"TBA")</f>
        <v>TBA</v>
      </c>
      <c r="D1066" s="2" t="s">
        <v>232</v>
      </c>
      <c r="E1066" s="2" t="s">
        <v>13</v>
      </c>
      <c r="F1066" s="3">
        <v>497468</v>
      </c>
      <c r="G1066" s="3">
        <v>686171</v>
      </c>
      <c r="H1066" s="4"/>
      <c r="I1066" s="4"/>
      <c r="J1066" s="4"/>
      <c r="K1066" s="4"/>
      <c r="L1066" s="4"/>
      <c r="M1066" s="4"/>
    </row>
    <row r="1067" spans="1:13" ht="15" customHeight="1" x14ac:dyDescent="0.35">
      <c r="A1067" t="str">
        <f t="shared" si="16"/>
        <v>P652CV01C2431</v>
      </c>
      <c r="B1067" t="str">
        <f>IFERROR(VLOOKUP($A1067,'[5]Study Budget Mapping '!$O$2:$P$532,2,0),"TBA")</f>
        <v>TBA</v>
      </c>
      <c r="D1067" s="2" t="s">
        <v>232</v>
      </c>
      <c r="E1067" s="2" t="s">
        <v>14</v>
      </c>
      <c r="F1067" s="3">
        <v>428790</v>
      </c>
      <c r="G1067" s="3">
        <v>1002730</v>
      </c>
      <c r="H1067" s="4"/>
      <c r="I1067" s="4"/>
      <c r="J1067" s="4"/>
      <c r="K1067" s="4"/>
      <c r="L1067" s="4"/>
      <c r="M1067" s="4"/>
    </row>
    <row r="1068" spans="1:13" ht="15" customHeight="1" x14ac:dyDescent="0.35">
      <c r="A1068" t="str">
        <f t="shared" si="16"/>
        <v>P652CV01C2431</v>
      </c>
      <c r="B1068" t="str">
        <f>IFERROR(VLOOKUP($A1068,'[5]Study Budget Mapping '!$O$2:$P$532,2,0),"TBA")</f>
        <v>TBA</v>
      </c>
      <c r="D1068" s="2" t="s">
        <v>232</v>
      </c>
      <c r="E1068" s="2" t="s">
        <v>19</v>
      </c>
      <c r="F1068" s="3">
        <v>11724</v>
      </c>
      <c r="G1068" s="3">
        <v>63663</v>
      </c>
      <c r="H1068" s="4"/>
      <c r="I1068" s="4"/>
      <c r="J1068" s="4"/>
      <c r="K1068" s="4"/>
      <c r="L1068" s="4"/>
      <c r="M1068" s="4"/>
    </row>
    <row r="1069" spans="1:13" ht="15" customHeight="1" x14ac:dyDescent="0.35">
      <c r="A1069" t="str">
        <f t="shared" si="16"/>
        <v>P652CV01C2431</v>
      </c>
      <c r="B1069" t="str">
        <f>IFERROR(VLOOKUP($A1069,'[5]Study Budget Mapping '!$O$2:$P$532,2,0),"TBA")</f>
        <v>TBA</v>
      </c>
      <c r="D1069" s="2" t="s">
        <v>232</v>
      </c>
      <c r="E1069" s="2" t="s">
        <v>15</v>
      </c>
      <c r="F1069" s="3">
        <v>236639</v>
      </c>
      <c r="G1069" s="3">
        <v>854387.56</v>
      </c>
      <c r="H1069" s="4"/>
      <c r="I1069" s="4"/>
      <c r="J1069" s="4"/>
      <c r="K1069" s="4"/>
      <c r="L1069" s="4"/>
      <c r="M1069" s="4"/>
    </row>
    <row r="1070" spans="1:13" ht="15" customHeight="1" x14ac:dyDescent="0.35">
      <c r="A1070" t="str">
        <f t="shared" si="16"/>
        <v>P652CV01C2431</v>
      </c>
      <c r="B1070" t="str">
        <f>IFERROR(VLOOKUP($A1070,'[5]Study Budget Mapping '!$O$2:$P$532,2,0),"TBA")</f>
        <v>TBA</v>
      </c>
      <c r="D1070" s="2" t="s">
        <v>232</v>
      </c>
      <c r="E1070" s="2" t="s">
        <v>16</v>
      </c>
      <c r="F1070" s="3">
        <v>14844</v>
      </c>
      <c r="G1070" s="3">
        <v>0</v>
      </c>
      <c r="H1070" s="4"/>
      <c r="I1070" s="4"/>
      <c r="J1070" s="4"/>
      <c r="K1070" s="4"/>
      <c r="L1070" s="4"/>
      <c r="M1070" s="4"/>
    </row>
    <row r="1071" spans="1:13" ht="15" customHeight="1" x14ac:dyDescent="0.35">
      <c r="A1071" t="str">
        <f t="shared" si="16"/>
        <v>P652CV01C2431</v>
      </c>
      <c r="B1071" t="str">
        <f>IFERROR(VLOOKUP($A1071,'[5]Study Budget Mapping '!$O$2:$P$532,2,0),"TBA")</f>
        <v>TBA</v>
      </c>
      <c r="D1071" s="2" t="s">
        <v>232</v>
      </c>
      <c r="E1071" s="2" t="s">
        <v>23</v>
      </c>
      <c r="F1071" s="3">
        <v>304007</v>
      </c>
      <c r="G1071" s="3">
        <v>573233</v>
      </c>
      <c r="H1071" s="4"/>
      <c r="I1071" s="4"/>
      <c r="J1071" s="4"/>
      <c r="K1071" s="4"/>
      <c r="L1071" s="4"/>
      <c r="M1071" s="4"/>
    </row>
    <row r="1072" spans="1:13" ht="15" customHeight="1" x14ac:dyDescent="0.35">
      <c r="A1072" t="str">
        <f t="shared" si="16"/>
        <v>P652CV01C2531</v>
      </c>
      <c r="B1072" t="str">
        <f>IFERROR(VLOOKUP($A1072,'[5]Study Budget Mapping '!$O$2:$P$532,2,0),"TBA")</f>
        <v>TBA</v>
      </c>
      <c r="D1072" s="2" t="s">
        <v>233</v>
      </c>
      <c r="E1072" s="2" t="s">
        <v>13</v>
      </c>
      <c r="F1072" s="3">
        <v>5610000</v>
      </c>
      <c r="G1072" s="3">
        <v>5610000</v>
      </c>
      <c r="H1072" s="4"/>
      <c r="I1072" s="4"/>
      <c r="J1072" s="4"/>
      <c r="K1072" s="4"/>
      <c r="L1072" s="4"/>
      <c r="M1072" s="4"/>
    </row>
    <row r="1073" spans="1:13" ht="15" customHeight="1" x14ac:dyDescent="0.35">
      <c r="A1073" t="str">
        <f t="shared" si="16"/>
        <v>P652CV01C2531</v>
      </c>
      <c r="B1073" t="str">
        <f>IFERROR(VLOOKUP($A1073,'[5]Study Budget Mapping '!$O$2:$P$532,2,0),"TBA")</f>
        <v>TBA</v>
      </c>
      <c r="D1073" s="2" t="s">
        <v>233</v>
      </c>
      <c r="E1073" s="2" t="s">
        <v>14</v>
      </c>
      <c r="F1073" s="3">
        <v>3300000</v>
      </c>
      <c r="G1073" s="3">
        <v>3300000</v>
      </c>
      <c r="H1073" s="4"/>
      <c r="I1073" s="4"/>
      <c r="J1073" s="4"/>
      <c r="K1073" s="4"/>
      <c r="L1073" s="4"/>
      <c r="M1073" s="4"/>
    </row>
    <row r="1074" spans="1:13" ht="15" customHeight="1" x14ac:dyDescent="0.35">
      <c r="A1074" t="str">
        <f t="shared" si="16"/>
        <v>P652CV01C2531</v>
      </c>
      <c r="B1074" t="str">
        <f>IFERROR(VLOOKUP($A1074,'[5]Study Budget Mapping '!$O$2:$P$532,2,0),"TBA")</f>
        <v>TBA</v>
      </c>
      <c r="D1074" s="2" t="s">
        <v>233</v>
      </c>
      <c r="E1074" s="2" t="s">
        <v>19</v>
      </c>
      <c r="F1074" s="3">
        <v>460000</v>
      </c>
      <c r="G1074" s="3">
        <v>460000</v>
      </c>
      <c r="H1074" s="4"/>
      <c r="I1074" s="4"/>
      <c r="J1074" s="4"/>
      <c r="K1074" s="4"/>
      <c r="L1074" s="4"/>
      <c r="M1074" s="4"/>
    </row>
    <row r="1075" spans="1:13" ht="15" customHeight="1" x14ac:dyDescent="0.35">
      <c r="A1075" t="str">
        <f t="shared" si="16"/>
        <v>P652CV01C2531</v>
      </c>
      <c r="B1075" t="str">
        <f>IFERROR(VLOOKUP($A1075,'[5]Study Budget Mapping '!$O$2:$P$532,2,0),"TBA")</f>
        <v>TBA</v>
      </c>
      <c r="D1075" s="2" t="s">
        <v>233</v>
      </c>
      <c r="E1075" s="2" t="s">
        <v>15</v>
      </c>
      <c r="F1075" s="3">
        <v>19370000</v>
      </c>
      <c r="G1075" s="3">
        <v>19370000</v>
      </c>
      <c r="H1075" s="4"/>
      <c r="I1075" s="4"/>
      <c r="J1075" s="4"/>
      <c r="K1075" s="4"/>
      <c r="L1075" s="4"/>
      <c r="M1075" s="4"/>
    </row>
    <row r="1076" spans="1:13" ht="15" customHeight="1" x14ac:dyDescent="0.35">
      <c r="A1076" t="str">
        <f t="shared" si="16"/>
        <v>P652CV01C2531</v>
      </c>
      <c r="B1076" t="str">
        <f>IFERROR(VLOOKUP($A1076,'[5]Study Budget Mapping '!$O$2:$P$532,2,0),"TBA")</f>
        <v>TBA</v>
      </c>
      <c r="D1076" s="2" t="s">
        <v>233</v>
      </c>
      <c r="E1076" s="2" t="s">
        <v>16</v>
      </c>
      <c r="F1076" s="3">
        <v>9410000</v>
      </c>
      <c r="G1076" s="3">
        <v>9410000</v>
      </c>
      <c r="H1076" s="4"/>
      <c r="I1076" s="4"/>
      <c r="J1076" s="4"/>
      <c r="K1076" s="4"/>
      <c r="L1076" s="4"/>
      <c r="M1076" s="4"/>
    </row>
    <row r="1077" spans="1:13" ht="15" customHeight="1" x14ac:dyDescent="0.35">
      <c r="A1077" t="str">
        <f t="shared" si="16"/>
        <v>P652CV01C2531</v>
      </c>
      <c r="B1077" t="str">
        <f>IFERROR(VLOOKUP($A1077,'[5]Study Budget Mapping '!$O$2:$P$532,2,0),"TBA")</f>
        <v>TBA</v>
      </c>
      <c r="D1077" s="2" t="s">
        <v>233</v>
      </c>
      <c r="E1077" s="2" t="s">
        <v>17</v>
      </c>
      <c r="F1077" s="3">
        <v>510000</v>
      </c>
      <c r="G1077" s="3">
        <v>510000</v>
      </c>
      <c r="H1077" s="4"/>
      <c r="I1077" s="4"/>
      <c r="J1077" s="4"/>
      <c r="K1077" s="4"/>
      <c r="L1077" s="4"/>
      <c r="M1077" s="4"/>
    </row>
    <row r="1078" spans="1:13" ht="15" customHeight="1" x14ac:dyDescent="0.35">
      <c r="A1078" t="str">
        <f t="shared" si="16"/>
        <v>P652CV01C2531</v>
      </c>
      <c r="B1078" t="str">
        <f>IFERROR(VLOOKUP($A1078,'[5]Study Budget Mapping '!$O$2:$P$532,2,0),"TBA")</f>
        <v>TBA</v>
      </c>
      <c r="D1078" s="2" t="s">
        <v>233</v>
      </c>
      <c r="E1078" s="2" t="s">
        <v>23</v>
      </c>
      <c r="F1078" s="3">
        <v>480000</v>
      </c>
      <c r="G1078" s="3">
        <v>480000</v>
      </c>
      <c r="H1078" s="4"/>
      <c r="I1078" s="4"/>
      <c r="J1078" s="4"/>
      <c r="K1078" s="4"/>
      <c r="L1078" s="4"/>
      <c r="M1078" s="4"/>
    </row>
    <row r="1079" spans="1:13" ht="15" customHeight="1" x14ac:dyDescent="0.35">
      <c r="A1079" t="str">
        <f t="shared" si="16"/>
        <v>P652CV01C2531</v>
      </c>
      <c r="B1079" t="str">
        <f>IFERROR(VLOOKUP($A1079,'[5]Study Budget Mapping '!$O$2:$P$532,2,0),"TBA")</f>
        <v>TBA</v>
      </c>
      <c r="D1079" s="2" t="s">
        <v>233</v>
      </c>
      <c r="E1079" s="2" t="s">
        <v>24</v>
      </c>
      <c r="F1079" s="3">
        <v>5100000</v>
      </c>
      <c r="G1079" s="3">
        <v>5100000</v>
      </c>
      <c r="H1079" s="4"/>
      <c r="I1079" s="4"/>
      <c r="J1079" s="4"/>
      <c r="K1079" s="4"/>
      <c r="L1079" s="4"/>
      <c r="M1079" s="4"/>
    </row>
    <row r="1080" spans="1:13" ht="15" customHeight="1" x14ac:dyDescent="0.35">
      <c r="A1080" t="str">
        <f t="shared" si="16"/>
        <v>P652CV01C2531</v>
      </c>
      <c r="B1080" t="str">
        <f>IFERROR(VLOOKUP($A1080,'[5]Study Budget Mapping '!$O$2:$P$532,2,0),"TBA")</f>
        <v>TBA</v>
      </c>
      <c r="D1080" s="2" t="s">
        <v>233</v>
      </c>
      <c r="E1080" s="2" t="s">
        <v>32</v>
      </c>
      <c r="F1080" s="3">
        <v>65000</v>
      </c>
      <c r="G1080" s="3">
        <v>65000</v>
      </c>
      <c r="H1080" s="4"/>
      <c r="I1080" s="4"/>
      <c r="J1080" s="4"/>
      <c r="K1080" s="4"/>
      <c r="L1080" s="4"/>
      <c r="M1080" s="4"/>
    </row>
    <row r="1081" spans="1:13" ht="15" customHeight="1" x14ac:dyDescent="0.35">
      <c r="A1081" t="str">
        <f t="shared" si="16"/>
        <v>P652CV01C3731</v>
      </c>
      <c r="B1081" t="str">
        <f>IFERROR(VLOOKUP($A1081,'[5]Study Budget Mapping '!$O$2:$P$532,2,0),"TBA")</f>
        <v>TBA</v>
      </c>
      <c r="D1081" s="2" t="s">
        <v>234</v>
      </c>
      <c r="E1081" s="2" t="s">
        <v>13</v>
      </c>
      <c r="F1081" s="3">
        <v>1480000</v>
      </c>
      <c r="G1081" s="3">
        <v>3650000</v>
      </c>
      <c r="H1081" s="4"/>
      <c r="I1081" s="4"/>
      <c r="J1081" s="4"/>
      <c r="K1081" s="4"/>
      <c r="L1081" s="4"/>
      <c r="M1081" s="4"/>
    </row>
    <row r="1082" spans="1:13" ht="15" customHeight="1" x14ac:dyDescent="0.35">
      <c r="A1082" t="str">
        <f t="shared" si="16"/>
        <v>P652CV01C3731</v>
      </c>
      <c r="B1082" t="str">
        <f>IFERROR(VLOOKUP($A1082,'[5]Study Budget Mapping '!$O$2:$P$532,2,0),"TBA")</f>
        <v>TBA</v>
      </c>
      <c r="D1082" s="2" t="s">
        <v>234</v>
      </c>
      <c r="E1082" s="2" t="s">
        <v>14</v>
      </c>
      <c r="F1082" s="3">
        <v>880000</v>
      </c>
      <c r="G1082" s="3">
        <v>1060000</v>
      </c>
      <c r="H1082" s="4"/>
      <c r="I1082" s="4"/>
      <c r="J1082" s="4"/>
      <c r="K1082" s="4"/>
      <c r="L1082" s="4"/>
      <c r="M1082" s="4"/>
    </row>
    <row r="1083" spans="1:13" ht="15" customHeight="1" x14ac:dyDescent="0.35">
      <c r="A1083" t="str">
        <f t="shared" si="16"/>
        <v>P652CV01C3731</v>
      </c>
      <c r="B1083" t="str">
        <f>IFERROR(VLOOKUP($A1083,'[5]Study Budget Mapping '!$O$2:$P$532,2,0),"TBA")</f>
        <v>TBA</v>
      </c>
      <c r="D1083" s="2" t="s">
        <v>234</v>
      </c>
      <c r="E1083" s="2" t="s">
        <v>19</v>
      </c>
      <c r="F1083" s="3">
        <v>460000</v>
      </c>
      <c r="G1083" s="3">
        <v>460000</v>
      </c>
      <c r="H1083" s="4"/>
      <c r="I1083" s="4"/>
      <c r="J1083" s="4"/>
      <c r="K1083" s="4"/>
      <c r="L1083" s="4"/>
      <c r="M1083" s="4"/>
    </row>
    <row r="1084" spans="1:13" ht="15" customHeight="1" x14ac:dyDescent="0.35">
      <c r="A1084" t="str">
        <f t="shared" si="16"/>
        <v>P652CV01C3731</v>
      </c>
      <c r="B1084" t="str">
        <f>IFERROR(VLOOKUP($A1084,'[5]Study Budget Mapping '!$O$2:$P$532,2,0),"TBA")</f>
        <v>TBA</v>
      </c>
      <c r="D1084" s="2" t="s">
        <v>234</v>
      </c>
      <c r="E1084" s="2" t="s">
        <v>15</v>
      </c>
      <c r="F1084" s="3">
        <v>8710000</v>
      </c>
      <c r="G1084" s="3">
        <v>8060000</v>
      </c>
      <c r="H1084" s="4"/>
      <c r="I1084" s="4"/>
      <c r="J1084" s="4"/>
      <c r="K1084" s="4"/>
      <c r="L1084" s="4"/>
      <c r="M1084" s="4"/>
    </row>
    <row r="1085" spans="1:13" ht="15" customHeight="1" x14ac:dyDescent="0.35">
      <c r="A1085" t="str">
        <f t="shared" si="16"/>
        <v>P652CV01C3731</v>
      </c>
      <c r="B1085" t="str">
        <f>IFERROR(VLOOKUP($A1085,'[5]Study Budget Mapping '!$O$2:$P$532,2,0),"TBA")</f>
        <v>TBA</v>
      </c>
      <c r="D1085" s="2" t="s">
        <v>234</v>
      </c>
      <c r="E1085" s="2" t="s">
        <v>16</v>
      </c>
      <c r="F1085" s="3">
        <v>3470000</v>
      </c>
      <c r="G1085" s="3">
        <v>3310000</v>
      </c>
      <c r="H1085" s="4"/>
      <c r="I1085" s="4"/>
      <c r="J1085" s="4"/>
      <c r="K1085" s="4"/>
      <c r="L1085" s="4"/>
      <c r="M1085" s="4"/>
    </row>
    <row r="1086" spans="1:13" ht="15" customHeight="1" x14ac:dyDescent="0.35">
      <c r="A1086" t="str">
        <f t="shared" si="16"/>
        <v>P652CV01C3731</v>
      </c>
      <c r="B1086" t="str">
        <f>IFERROR(VLOOKUP($A1086,'[5]Study Budget Mapping '!$O$2:$P$532,2,0),"TBA")</f>
        <v>TBA</v>
      </c>
      <c r="D1086" s="2" t="s">
        <v>234</v>
      </c>
      <c r="E1086" s="2" t="s">
        <v>17</v>
      </c>
      <c r="F1086" s="3">
        <v>320000</v>
      </c>
      <c r="G1086" s="3">
        <v>340000</v>
      </c>
      <c r="H1086" s="4"/>
      <c r="I1086" s="4"/>
      <c r="J1086" s="4"/>
      <c r="K1086" s="4"/>
      <c r="L1086" s="4"/>
      <c r="M1086" s="4"/>
    </row>
    <row r="1087" spans="1:13" ht="15" customHeight="1" x14ac:dyDescent="0.35">
      <c r="A1087" t="str">
        <f t="shared" si="16"/>
        <v>P652CV01C3731</v>
      </c>
      <c r="B1087" t="str">
        <f>IFERROR(VLOOKUP($A1087,'[5]Study Budget Mapping '!$O$2:$P$532,2,0),"TBA")</f>
        <v>TBA</v>
      </c>
      <c r="D1087" s="2" t="s">
        <v>234</v>
      </c>
      <c r="E1087" s="2" t="s">
        <v>24</v>
      </c>
      <c r="F1087" s="3">
        <v>780000</v>
      </c>
      <c r="G1087" s="3">
        <v>830000</v>
      </c>
      <c r="H1087" s="4"/>
      <c r="I1087" s="4"/>
      <c r="J1087" s="4"/>
      <c r="K1087" s="4"/>
      <c r="L1087" s="4"/>
      <c r="M1087" s="4"/>
    </row>
    <row r="1088" spans="1:13" ht="15" customHeight="1" x14ac:dyDescent="0.35">
      <c r="A1088" t="str">
        <f t="shared" si="16"/>
        <v>P652CV01C3732</v>
      </c>
      <c r="B1088" t="str">
        <f>IFERROR(VLOOKUP($A1088,'[5]Study Budget Mapping '!$O$2:$P$532,2,0),"TBA")</f>
        <v>TBA</v>
      </c>
      <c r="D1088" s="2" t="s">
        <v>235</v>
      </c>
      <c r="E1088" s="2" t="s">
        <v>13</v>
      </c>
      <c r="F1088" s="3">
        <v>1470000</v>
      </c>
      <c r="G1088" s="3">
        <v>1110000</v>
      </c>
      <c r="H1088" s="4"/>
      <c r="I1088" s="4"/>
      <c r="J1088" s="4"/>
      <c r="K1088" s="4"/>
      <c r="L1088" s="4"/>
      <c r="M1088" s="4"/>
    </row>
    <row r="1089" spans="1:13" ht="15" customHeight="1" x14ac:dyDescent="0.35">
      <c r="A1089" t="str">
        <f t="shared" si="16"/>
        <v>P652CV01C3732</v>
      </c>
      <c r="B1089" t="str">
        <f>IFERROR(VLOOKUP($A1089,'[5]Study Budget Mapping '!$O$2:$P$532,2,0),"TBA")</f>
        <v>TBA</v>
      </c>
      <c r="D1089" s="2" t="s">
        <v>235</v>
      </c>
      <c r="E1089" s="2" t="s">
        <v>14</v>
      </c>
      <c r="F1089" s="3">
        <v>710000</v>
      </c>
      <c r="G1089" s="3">
        <v>370000</v>
      </c>
      <c r="H1089" s="4"/>
      <c r="I1089" s="4"/>
      <c r="J1089" s="4"/>
      <c r="K1089" s="4"/>
      <c r="L1089" s="4"/>
      <c r="M1089" s="4"/>
    </row>
    <row r="1090" spans="1:13" ht="15" customHeight="1" x14ac:dyDescent="0.35">
      <c r="A1090" t="str">
        <f t="shared" si="16"/>
        <v>P652CV01C3732</v>
      </c>
      <c r="B1090" t="str">
        <f>IFERROR(VLOOKUP($A1090,'[5]Study Budget Mapping '!$O$2:$P$532,2,0),"TBA")</f>
        <v>TBA</v>
      </c>
      <c r="D1090" s="2" t="s">
        <v>235</v>
      </c>
      <c r="E1090" s="2" t="s">
        <v>20</v>
      </c>
      <c r="F1090" s="3">
        <v>360000</v>
      </c>
      <c r="G1090" s="3">
        <v>340000</v>
      </c>
      <c r="H1090" s="4"/>
      <c r="I1090" s="4"/>
      <c r="J1090" s="4"/>
      <c r="K1090" s="4"/>
      <c r="L1090" s="4"/>
      <c r="M1090" s="4"/>
    </row>
    <row r="1091" spans="1:13" ht="15" customHeight="1" x14ac:dyDescent="0.35">
      <c r="A1091" t="str">
        <f t="shared" ref="A1091:A1154" si="17">TRIM(_xlfn.TEXTBEFORE(D1091,"-",1))</f>
        <v>P652CV01C3732</v>
      </c>
      <c r="B1091" t="str">
        <f>IFERROR(VLOOKUP($A1091,'[5]Study Budget Mapping '!$O$2:$P$532,2,0),"TBA")</f>
        <v>TBA</v>
      </c>
      <c r="D1091" s="2" t="s">
        <v>235</v>
      </c>
      <c r="E1091" s="2" t="s">
        <v>15</v>
      </c>
      <c r="F1091" s="3">
        <v>6340000</v>
      </c>
      <c r="G1091" s="3">
        <v>3920000</v>
      </c>
      <c r="H1091" s="4"/>
      <c r="I1091" s="4"/>
      <c r="J1091" s="4"/>
      <c r="K1091" s="4"/>
      <c r="L1091" s="4"/>
      <c r="M1091" s="4"/>
    </row>
    <row r="1092" spans="1:13" ht="15" customHeight="1" x14ac:dyDescent="0.35">
      <c r="A1092" t="str">
        <f t="shared" si="17"/>
        <v>P652CV01C3732</v>
      </c>
      <c r="B1092" t="str">
        <f>IFERROR(VLOOKUP($A1092,'[5]Study Budget Mapping '!$O$2:$P$532,2,0),"TBA")</f>
        <v>TBA</v>
      </c>
      <c r="D1092" s="2" t="s">
        <v>235</v>
      </c>
      <c r="E1092" s="2" t="s">
        <v>16</v>
      </c>
      <c r="F1092" s="3">
        <v>2820000</v>
      </c>
      <c r="G1092" s="3">
        <v>1280000</v>
      </c>
      <c r="H1092" s="4"/>
      <c r="I1092" s="4"/>
      <c r="J1092" s="4"/>
      <c r="K1092" s="4"/>
      <c r="L1092" s="4"/>
      <c r="M1092" s="4"/>
    </row>
    <row r="1093" spans="1:13" ht="15" customHeight="1" x14ac:dyDescent="0.35">
      <c r="A1093" t="str">
        <f t="shared" si="17"/>
        <v>P652CV01C3732</v>
      </c>
      <c r="B1093" t="str">
        <f>IFERROR(VLOOKUP($A1093,'[5]Study Budget Mapping '!$O$2:$P$532,2,0),"TBA")</f>
        <v>TBA</v>
      </c>
      <c r="D1093" s="2" t="s">
        <v>235</v>
      </c>
      <c r="E1093" s="2" t="s">
        <v>17</v>
      </c>
      <c r="F1093" s="3">
        <v>390000</v>
      </c>
      <c r="G1093" s="3">
        <v>0</v>
      </c>
      <c r="H1093" s="4"/>
      <c r="I1093" s="4"/>
      <c r="J1093" s="4"/>
      <c r="K1093" s="4"/>
      <c r="L1093" s="4"/>
      <c r="M1093" s="4"/>
    </row>
    <row r="1094" spans="1:13" ht="15" customHeight="1" x14ac:dyDescent="0.35">
      <c r="A1094" t="str">
        <f t="shared" si="17"/>
        <v>P652CV01C3732</v>
      </c>
      <c r="B1094" t="str">
        <f>IFERROR(VLOOKUP($A1094,'[5]Study Budget Mapping '!$O$2:$P$532,2,0),"TBA")</f>
        <v>TBA</v>
      </c>
      <c r="D1094" s="2" t="s">
        <v>235</v>
      </c>
      <c r="E1094" s="2" t="s">
        <v>23</v>
      </c>
      <c r="F1094" s="3">
        <v>620000</v>
      </c>
      <c r="G1094" s="3">
        <v>490000</v>
      </c>
      <c r="H1094" s="4"/>
      <c r="I1094" s="4"/>
      <c r="J1094" s="4"/>
      <c r="K1094" s="4"/>
      <c r="L1094" s="4"/>
      <c r="M1094" s="4"/>
    </row>
    <row r="1095" spans="1:13" ht="15" customHeight="1" x14ac:dyDescent="0.35">
      <c r="A1095" t="str">
        <f t="shared" si="17"/>
        <v>P652CV01C3732</v>
      </c>
      <c r="B1095" t="str">
        <f>IFERROR(VLOOKUP($A1095,'[5]Study Budget Mapping '!$O$2:$P$532,2,0),"TBA")</f>
        <v>TBA</v>
      </c>
      <c r="D1095" s="2" t="s">
        <v>235</v>
      </c>
      <c r="E1095" s="2" t="s">
        <v>24</v>
      </c>
      <c r="F1095" s="3">
        <v>620000</v>
      </c>
      <c r="G1095" s="3">
        <v>200000</v>
      </c>
      <c r="H1095" s="4"/>
      <c r="I1095" s="4"/>
      <c r="J1095" s="4"/>
      <c r="K1095" s="4"/>
      <c r="L1095" s="4"/>
      <c r="M1095" s="4"/>
    </row>
    <row r="1096" spans="1:13" ht="15" customHeight="1" x14ac:dyDescent="0.35">
      <c r="A1096" t="str">
        <f t="shared" si="17"/>
        <v>P652CV01C3931</v>
      </c>
      <c r="B1096" t="str">
        <f>IFERROR(VLOOKUP($A1096,'[5]Study Budget Mapping '!$O$2:$P$532,2,0),"TBA")</f>
        <v>TBA</v>
      </c>
      <c r="D1096" s="2" t="s">
        <v>236</v>
      </c>
      <c r="E1096" s="2" t="s">
        <v>13</v>
      </c>
      <c r="F1096" s="3">
        <v>3280000</v>
      </c>
      <c r="G1096" s="3">
        <v>5380000</v>
      </c>
      <c r="H1096" s="4"/>
      <c r="I1096" s="4"/>
      <c r="J1096" s="4"/>
      <c r="K1096" s="4"/>
      <c r="L1096" s="4"/>
      <c r="M1096" s="4"/>
    </row>
    <row r="1097" spans="1:13" ht="15" customHeight="1" x14ac:dyDescent="0.35">
      <c r="A1097" t="str">
        <f t="shared" si="17"/>
        <v>P652CV01C3931</v>
      </c>
      <c r="B1097" t="str">
        <f>IFERROR(VLOOKUP($A1097,'[5]Study Budget Mapping '!$O$2:$P$532,2,0),"TBA")</f>
        <v>TBA</v>
      </c>
      <c r="D1097" s="2" t="s">
        <v>236</v>
      </c>
      <c r="E1097" s="2" t="s">
        <v>14</v>
      </c>
      <c r="F1097" s="3">
        <v>640000</v>
      </c>
      <c r="G1097" s="3">
        <v>1750000</v>
      </c>
      <c r="H1097" s="4"/>
      <c r="I1097" s="4"/>
      <c r="J1097" s="4"/>
      <c r="K1097" s="4"/>
      <c r="L1097" s="4"/>
      <c r="M1097" s="4"/>
    </row>
    <row r="1098" spans="1:13" ht="15" customHeight="1" x14ac:dyDescent="0.35">
      <c r="A1098" t="str">
        <f t="shared" si="17"/>
        <v>P652CV01C3931</v>
      </c>
      <c r="B1098" t="str">
        <f>IFERROR(VLOOKUP($A1098,'[5]Study Budget Mapping '!$O$2:$P$532,2,0),"TBA")</f>
        <v>TBA</v>
      </c>
      <c r="D1098" s="2" t="s">
        <v>236</v>
      </c>
      <c r="E1098" s="2" t="s">
        <v>19</v>
      </c>
      <c r="F1098" s="3">
        <v>220000</v>
      </c>
      <c r="G1098" s="3">
        <v>450000</v>
      </c>
      <c r="H1098" s="4"/>
      <c r="I1098" s="4"/>
      <c r="J1098" s="4"/>
      <c r="K1098" s="4"/>
      <c r="L1098" s="4"/>
      <c r="M1098" s="4"/>
    </row>
    <row r="1099" spans="1:13" ht="15" customHeight="1" x14ac:dyDescent="0.35">
      <c r="A1099" t="str">
        <f t="shared" si="17"/>
        <v>P652CV01C3931</v>
      </c>
      <c r="B1099" t="str">
        <f>IFERROR(VLOOKUP($A1099,'[5]Study Budget Mapping '!$O$2:$P$532,2,0),"TBA")</f>
        <v>TBA</v>
      </c>
      <c r="D1099" s="2" t="s">
        <v>236</v>
      </c>
      <c r="E1099" s="2" t="s">
        <v>20</v>
      </c>
      <c r="F1099" s="3">
        <v>0</v>
      </c>
      <c r="G1099" s="3">
        <v>160000</v>
      </c>
      <c r="H1099" s="4"/>
      <c r="I1099" s="4"/>
      <c r="J1099" s="4"/>
      <c r="K1099" s="4"/>
      <c r="L1099" s="4"/>
      <c r="M1099" s="4"/>
    </row>
    <row r="1100" spans="1:13" ht="15" customHeight="1" x14ac:dyDescent="0.35">
      <c r="A1100" t="str">
        <f t="shared" si="17"/>
        <v>P652CV01C3931</v>
      </c>
      <c r="B1100" t="str">
        <f>IFERROR(VLOOKUP($A1100,'[5]Study Budget Mapping '!$O$2:$P$532,2,0),"TBA")</f>
        <v>TBA</v>
      </c>
      <c r="D1100" s="2" t="s">
        <v>236</v>
      </c>
      <c r="E1100" s="2" t="s">
        <v>15</v>
      </c>
      <c r="F1100" s="3">
        <v>9700000</v>
      </c>
      <c r="G1100" s="3">
        <v>10540000</v>
      </c>
      <c r="H1100" s="4"/>
      <c r="I1100" s="4"/>
      <c r="J1100" s="4"/>
      <c r="K1100" s="4"/>
      <c r="L1100" s="4"/>
      <c r="M1100" s="4"/>
    </row>
    <row r="1101" spans="1:13" ht="15" customHeight="1" x14ac:dyDescent="0.35">
      <c r="A1101" t="str">
        <f t="shared" si="17"/>
        <v>P652CV01C3931</v>
      </c>
      <c r="B1101" t="str">
        <f>IFERROR(VLOOKUP($A1101,'[5]Study Budget Mapping '!$O$2:$P$532,2,0),"TBA")</f>
        <v>TBA</v>
      </c>
      <c r="D1101" s="2" t="s">
        <v>236</v>
      </c>
      <c r="E1101" s="2" t="s">
        <v>16</v>
      </c>
      <c r="F1101" s="3">
        <v>1440000</v>
      </c>
      <c r="G1101" s="3">
        <v>9350000</v>
      </c>
      <c r="H1101" s="4"/>
      <c r="I1101" s="4"/>
      <c r="J1101" s="4"/>
      <c r="K1101" s="4"/>
      <c r="L1101" s="4"/>
      <c r="M1101" s="4"/>
    </row>
    <row r="1102" spans="1:13" ht="15" customHeight="1" x14ac:dyDescent="0.35">
      <c r="A1102" t="str">
        <f t="shared" si="17"/>
        <v>P652CV01C3931</v>
      </c>
      <c r="B1102" t="str">
        <f>IFERROR(VLOOKUP($A1102,'[5]Study Budget Mapping '!$O$2:$P$532,2,0),"TBA")</f>
        <v>TBA</v>
      </c>
      <c r="D1102" s="2" t="s">
        <v>236</v>
      </c>
      <c r="E1102" s="2" t="s">
        <v>17</v>
      </c>
      <c r="F1102" s="3">
        <v>300000</v>
      </c>
      <c r="G1102" s="3">
        <v>630000</v>
      </c>
      <c r="H1102" s="4"/>
      <c r="I1102" s="4"/>
      <c r="J1102" s="4"/>
      <c r="K1102" s="4"/>
      <c r="L1102" s="4"/>
      <c r="M1102" s="4"/>
    </row>
    <row r="1103" spans="1:13" ht="15" customHeight="1" x14ac:dyDescent="0.35">
      <c r="A1103" t="str">
        <f t="shared" si="17"/>
        <v>P652CV01C3931</v>
      </c>
      <c r="B1103" t="str">
        <f>IFERROR(VLOOKUP($A1103,'[5]Study Budget Mapping '!$O$2:$P$532,2,0),"TBA")</f>
        <v>TBA</v>
      </c>
      <c r="D1103" s="2" t="s">
        <v>236</v>
      </c>
      <c r="E1103" s="2" t="s">
        <v>24</v>
      </c>
      <c r="F1103" s="3">
        <v>930000</v>
      </c>
      <c r="G1103" s="3">
        <v>2060000</v>
      </c>
      <c r="H1103" s="4"/>
      <c r="I1103" s="4"/>
      <c r="J1103" s="4"/>
      <c r="K1103" s="4"/>
      <c r="L1103" s="4"/>
      <c r="M1103" s="4"/>
    </row>
    <row r="1104" spans="1:13" ht="15" customHeight="1" x14ac:dyDescent="0.35">
      <c r="A1104" t="str">
        <f t="shared" si="17"/>
        <v>P652CV01C2211</v>
      </c>
      <c r="B1104" t="str">
        <f>IFERROR(VLOOKUP($A1104,'[5]Study Budget Mapping '!$O$2:$P$532,2,0),"TBA")</f>
        <v>TBA</v>
      </c>
      <c r="D1104" s="2" t="s">
        <v>237</v>
      </c>
      <c r="E1104" s="2" t="s">
        <v>13</v>
      </c>
      <c r="F1104" s="3">
        <v>1025424</v>
      </c>
      <c r="G1104" s="3">
        <v>0</v>
      </c>
      <c r="H1104" s="4"/>
      <c r="I1104" s="4"/>
      <c r="J1104" s="4"/>
      <c r="K1104" s="4"/>
      <c r="L1104" s="4"/>
      <c r="M1104" s="4"/>
    </row>
    <row r="1105" spans="1:13" ht="15" customHeight="1" x14ac:dyDescent="0.35">
      <c r="A1105" t="str">
        <f t="shared" si="17"/>
        <v>P652CV01C2211</v>
      </c>
      <c r="B1105" t="str">
        <f>IFERROR(VLOOKUP($A1105,'[5]Study Budget Mapping '!$O$2:$P$532,2,0),"TBA")</f>
        <v>TBA</v>
      </c>
      <c r="D1105" s="2" t="s">
        <v>237</v>
      </c>
      <c r="E1105" s="2" t="s">
        <v>14</v>
      </c>
      <c r="F1105" s="3">
        <v>371888</v>
      </c>
      <c r="G1105" s="3">
        <v>0</v>
      </c>
      <c r="H1105" s="4"/>
      <c r="I1105" s="4"/>
      <c r="J1105" s="4"/>
      <c r="K1105" s="4"/>
      <c r="L1105" s="4"/>
      <c r="M1105" s="4"/>
    </row>
    <row r="1106" spans="1:13" ht="15" customHeight="1" x14ac:dyDescent="0.35">
      <c r="A1106" t="str">
        <f t="shared" si="17"/>
        <v>P652CV01C2211</v>
      </c>
      <c r="B1106" t="str">
        <f>IFERROR(VLOOKUP($A1106,'[5]Study Budget Mapping '!$O$2:$P$532,2,0),"TBA")</f>
        <v>TBA</v>
      </c>
      <c r="D1106" s="2" t="s">
        <v>237</v>
      </c>
      <c r="E1106" s="2" t="s">
        <v>15</v>
      </c>
      <c r="F1106" s="3">
        <v>0</v>
      </c>
      <c r="G1106" s="3">
        <v>2735844.54</v>
      </c>
      <c r="H1106" s="4"/>
      <c r="I1106" s="4"/>
      <c r="J1106" s="4"/>
      <c r="K1106" s="4"/>
      <c r="L1106" s="4"/>
      <c r="M1106" s="4"/>
    </row>
    <row r="1107" spans="1:13" ht="15" customHeight="1" x14ac:dyDescent="0.35">
      <c r="A1107" t="str">
        <f t="shared" si="17"/>
        <v>P652CV01C2211</v>
      </c>
      <c r="B1107" t="str">
        <f>IFERROR(VLOOKUP($A1107,'[5]Study Budget Mapping '!$O$2:$P$532,2,0),"TBA")</f>
        <v>TBA</v>
      </c>
      <c r="D1107" s="2" t="s">
        <v>237</v>
      </c>
      <c r="E1107" s="2" t="s">
        <v>17</v>
      </c>
      <c r="F1107" s="3">
        <v>91928</v>
      </c>
      <c r="G1107" s="3">
        <v>0</v>
      </c>
      <c r="H1107" s="4"/>
      <c r="I1107" s="4"/>
      <c r="J1107" s="4"/>
      <c r="K1107" s="4"/>
      <c r="L1107" s="4"/>
      <c r="M1107" s="4"/>
    </row>
    <row r="1108" spans="1:13" ht="15" customHeight="1" x14ac:dyDescent="0.35">
      <c r="A1108" t="str">
        <f t="shared" si="17"/>
        <v>P652CV01C2211</v>
      </c>
      <c r="B1108" t="str">
        <f>IFERROR(VLOOKUP($A1108,'[5]Study Budget Mapping '!$O$2:$P$532,2,0),"TBA")</f>
        <v>TBA</v>
      </c>
      <c r="D1108" s="2" t="s">
        <v>237</v>
      </c>
      <c r="E1108" s="2" t="s">
        <v>28</v>
      </c>
      <c r="F1108" s="3">
        <v>344463</v>
      </c>
      <c r="G1108" s="3">
        <v>0</v>
      </c>
      <c r="H1108" s="4"/>
      <c r="I1108" s="4"/>
      <c r="J1108" s="4"/>
      <c r="K1108" s="4"/>
      <c r="L1108" s="4"/>
      <c r="M1108" s="4"/>
    </row>
    <row r="1109" spans="1:13" ht="15" customHeight="1" x14ac:dyDescent="0.35">
      <c r="A1109" t="str">
        <f t="shared" si="17"/>
        <v>P652MD00C1011</v>
      </c>
      <c r="B1109" t="str">
        <f>IFERROR(VLOOKUP($A1109,'[5]Study Budget Mapping '!$O$2:$P$532,2,0),"TBA")</f>
        <v>TBA</v>
      </c>
      <c r="D1109" s="2" t="s">
        <v>238</v>
      </c>
      <c r="E1109" s="2" t="s">
        <v>13</v>
      </c>
      <c r="F1109" s="3">
        <v>9.9999999999999995E-7</v>
      </c>
      <c r="G1109" s="3">
        <v>0</v>
      </c>
      <c r="H1109" s="4"/>
      <c r="I1109" s="4"/>
      <c r="J1109" s="4"/>
      <c r="K1109" s="4"/>
      <c r="L1109" s="4"/>
      <c r="M1109" s="4"/>
    </row>
    <row r="1110" spans="1:13" ht="15" customHeight="1" x14ac:dyDescent="0.35">
      <c r="A1110" t="str">
        <f t="shared" si="17"/>
        <v>P652MD00C1011</v>
      </c>
      <c r="B1110" t="str">
        <f>IFERROR(VLOOKUP($A1110,'[5]Study Budget Mapping '!$O$2:$P$532,2,0),"TBA")</f>
        <v>TBA</v>
      </c>
      <c r="D1110" s="2" t="s">
        <v>238</v>
      </c>
      <c r="E1110" s="2" t="s">
        <v>14</v>
      </c>
      <c r="F1110" s="3">
        <v>9.9999999999999995E-7</v>
      </c>
      <c r="G1110" s="3">
        <v>0</v>
      </c>
      <c r="H1110" s="4"/>
      <c r="I1110" s="4"/>
      <c r="J1110" s="4"/>
      <c r="K1110" s="4"/>
      <c r="L1110" s="4"/>
      <c r="M1110" s="4"/>
    </row>
    <row r="1111" spans="1:13" ht="15" customHeight="1" x14ac:dyDescent="0.35">
      <c r="A1111" t="str">
        <f t="shared" si="17"/>
        <v>P652MD00C1011</v>
      </c>
      <c r="B1111" t="str">
        <f>IFERROR(VLOOKUP($A1111,'[5]Study Budget Mapping '!$O$2:$P$532,2,0),"TBA")</f>
        <v>TBA</v>
      </c>
      <c r="D1111" s="2" t="s">
        <v>238</v>
      </c>
      <c r="E1111" s="2" t="s">
        <v>19</v>
      </c>
      <c r="F1111" s="3">
        <v>9.9999999999999995E-7</v>
      </c>
      <c r="G1111" s="3">
        <v>0</v>
      </c>
      <c r="H1111" s="4"/>
      <c r="I1111" s="4"/>
      <c r="J1111" s="4"/>
      <c r="K1111" s="4"/>
      <c r="L1111" s="4"/>
      <c r="M1111" s="4"/>
    </row>
    <row r="1112" spans="1:13" ht="15" customHeight="1" x14ac:dyDescent="0.35">
      <c r="A1112" t="str">
        <f t="shared" si="17"/>
        <v>P652MD00C1011</v>
      </c>
      <c r="B1112" t="str">
        <f>IFERROR(VLOOKUP($A1112,'[5]Study Budget Mapping '!$O$2:$P$532,2,0),"TBA")</f>
        <v>TBA</v>
      </c>
      <c r="D1112" s="2" t="s">
        <v>238</v>
      </c>
      <c r="E1112" s="2" t="s">
        <v>20</v>
      </c>
      <c r="F1112" s="3">
        <v>9.9999999999999995E-7</v>
      </c>
      <c r="G1112" s="3">
        <v>0</v>
      </c>
      <c r="H1112" s="4"/>
      <c r="I1112" s="4"/>
      <c r="J1112" s="4"/>
      <c r="K1112" s="4"/>
      <c r="L1112" s="4"/>
      <c r="M1112" s="4"/>
    </row>
    <row r="1113" spans="1:13" ht="15" customHeight="1" x14ac:dyDescent="0.35">
      <c r="A1113" t="str">
        <f t="shared" si="17"/>
        <v>P652MD00C1011</v>
      </c>
      <c r="B1113" t="str">
        <f>IFERROR(VLOOKUP($A1113,'[5]Study Budget Mapping '!$O$2:$P$532,2,0),"TBA")</f>
        <v>TBA</v>
      </c>
      <c r="D1113" s="2" t="s">
        <v>238</v>
      </c>
      <c r="E1113" s="2" t="s">
        <v>31</v>
      </c>
      <c r="F1113" s="3">
        <v>9.9999999999999995E-7</v>
      </c>
      <c r="G1113" s="3">
        <v>0</v>
      </c>
      <c r="H1113" s="4"/>
      <c r="I1113" s="4"/>
      <c r="J1113" s="4"/>
      <c r="K1113" s="4"/>
      <c r="L1113" s="4"/>
      <c r="M1113" s="4"/>
    </row>
    <row r="1114" spans="1:13" ht="15" customHeight="1" x14ac:dyDescent="0.35">
      <c r="A1114" t="str">
        <f t="shared" si="17"/>
        <v>P652MD00C1011</v>
      </c>
      <c r="B1114" t="str">
        <f>IFERROR(VLOOKUP($A1114,'[5]Study Budget Mapping '!$O$2:$P$532,2,0),"TBA")</f>
        <v>TBA</v>
      </c>
      <c r="D1114" s="2" t="s">
        <v>238</v>
      </c>
      <c r="E1114" s="2" t="s">
        <v>15</v>
      </c>
      <c r="F1114" s="3">
        <v>9.9999999999999995E-7</v>
      </c>
      <c r="G1114" s="3">
        <v>4810220.6899999985</v>
      </c>
      <c r="H1114" s="4"/>
      <c r="I1114" s="4"/>
      <c r="J1114" s="4"/>
      <c r="K1114" s="4"/>
      <c r="L1114" s="4"/>
      <c r="M1114" s="4"/>
    </row>
    <row r="1115" spans="1:13" ht="15" customHeight="1" x14ac:dyDescent="0.35">
      <c r="A1115" t="str">
        <f t="shared" si="17"/>
        <v>P652MD00C1011</v>
      </c>
      <c r="B1115" t="str">
        <f>IFERROR(VLOOKUP($A1115,'[5]Study Budget Mapping '!$O$2:$P$532,2,0),"TBA")</f>
        <v>TBA</v>
      </c>
      <c r="D1115" s="2" t="s">
        <v>238</v>
      </c>
      <c r="E1115" s="2" t="s">
        <v>22</v>
      </c>
      <c r="F1115" s="3">
        <v>4282395</v>
      </c>
      <c r="G1115" s="3">
        <v>0</v>
      </c>
      <c r="H1115" s="4"/>
      <c r="I1115" s="4"/>
      <c r="J1115" s="4"/>
      <c r="K1115" s="4"/>
      <c r="L1115" s="4"/>
      <c r="M1115" s="4"/>
    </row>
    <row r="1116" spans="1:13" ht="15" customHeight="1" x14ac:dyDescent="0.35">
      <c r="A1116" t="str">
        <f t="shared" si="17"/>
        <v>P652MD00C1011</v>
      </c>
      <c r="B1116" t="str">
        <f>IFERROR(VLOOKUP($A1116,'[5]Study Budget Mapping '!$O$2:$P$532,2,0),"TBA")</f>
        <v>TBA</v>
      </c>
      <c r="D1116" s="2" t="s">
        <v>238</v>
      </c>
      <c r="E1116" s="2" t="s">
        <v>16</v>
      </c>
      <c r="F1116" s="3">
        <v>9.9999999999999995E-7</v>
      </c>
      <c r="G1116" s="3">
        <v>0</v>
      </c>
      <c r="H1116" s="4"/>
      <c r="I1116" s="4"/>
      <c r="J1116" s="4"/>
      <c r="K1116" s="4"/>
      <c r="L1116" s="4"/>
      <c r="M1116" s="4"/>
    </row>
    <row r="1117" spans="1:13" ht="15" customHeight="1" x14ac:dyDescent="0.35">
      <c r="A1117" t="str">
        <f t="shared" si="17"/>
        <v>P652MD00C1011</v>
      </c>
      <c r="B1117" t="str">
        <f>IFERROR(VLOOKUP($A1117,'[5]Study Budget Mapping '!$O$2:$P$532,2,0),"TBA")</f>
        <v>TBA</v>
      </c>
      <c r="D1117" s="2" t="s">
        <v>238</v>
      </c>
      <c r="E1117" s="2" t="s">
        <v>17</v>
      </c>
      <c r="F1117" s="3">
        <v>9.9999999999999995E-7</v>
      </c>
      <c r="G1117" s="3">
        <v>0</v>
      </c>
      <c r="H1117" s="4"/>
      <c r="I1117" s="4"/>
      <c r="J1117" s="4"/>
      <c r="K1117" s="4"/>
      <c r="L1117" s="4"/>
      <c r="M1117" s="4"/>
    </row>
    <row r="1118" spans="1:13" ht="15" customHeight="1" x14ac:dyDescent="0.35">
      <c r="A1118" t="str">
        <f t="shared" si="17"/>
        <v>P652MD00C1011</v>
      </c>
      <c r="B1118" t="str">
        <f>IFERROR(VLOOKUP($A1118,'[5]Study Budget Mapping '!$O$2:$P$532,2,0),"TBA")</f>
        <v>TBA</v>
      </c>
      <c r="D1118" s="2" t="s">
        <v>238</v>
      </c>
      <c r="E1118" s="2" t="s">
        <v>28</v>
      </c>
      <c r="F1118" s="3">
        <v>9.9999999999999995E-7</v>
      </c>
      <c r="G1118" s="3">
        <v>0</v>
      </c>
      <c r="H1118" s="4"/>
      <c r="I1118" s="4"/>
      <c r="J1118" s="4"/>
      <c r="K1118" s="4"/>
      <c r="L1118" s="4"/>
      <c r="M1118" s="4"/>
    </row>
    <row r="1119" spans="1:13" ht="15" customHeight="1" x14ac:dyDescent="0.35">
      <c r="A1119" t="str">
        <f t="shared" si="17"/>
        <v>P652MD00C1011</v>
      </c>
      <c r="B1119" t="str">
        <f>IFERROR(VLOOKUP($A1119,'[5]Study Budget Mapping '!$O$2:$P$532,2,0),"TBA")</f>
        <v>TBA</v>
      </c>
      <c r="D1119" s="2" t="s">
        <v>238</v>
      </c>
      <c r="E1119" s="2" t="s">
        <v>26</v>
      </c>
      <c r="F1119" s="3">
        <v>9.9999999999999995E-7</v>
      </c>
      <c r="G1119" s="3">
        <v>0</v>
      </c>
      <c r="H1119" s="4"/>
      <c r="I1119" s="4"/>
      <c r="J1119" s="4"/>
      <c r="K1119" s="4"/>
      <c r="L1119" s="4"/>
      <c r="M1119" s="4"/>
    </row>
    <row r="1120" spans="1:13" ht="15" customHeight="1" x14ac:dyDescent="0.35">
      <c r="A1120" t="str">
        <f t="shared" si="17"/>
        <v>P652MD00C1011</v>
      </c>
      <c r="B1120" t="str">
        <f>IFERROR(VLOOKUP($A1120,'[5]Study Budget Mapping '!$O$2:$P$532,2,0),"TBA")</f>
        <v>TBA</v>
      </c>
      <c r="D1120" s="2" t="s">
        <v>238</v>
      </c>
      <c r="E1120" s="2" t="s">
        <v>23</v>
      </c>
      <c r="F1120" s="3">
        <v>7.9999999999999996E-6</v>
      </c>
      <c r="G1120" s="3">
        <v>0</v>
      </c>
      <c r="H1120" s="4"/>
      <c r="I1120" s="4"/>
      <c r="J1120" s="4"/>
      <c r="K1120" s="4"/>
      <c r="L1120" s="4"/>
      <c r="M1120" s="4"/>
    </row>
    <row r="1121" spans="1:13" ht="15" customHeight="1" x14ac:dyDescent="0.35">
      <c r="A1121" t="str">
        <f t="shared" si="17"/>
        <v>P652MD00C1011</v>
      </c>
      <c r="B1121" t="str">
        <f>IFERROR(VLOOKUP($A1121,'[5]Study Budget Mapping '!$O$2:$P$532,2,0),"TBA")</f>
        <v>TBA</v>
      </c>
      <c r="D1121" s="2" t="s">
        <v>238</v>
      </c>
      <c r="E1121" s="2" t="s">
        <v>32</v>
      </c>
      <c r="F1121" s="3">
        <v>9.9999999999999995E-7</v>
      </c>
      <c r="G1121" s="3">
        <v>0</v>
      </c>
      <c r="H1121" s="4"/>
      <c r="I1121" s="4"/>
      <c r="J1121" s="4"/>
      <c r="K1121" s="4"/>
      <c r="L1121" s="4"/>
      <c r="M1121" s="4"/>
    </row>
    <row r="1122" spans="1:13" ht="15" customHeight="1" x14ac:dyDescent="0.35">
      <c r="A1122" t="str">
        <f t="shared" si="17"/>
        <v>P653IM13C2422</v>
      </c>
      <c r="B1122" t="str">
        <f>IFERROR(VLOOKUP($A1122,'[5]Study Budget Mapping '!$O$2:$P$532,2,0),"TBA")</f>
        <v>TBA</v>
      </c>
      <c r="D1122" s="2" t="s">
        <v>239</v>
      </c>
      <c r="E1122" s="2" t="s">
        <v>13</v>
      </c>
      <c r="F1122" s="3">
        <v>3750000</v>
      </c>
      <c r="G1122" s="3">
        <v>3750000</v>
      </c>
      <c r="H1122" s="4"/>
      <c r="I1122" s="4"/>
      <c r="J1122" s="4"/>
      <c r="K1122" s="4"/>
      <c r="L1122" s="4"/>
      <c r="M1122" s="4"/>
    </row>
    <row r="1123" spans="1:13" ht="15" customHeight="1" x14ac:dyDescent="0.35">
      <c r="A1123" t="str">
        <f t="shared" si="17"/>
        <v>P653IM13C2422</v>
      </c>
      <c r="B1123" t="str">
        <f>IFERROR(VLOOKUP($A1123,'[5]Study Budget Mapping '!$O$2:$P$532,2,0),"TBA")</f>
        <v>TBA</v>
      </c>
      <c r="D1123" s="2" t="s">
        <v>239</v>
      </c>
      <c r="E1123" s="2" t="s">
        <v>14</v>
      </c>
      <c r="F1123" s="3">
        <v>690000</v>
      </c>
      <c r="G1123" s="3">
        <v>690000</v>
      </c>
      <c r="H1123" s="4"/>
      <c r="I1123" s="4"/>
      <c r="J1123" s="4"/>
      <c r="K1123" s="4"/>
      <c r="L1123" s="4"/>
      <c r="M1123" s="4"/>
    </row>
    <row r="1124" spans="1:13" ht="15" customHeight="1" x14ac:dyDescent="0.35">
      <c r="A1124" t="str">
        <f t="shared" si="17"/>
        <v>P653IM13C2422</v>
      </c>
      <c r="B1124" t="str">
        <f>IFERROR(VLOOKUP($A1124,'[5]Study Budget Mapping '!$O$2:$P$532,2,0),"TBA")</f>
        <v>TBA</v>
      </c>
      <c r="D1124" s="2" t="s">
        <v>239</v>
      </c>
      <c r="E1124" s="2" t="s">
        <v>19</v>
      </c>
      <c r="F1124" s="3">
        <v>544000</v>
      </c>
      <c r="G1124" s="3">
        <v>544000</v>
      </c>
      <c r="H1124" s="4"/>
      <c r="I1124" s="4"/>
      <c r="J1124" s="4"/>
      <c r="K1124" s="4"/>
      <c r="L1124" s="4"/>
      <c r="M1124" s="4"/>
    </row>
    <row r="1125" spans="1:13" ht="15" customHeight="1" x14ac:dyDescent="0.35">
      <c r="A1125" t="str">
        <f t="shared" si="17"/>
        <v>P653IM13C2422</v>
      </c>
      <c r="B1125" t="str">
        <f>IFERROR(VLOOKUP($A1125,'[5]Study Budget Mapping '!$O$2:$P$532,2,0),"TBA")</f>
        <v>TBA</v>
      </c>
      <c r="D1125" s="2" t="s">
        <v>239</v>
      </c>
      <c r="E1125" s="2" t="s">
        <v>15</v>
      </c>
      <c r="F1125" s="3">
        <v>410000</v>
      </c>
      <c r="G1125" s="3">
        <v>410000</v>
      </c>
      <c r="H1125" s="4"/>
      <c r="I1125" s="4"/>
      <c r="J1125" s="4"/>
      <c r="K1125" s="4"/>
      <c r="L1125" s="4"/>
      <c r="M1125" s="4"/>
    </row>
    <row r="1126" spans="1:13" ht="15" customHeight="1" x14ac:dyDescent="0.35">
      <c r="A1126" t="str">
        <f t="shared" si="17"/>
        <v>P653IM13C2422</v>
      </c>
      <c r="B1126" t="str">
        <f>IFERROR(VLOOKUP($A1126,'[5]Study Budget Mapping '!$O$2:$P$532,2,0),"TBA")</f>
        <v>TBA</v>
      </c>
      <c r="D1126" s="2" t="s">
        <v>239</v>
      </c>
      <c r="E1126" s="2" t="s">
        <v>16</v>
      </c>
      <c r="F1126" s="3">
        <v>50000</v>
      </c>
      <c r="G1126" s="3">
        <v>50000</v>
      </c>
      <c r="H1126" s="4"/>
      <c r="I1126" s="4"/>
      <c r="J1126" s="4"/>
      <c r="K1126" s="4"/>
      <c r="L1126" s="4"/>
      <c r="M1126" s="4"/>
    </row>
    <row r="1127" spans="1:13" ht="15" customHeight="1" x14ac:dyDescent="0.35">
      <c r="A1127" t="str">
        <f t="shared" si="17"/>
        <v>P653IM13C2422</v>
      </c>
      <c r="B1127" t="str">
        <f>IFERROR(VLOOKUP($A1127,'[5]Study Budget Mapping '!$O$2:$P$532,2,0),"TBA")</f>
        <v>TBA</v>
      </c>
      <c r="D1127" s="2" t="s">
        <v>239</v>
      </c>
      <c r="E1127" s="2" t="s">
        <v>17</v>
      </c>
      <c r="F1127" s="3">
        <v>180000</v>
      </c>
      <c r="G1127" s="3">
        <v>180000</v>
      </c>
      <c r="H1127" s="4"/>
      <c r="I1127" s="4"/>
      <c r="J1127" s="4"/>
      <c r="K1127" s="4"/>
      <c r="L1127" s="4"/>
      <c r="M1127" s="4"/>
    </row>
    <row r="1128" spans="1:13" ht="15" customHeight="1" x14ac:dyDescent="0.35">
      <c r="A1128" t="str">
        <f t="shared" si="17"/>
        <v>P653IM13C2422</v>
      </c>
      <c r="B1128" t="str">
        <f>IFERROR(VLOOKUP($A1128,'[5]Study Budget Mapping '!$O$2:$P$532,2,0),"TBA")</f>
        <v>TBA</v>
      </c>
      <c r="D1128" s="2" t="s">
        <v>239</v>
      </c>
      <c r="E1128" s="2" t="s">
        <v>23</v>
      </c>
      <c r="F1128" s="3">
        <v>550000</v>
      </c>
      <c r="G1128" s="3">
        <v>550000</v>
      </c>
      <c r="H1128" s="4"/>
      <c r="I1128" s="4"/>
      <c r="J1128" s="4"/>
      <c r="K1128" s="4"/>
      <c r="L1128" s="4"/>
      <c r="M1128" s="4"/>
    </row>
    <row r="1129" spans="1:13" ht="15" customHeight="1" x14ac:dyDescent="0.35">
      <c r="A1129" t="str">
        <f t="shared" si="17"/>
        <v>P653IM13C2422</v>
      </c>
      <c r="B1129" t="str">
        <f>IFERROR(VLOOKUP($A1129,'[5]Study Budget Mapping '!$O$2:$P$532,2,0),"TBA")</f>
        <v>TBA</v>
      </c>
      <c r="D1129" s="2" t="s">
        <v>239</v>
      </c>
      <c r="E1129" s="2" t="s">
        <v>24</v>
      </c>
      <c r="F1129" s="3">
        <v>40000</v>
      </c>
      <c r="G1129" s="3">
        <v>40000</v>
      </c>
      <c r="H1129" s="4"/>
      <c r="I1129" s="4"/>
      <c r="J1129" s="4"/>
      <c r="K1129" s="4"/>
      <c r="L1129" s="4"/>
      <c r="M1129" s="4"/>
    </row>
    <row r="1130" spans="1:13" ht="15" customHeight="1" x14ac:dyDescent="0.35">
      <c r="A1130" t="str">
        <f t="shared" si="17"/>
        <v>P653IM13C3731</v>
      </c>
      <c r="B1130" t="str">
        <f>IFERROR(VLOOKUP($A1130,'[5]Study Budget Mapping '!$O$2:$P$532,2,0),"TBA")</f>
        <v>TBA</v>
      </c>
      <c r="D1130" s="2" t="s">
        <v>240</v>
      </c>
      <c r="E1130" s="2" t="s">
        <v>13</v>
      </c>
      <c r="F1130" s="3">
        <v>10864511</v>
      </c>
      <c r="G1130" s="3">
        <v>13150000</v>
      </c>
      <c r="H1130" s="4"/>
      <c r="I1130" s="4"/>
      <c r="J1130" s="4"/>
      <c r="K1130" s="4"/>
      <c r="L1130" s="4"/>
      <c r="M1130" s="4"/>
    </row>
    <row r="1131" spans="1:13" ht="15" customHeight="1" x14ac:dyDescent="0.35">
      <c r="A1131" t="str">
        <f t="shared" si="17"/>
        <v>P653IM13C3731</v>
      </c>
      <c r="B1131" t="str">
        <f>IFERROR(VLOOKUP($A1131,'[5]Study Budget Mapping '!$O$2:$P$532,2,0),"TBA")</f>
        <v>TBA</v>
      </c>
      <c r="D1131" s="2" t="s">
        <v>240</v>
      </c>
      <c r="E1131" s="2" t="s">
        <v>14</v>
      </c>
      <c r="F1131" s="3">
        <v>2495000</v>
      </c>
      <c r="G1131" s="3">
        <v>2690000</v>
      </c>
      <c r="H1131" s="4"/>
      <c r="I1131" s="4"/>
      <c r="J1131" s="4"/>
      <c r="K1131" s="4"/>
      <c r="L1131" s="4"/>
      <c r="M1131" s="4"/>
    </row>
    <row r="1132" spans="1:13" ht="15" customHeight="1" x14ac:dyDescent="0.35">
      <c r="A1132" t="str">
        <f t="shared" si="17"/>
        <v>P653IM13C3731</v>
      </c>
      <c r="B1132" t="str">
        <f>IFERROR(VLOOKUP($A1132,'[5]Study Budget Mapping '!$O$2:$P$532,2,0),"TBA")</f>
        <v>TBA</v>
      </c>
      <c r="D1132" s="2" t="s">
        <v>240</v>
      </c>
      <c r="E1132" s="2" t="s">
        <v>19</v>
      </c>
      <c r="F1132" s="3">
        <v>5369369</v>
      </c>
      <c r="G1132" s="3">
        <v>5820000</v>
      </c>
      <c r="H1132" s="4"/>
      <c r="I1132" s="4"/>
      <c r="J1132" s="4"/>
      <c r="K1132" s="4"/>
      <c r="L1132" s="4"/>
      <c r="M1132" s="4"/>
    </row>
    <row r="1133" spans="1:13" ht="15" customHeight="1" x14ac:dyDescent="0.35">
      <c r="A1133" t="str">
        <f t="shared" si="17"/>
        <v>P653IM13C3731</v>
      </c>
      <c r="B1133" t="str">
        <f>IFERROR(VLOOKUP($A1133,'[5]Study Budget Mapping '!$O$2:$P$532,2,0),"TBA")</f>
        <v>TBA</v>
      </c>
      <c r="D1133" s="2" t="s">
        <v>240</v>
      </c>
      <c r="E1133" s="2" t="s">
        <v>15</v>
      </c>
      <c r="F1133" s="3">
        <v>9944800</v>
      </c>
      <c r="G1133" s="3">
        <v>18210000</v>
      </c>
      <c r="H1133" s="4"/>
      <c r="I1133" s="4"/>
      <c r="J1133" s="4"/>
      <c r="K1133" s="4"/>
      <c r="L1133" s="4"/>
      <c r="M1133" s="4"/>
    </row>
    <row r="1134" spans="1:13" ht="15" customHeight="1" x14ac:dyDescent="0.35">
      <c r="A1134" t="str">
        <f t="shared" si="17"/>
        <v>P653IM13C3731</v>
      </c>
      <c r="B1134" t="str">
        <f>IFERROR(VLOOKUP($A1134,'[5]Study Budget Mapping '!$O$2:$P$532,2,0),"TBA")</f>
        <v>TBA</v>
      </c>
      <c r="D1134" s="2" t="s">
        <v>240</v>
      </c>
      <c r="E1134" s="2" t="s">
        <v>22</v>
      </c>
      <c r="F1134" s="3">
        <v>0</v>
      </c>
      <c r="G1134" s="3">
        <v>870000</v>
      </c>
      <c r="H1134" s="4"/>
      <c r="I1134" s="4"/>
      <c r="J1134" s="4"/>
      <c r="K1134" s="4"/>
      <c r="L1134" s="4"/>
      <c r="M1134" s="4"/>
    </row>
    <row r="1135" spans="1:13" ht="15" customHeight="1" x14ac:dyDescent="0.35">
      <c r="A1135" t="str">
        <f t="shared" si="17"/>
        <v>P653IM13C3731</v>
      </c>
      <c r="B1135" t="str">
        <f>IFERROR(VLOOKUP($A1135,'[5]Study Budget Mapping '!$O$2:$P$532,2,0),"TBA")</f>
        <v>TBA</v>
      </c>
      <c r="D1135" s="2" t="s">
        <v>240</v>
      </c>
      <c r="E1135" s="2" t="s">
        <v>16</v>
      </c>
      <c r="F1135" s="3">
        <v>3155200</v>
      </c>
      <c r="G1135" s="3">
        <v>0</v>
      </c>
      <c r="H1135" s="4"/>
      <c r="I1135" s="4"/>
      <c r="J1135" s="4"/>
      <c r="K1135" s="4"/>
      <c r="L1135" s="4"/>
      <c r="M1135" s="4"/>
    </row>
    <row r="1136" spans="1:13" ht="15" customHeight="1" x14ac:dyDescent="0.35">
      <c r="A1136" t="str">
        <f t="shared" si="17"/>
        <v>P653IM13C3731</v>
      </c>
      <c r="B1136" t="str">
        <f>IFERROR(VLOOKUP($A1136,'[5]Study Budget Mapping '!$O$2:$P$532,2,0),"TBA")</f>
        <v>TBA</v>
      </c>
      <c r="D1136" s="2" t="s">
        <v>240</v>
      </c>
      <c r="E1136" s="2" t="s">
        <v>17</v>
      </c>
      <c r="F1136" s="3">
        <v>260000</v>
      </c>
      <c r="G1136" s="3">
        <v>320000</v>
      </c>
      <c r="H1136" s="4"/>
      <c r="I1136" s="4"/>
      <c r="J1136" s="4"/>
      <c r="K1136" s="4"/>
      <c r="L1136" s="4"/>
      <c r="M1136" s="4"/>
    </row>
    <row r="1137" spans="1:13" ht="15" customHeight="1" x14ac:dyDescent="0.35">
      <c r="A1137" t="str">
        <f t="shared" si="17"/>
        <v>P653IM13C3731</v>
      </c>
      <c r="B1137" t="str">
        <f>IFERROR(VLOOKUP($A1137,'[5]Study Budget Mapping '!$O$2:$P$532,2,0),"TBA")</f>
        <v>TBA</v>
      </c>
      <c r="D1137" s="2" t="s">
        <v>240</v>
      </c>
      <c r="E1137" s="2" t="s">
        <v>23</v>
      </c>
      <c r="F1137" s="3">
        <v>0</v>
      </c>
      <c r="G1137" s="3">
        <v>400000</v>
      </c>
      <c r="H1137" s="4"/>
      <c r="I1137" s="4"/>
      <c r="J1137" s="4"/>
      <c r="K1137" s="4"/>
      <c r="L1137" s="4"/>
      <c r="M1137" s="4"/>
    </row>
    <row r="1138" spans="1:13" ht="15" customHeight="1" x14ac:dyDescent="0.35">
      <c r="A1138" t="str">
        <f t="shared" si="17"/>
        <v>P653IM13C3731</v>
      </c>
      <c r="B1138" t="str">
        <f>IFERROR(VLOOKUP($A1138,'[5]Study Budget Mapping '!$O$2:$P$532,2,0),"TBA")</f>
        <v>TBA</v>
      </c>
      <c r="D1138" s="2" t="s">
        <v>240</v>
      </c>
      <c r="E1138" s="2" t="s">
        <v>24</v>
      </c>
      <c r="F1138" s="3">
        <v>1500000</v>
      </c>
      <c r="G1138" s="3">
        <v>2280000</v>
      </c>
      <c r="H1138" s="4"/>
      <c r="I1138" s="4"/>
      <c r="J1138" s="4"/>
      <c r="K1138" s="4"/>
      <c r="L1138" s="4"/>
      <c r="M1138" s="4"/>
    </row>
    <row r="1139" spans="1:13" ht="15" customHeight="1" x14ac:dyDescent="0.35">
      <c r="A1139" t="str">
        <f t="shared" si="17"/>
        <v>P653IM13C6011</v>
      </c>
      <c r="B1139" t="str">
        <f>IFERROR(VLOOKUP($A1139,'[5]Study Budget Mapping '!$O$2:$P$532,2,0),"TBA")</f>
        <v>TBA</v>
      </c>
      <c r="D1139" s="2" t="s">
        <v>241</v>
      </c>
      <c r="E1139" s="2" t="s">
        <v>22</v>
      </c>
      <c r="F1139" s="3">
        <v>688650</v>
      </c>
      <c r="G1139" s="3">
        <v>688650</v>
      </c>
      <c r="H1139" s="4"/>
      <c r="I1139" s="4"/>
      <c r="J1139" s="4"/>
      <c r="K1139" s="4"/>
      <c r="L1139" s="4"/>
      <c r="M1139" s="4"/>
    </row>
    <row r="1140" spans="1:13" ht="15" customHeight="1" x14ac:dyDescent="0.35">
      <c r="A1140" t="str">
        <f t="shared" si="17"/>
        <v>P653IM13C6021</v>
      </c>
      <c r="B1140" t="str">
        <f>IFERROR(VLOOKUP($A1140,'[5]Study Budget Mapping '!$O$2:$P$532,2,0),"TBA")</f>
        <v>TBA</v>
      </c>
      <c r="D1140" s="2" t="s">
        <v>242</v>
      </c>
      <c r="E1140" s="2" t="s">
        <v>13</v>
      </c>
      <c r="F1140" s="3">
        <v>1200000</v>
      </c>
      <c r="G1140" s="3">
        <v>1200000</v>
      </c>
      <c r="H1140" s="4"/>
      <c r="I1140" s="4"/>
      <c r="J1140" s="4"/>
      <c r="K1140" s="4"/>
      <c r="L1140" s="4"/>
      <c r="M1140" s="4"/>
    </row>
    <row r="1141" spans="1:13" ht="15" customHeight="1" x14ac:dyDescent="0.35">
      <c r="A1141" t="str">
        <f t="shared" si="17"/>
        <v>P653IM13C6021</v>
      </c>
      <c r="B1141" t="str">
        <f>IFERROR(VLOOKUP($A1141,'[5]Study Budget Mapping '!$O$2:$P$532,2,0),"TBA")</f>
        <v>TBA</v>
      </c>
      <c r="D1141" s="2" t="s">
        <v>242</v>
      </c>
      <c r="E1141" s="2" t="s">
        <v>14</v>
      </c>
      <c r="F1141" s="3">
        <v>105000</v>
      </c>
      <c r="G1141" s="3">
        <v>105000</v>
      </c>
      <c r="H1141" s="4"/>
      <c r="I1141" s="4"/>
      <c r="J1141" s="4"/>
      <c r="K1141" s="4"/>
      <c r="L1141" s="4"/>
      <c r="M1141" s="4"/>
    </row>
    <row r="1142" spans="1:13" ht="15" customHeight="1" x14ac:dyDescent="0.35">
      <c r="A1142" t="str">
        <f t="shared" si="17"/>
        <v>P653IM13C6021</v>
      </c>
      <c r="B1142" t="str">
        <f>IFERROR(VLOOKUP($A1142,'[5]Study Budget Mapping '!$O$2:$P$532,2,0),"TBA")</f>
        <v>TBA</v>
      </c>
      <c r="D1142" s="2" t="s">
        <v>242</v>
      </c>
      <c r="E1142" s="2" t="s">
        <v>19</v>
      </c>
      <c r="F1142" s="3">
        <v>400000</v>
      </c>
      <c r="G1142" s="3">
        <v>400000</v>
      </c>
      <c r="H1142" s="4"/>
      <c r="I1142" s="4"/>
      <c r="J1142" s="4"/>
      <c r="K1142" s="4"/>
      <c r="L1142" s="4"/>
      <c r="M1142" s="4"/>
    </row>
    <row r="1143" spans="1:13" ht="15" customHeight="1" x14ac:dyDescent="0.35">
      <c r="A1143" t="str">
        <f t="shared" si="17"/>
        <v>P653IM13C6021</v>
      </c>
      <c r="B1143" t="str">
        <f>IFERROR(VLOOKUP($A1143,'[5]Study Budget Mapping '!$O$2:$P$532,2,0),"TBA")</f>
        <v>TBA</v>
      </c>
      <c r="D1143" s="2" t="s">
        <v>242</v>
      </c>
      <c r="E1143" s="2" t="s">
        <v>15</v>
      </c>
      <c r="F1143" s="3">
        <v>190000</v>
      </c>
      <c r="G1143" s="3">
        <v>190000</v>
      </c>
      <c r="H1143" s="4"/>
      <c r="I1143" s="4"/>
      <c r="J1143" s="4"/>
      <c r="K1143" s="4"/>
      <c r="L1143" s="4"/>
      <c r="M1143" s="4"/>
    </row>
    <row r="1144" spans="1:13" ht="15" customHeight="1" x14ac:dyDescent="0.35">
      <c r="A1144" t="str">
        <f t="shared" si="17"/>
        <v>P653IM13C6021</v>
      </c>
      <c r="B1144" t="str">
        <f>IFERROR(VLOOKUP($A1144,'[5]Study Budget Mapping '!$O$2:$P$532,2,0),"TBA")</f>
        <v>TBA</v>
      </c>
      <c r="D1144" s="2" t="s">
        <v>242</v>
      </c>
      <c r="E1144" s="2" t="s">
        <v>16</v>
      </c>
      <c r="F1144" s="3">
        <v>10000</v>
      </c>
      <c r="G1144" s="3">
        <v>10000</v>
      </c>
      <c r="H1144" s="4"/>
      <c r="I1144" s="4"/>
      <c r="J1144" s="4"/>
      <c r="K1144" s="4"/>
      <c r="L1144" s="4"/>
      <c r="M1144" s="4"/>
    </row>
    <row r="1145" spans="1:13" ht="15" customHeight="1" x14ac:dyDescent="0.35">
      <c r="A1145" t="str">
        <f t="shared" si="17"/>
        <v>P653IM00C1011</v>
      </c>
      <c r="B1145" t="str">
        <f>IFERROR(VLOOKUP($A1145,'[5]Study Budget Mapping '!$O$2:$P$532,2,0),"TBA")</f>
        <v>TBA</v>
      </c>
      <c r="D1145" s="2" t="s">
        <v>243</v>
      </c>
      <c r="E1145" s="2" t="s">
        <v>14</v>
      </c>
      <c r="F1145" s="3">
        <v>100000</v>
      </c>
      <c r="G1145" s="3">
        <v>0</v>
      </c>
      <c r="H1145" s="4"/>
      <c r="I1145" s="4"/>
      <c r="J1145" s="4"/>
      <c r="K1145" s="4"/>
      <c r="L1145" s="4"/>
      <c r="M1145" s="4"/>
    </row>
    <row r="1146" spans="1:13" ht="15" customHeight="1" x14ac:dyDescent="0.35">
      <c r="A1146" t="str">
        <f t="shared" si="17"/>
        <v>P653IM00C1011</v>
      </c>
      <c r="B1146" t="str">
        <f>IFERROR(VLOOKUP($A1146,'[5]Study Budget Mapping '!$O$2:$P$532,2,0),"TBA")</f>
        <v>TBA</v>
      </c>
      <c r="D1146" s="2" t="s">
        <v>243</v>
      </c>
      <c r="E1146" s="2" t="s">
        <v>15</v>
      </c>
      <c r="F1146" s="3">
        <v>650658</v>
      </c>
      <c r="G1146" s="3">
        <v>1033834.911357807</v>
      </c>
      <c r="H1146" s="4"/>
      <c r="I1146" s="4"/>
      <c r="J1146" s="4"/>
      <c r="K1146" s="4"/>
      <c r="L1146" s="4"/>
      <c r="M1146" s="4"/>
    </row>
    <row r="1147" spans="1:13" ht="15" customHeight="1" x14ac:dyDescent="0.35">
      <c r="A1147" t="str">
        <f t="shared" si="17"/>
        <v>P653IM00C1011</v>
      </c>
      <c r="B1147" t="str">
        <f>IFERROR(VLOOKUP($A1147,'[5]Study Budget Mapping '!$O$2:$P$532,2,0),"TBA")</f>
        <v>TBA</v>
      </c>
      <c r="D1147" s="2" t="s">
        <v>243</v>
      </c>
      <c r="E1147" s="2" t="s">
        <v>16</v>
      </c>
      <c r="F1147" s="3">
        <v>4706</v>
      </c>
      <c r="G1147" s="3">
        <v>0</v>
      </c>
      <c r="H1147" s="4"/>
      <c r="I1147" s="4"/>
      <c r="J1147" s="4"/>
      <c r="K1147" s="4"/>
      <c r="L1147" s="4"/>
      <c r="M1147" s="4"/>
    </row>
    <row r="1148" spans="1:13" ht="15" customHeight="1" x14ac:dyDescent="0.35">
      <c r="A1148" t="str">
        <f t="shared" si="17"/>
        <v>P653IM00C1011</v>
      </c>
      <c r="B1148" t="str">
        <f>IFERROR(VLOOKUP($A1148,'[5]Study Budget Mapping '!$O$2:$P$532,2,0),"TBA")</f>
        <v>TBA</v>
      </c>
      <c r="D1148" s="2" t="s">
        <v>243</v>
      </c>
      <c r="E1148" s="2" t="s">
        <v>17</v>
      </c>
      <c r="F1148" s="3">
        <v>29412</v>
      </c>
      <c r="G1148" s="3">
        <v>0</v>
      </c>
      <c r="H1148" s="4"/>
      <c r="I1148" s="4"/>
      <c r="J1148" s="4"/>
      <c r="K1148" s="4"/>
      <c r="L1148" s="4"/>
      <c r="M1148" s="4"/>
    </row>
    <row r="1149" spans="1:13" ht="15" customHeight="1" x14ac:dyDescent="0.35">
      <c r="A1149" t="str">
        <f t="shared" si="17"/>
        <v>P653IM00C1011</v>
      </c>
      <c r="B1149" t="str">
        <f>IFERROR(VLOOKUP($A1149,'[5]Study Budget Mapping '!$O$2:$P$532,2,0),"TBA")</f>
        <v>TBA</v>
      </c>
      <c r="D1149" s="2" t="s">
        <v>243</v>
      </c>
      <c r="E1149" s="2" t="s">
        <v>28</v>
      </c>
      <c r="F1149" s="3">
        <v>8235</v>
      </c>
      <c r="G1149" s="3">
        <v>0</v>
      </c>
      <c r="H1149" s="4"/>
      <c r="I1149" s="4"/>
      <c r="J1149" s="4"/>
      <c r="K1149" s="4"/>
      <c r="L1149" s="4"/>
      <c r="M1149" s="4"/>
    </row>
    <row r="1150" spans="1:13" ht="15" customHeight="1" x14ac:dyDescent="0.35">
      <c r="A1150" t="str">
        <f t="shared" si="17"/>
        <v>P653IM00C1011</v>
      </c>
      <c r="B1150" t="str">
        <f>IFERROR(VLOOKUP($A1150,'[5]Study Budget Mapping '!$O$2:$P$532,2,0),"TBA")</f>
        <v>TBA</v>
      </c>
      <c r="D1150" s="2" t="s">
        <v>243</v>
      </c>
      <c r="E1150" s="2" t="s">
        <v>23</v>
      </c>
      <c r="F1150" s="3">
        <v>31765</v>
      </c>
      <c r="G1150" s="3">
        <v>0</v>
      </c>
      <c r="H1150" s="4"/>
      <c r="I1150" s="4"/>
      <c r="J1150" s="4"/>
      <c r="K1150" s="4"/>
      <c r="L1150" s="4"/>
      <c r="M1150" s="4"/>
    </row>
    <row r="1151" spans="1:13" ht="15" customHeight="1" x14ac:dyDescent="0.35">
      <c r="A1151" t="str">
        <f t="shared" si="17"/>
        <v>P653IM13C2421</v>
      </c>
      <c r="B1151" t="str">
        <f>IFERROR(VLOOKUP($A1151,'[5]Study Budget Mapping '!$O$2:$P$532,2,0),"TBA")</f>
        <v>TBA</v>
      </c>
      <c r="D1151" s="2" t="s">
        <v>244</v>
      </c>
      <c r="E1151" s="2" t="s">
        <v>13</v>
      </c>
      <c r="F1151" s="3">
        <v>2848603</v>
      </c>
      <c r="G1151" s="3">
        <v>0</v>
      </c>
      <c r="H1151" s="4"/>
      <c r="I1151" s="4"/>
      <c r="J1151" s="4"/>
      <c r="K1151" s="4"/>
      <c r="L1151" s="4"/>
      <c r="M1151" s="4"/>
    </row>
    <row r="1152" spans="1:13" ht="15" customHeight="1" x14ac:dyDescent="0.35">
      <c r="A1152" t="str">
        <f t="shared" si="17"/>
        <v>P653IM13C2421</v>
      </c>
      <c r="B1152" t="str">
        <f>IFERROR(VLOOKUP($A1152,'[5]Study Budget Mapping '!$O$2:$P$532,2,0),"TBA")</f>
        <v>TBA</v>
      </c>
      <c r="D1152" s="2" t="s">
        <v>244</v>
      </c>
      <c r="E1152" s="2" t="s">
        <v>14</v>
      </c>
      <c r="F1152" s="3">
        <v>1659401</v>
      </c>
      <c r="G1152" s="3">
        <v>0</v>
      </c>
      <c r="H1152" s="4"/>
      <c r="I1152" s="4"/>
      <c r="J1152" s="4"/>
      <c r="K1152" s="4"/>
      <c r="L1152" s="4"/>
      <c r="M1152" s="4"/>
    </row>
    <row r="1153" spans="1:13" ht="15" customHeight="1" x14ac:dyDescent="0.35">
      <c r="A1153" t="str">
        <f t="shared" si="17"/>
        <v>P653IM13C2421</v>
      </c>
      <c r="B1153" t="str">
        <f>IFERROR(VLOOKUP($A1153,'[5]Study Budget Mapping '!$O$2:$P$532,2,0),"TBA")</f>
        <v>TBA</v>
      </c>
      <c r="D1153" s="2" t="s">
        <v>244</v>
      </c>
      <c r="E1153" s="2" t="s">
        <v>19</v>
      </c>
      <c r="F1153" s="3">
        <v>200224</v>
      </c>
      <c r="G1153" s="3">
        <v>0</v>
      </c>
      <c r="H1153" s="4"/>
      <c r="I1153" s="4"/>
      <c r="J1153" s="4"/>
      <c r="K1153" s="4"/>
      <c r="L1153" s="4"/>
      <c r="M1153" s="4"/>
    </row>
    <row r="1154" spans="1:13" ht="15" customHeight="1" x14ac:dyDescent="0.35">
      <c r="A1154" t="str">
        <f t="shared" si="17"/>
        <v>P653IM13C2421</v>
      </c>
      <c r="B1154" t="str">
        <f>IFERROR(VLOOKUP($A1154,'[5]Study Budget Mapping '!$O$2:$P$532,2,0),"TBA")</f>
        <v>TBA</v>
      </c>
      <c r="D1154" s="2" t="s">
        <v>244</v>
      </c>
      <c r="E1154" s="2" t="s">
        <v>15</v>
      </c>
      <c r="F1154" s="3">
        <v>1106302</v>
      </c>
      <c r="G1154" s="3">
        <v>6672691.9400000004</v>
      </c>
      <c r="H1154" s="4"/>
      <c r="I1154" s="4"/>
      <c r="J1154" s="4"/>
      <c r="K1154" s="4"/>
      <c r="L1154" s="4"/>
      <c r="M1154" s="4"/>
    </row>
    <row r="1155" spans="1:13" ht="15" customHeight="1" x14ac:dyDescent="0.35">
      <c r="A1155" t="str">
        <f t="shared" ref="A1155:A1218" si="18">TRIM(_xlfn.TEXTBEFORE(D1155,"-",1))</f>
        <v>P653IM13C2421</v>
      </c>
      <c r="B1155" t="str">
        <f>IFERROR(VLOOKUP($A1155,'[5]Study Budget Mapping '!$O$2:$P$532,2,0),"TBA")</f>
        <v>TBA</v>
      </c>
      <c r="D1155" s="2" t="s">
        <v>244</v>
      </c>
      <c r="E1155" s="2" t="s">
        <v>17</v>
      </c>
      <c r="F1155" s="3">
        <v>171441</v>
      </c>
      <c r="G1155" s="3">
        <v>0</v>
      </c>
      <c r="H1155" s="4"/>
      <c r="I1155" s="4"/>
      <c r="J1155" s="4"/>
      <c r="K1155" s="4"/>
      <c r="L1155" s="4"/>
      <c r="M1155" s="4"/>
    </row>
    <row r="1156" spans="1:13" ht="15" customHeight="1" x14ac:dyDescent="0.35">
      <c r="A1156" t="str">
        <f t="shared" si="18"/>
        <v>P653IM13C2421</v>
      </c>
      <c r="B1156" t="str">
        <f>IFERROR(VLOOKUP($A1156,'[5]Study Budget Mapping '!$O$2:$P$532,2,0),"TBA")</f>
        <v>TBA</v>
      </c>
      <c r="D1156" s="2" t="s">
        <v>244</v>
      </c>
      <c r="E1156" s="2" t="s">
        <v>28</v>
      </c>
      <c r="F1156" s="3">
        <v>294918</v>
      </c>
      <c r="G1156" s="3">
        <v>0</v>
      </c>
      <c r="H1156" s="4"/>
      <c r="I1156" s="4"/>
      <c r="J1156" s="4"/>
      <c r="K1156" s="4"/>
      <c r="L1156" s="4"/>
      <c r="M1156" s="4"/>
    </row>
    <row r="1157" spans="1:13" ht="15" customHeight="1" x14ac:dyDescent="0.35">
      <c r="A1157" t="str">
        <f t="shared" si="18"/>
        <v>P653IM13C3701</v>
      </c>
      <c r="B1157" t="str">
        <f>IFERROR(VLOOKUP($A1157,'[5]Study Budget Mapping '!$O$2:$P$532,2,0),"TBA")</f>
        <v>TBA</v>
      </c>
      <c r="D1157" s="2" t="s">
        <v>245</v>
      </c>
      <c r="E1157" s="2" t="s">
        <v>13</v>
      </c>
      <c r="F1157" s="3">
        <v>2460000</v>
      </c>
      <c r="G1157" s="3">
        <v>3030000</v>
      </c>
      <c r="H1157" s="4"/>
      <c r="I1157" s="4"/>
      <c r="J1157" s="4"/>
      <c r="K1157" s="4"/>
      <c r="L1157" s="4"/>
      <c r="M1157" s="4"/>
    </row>
    <row r="1158" spans="1:13" ht="15" customHeight="1" x14ac:dyDescent="0.35">
      <c r="A1158" t="str">
        <f t="shared" si="18"/>
        <v>P653IM13C3701</v>
      </c>
      <c r="B1158" t="str">
        <f>IFERROR(VLOOKUP($A1158,'[5]Study Budget Mapping '!$O$2:$P$532,2,0),"TBA")</f>
        <v>TBA</v>
      </c>
      <c r="D1158" s="2" t="s">
        <v>245</v>
      </c>
      <c r="E1158" s="2" t="s">
        <v>14</v>
      </c>
      <c r="F1158" s="3">
        <v>650000</v>
      </c>
      <c r="G1158" s="3">
        <v>490000</v>
      </c>
      <c r="H1158" s="4"/>
      <c r="I1158" s="4"/>
      <c r="J1158" s="4"/>
      <c r="K1158" s="4"/>
      <c r="L1158" s="4"/>
      <c r="M1158" s="4"/>
    </row>
    <row r="1159" spans="1:13" ht="15" customHeight="1" x14ac:dyDescent="0.35">
      <c r="A1159" t="str">
        <f t="shared" si="18"/>
        <v>P653IM13C3701</v>
      </c>
      <c r="B1159" t="str">
        <f>IFERROR(VLOOKUP($A1159,'[5]Study Budget Mapping '!$O$2:$P$532,2,0),"TBA")</f>
        <v>TBA</v>
      </c>
      <c r="D1159" s="2" t="s">
        <v>245</v>
      </c>
      <c r="E1159" s="2" t="s">
        <v>19</v>
      </c>
      <c r="F1159" s="3">
        <v>1990000</v>
      </c>
      <c r="G1159" s="3">
        <v>20000</v>
      </c>
      <c r="H1159" s="4"/>
      <c r="I1159" s="4"/>
      <c r="J1159" s="4"/>
      <c r="K1159" s="4"/>
      <c r="L1159" s="4"/>
      <c r="M1159" s="4"/>
    </row>
    <row r="1160" spans="1:13" ht="15" customHeight="1" x14ac:dyDescent="0.35">
      <c r="A1160" t="str">
        <f t="shared" si="18"/>
        <v>P653IM13C3701</v>
      </c>
      <c r="B1160" t="str">
        <f>IFERROR(VLOOKUP($A1160,'[5]Study Budget Mapping '!$O$2:$P$532,2,0),"TBA")</f>
        <v>TBA</v>
      </c>
      <c r="D1160" s="2" t="s">
        <v>245</v>
      </c>
      <c r="E1160" s="2" t="s">
        <v>15</v>
      </c>
      <c r="F1160" s="3">
        <v>1450000</v>
      </c>
      <c r="G1160" s="3">
        <v>3347000</v>
      </c>
      <c r="H1160" s="4"/>
      <c r="I1160" s="4"/>
      <c r="J1160" s="4"/>
      <c r="K1160" s="4"/>
      <c r="L1160" s="4"/>
      <c r="M1160" s="4"/>
    </row>
    <row r="1161" spans="1:13" ht="15" customHeight="1" x14ac:dyDescent="0.35">
      <c r="A1161" t="str">
        <f t="shared" si="18"/>
        <v>P653IM13C3701</v>
      </c>
      <c r="B1161" t="str">
        <f>IFERROR(VLOOKUP($A1161,'[5]Study Budget Mapping '!$O$2:$P$532,2,0),"TBA")</f>
        <v>TBA</v>
      </c>
      <c r="D1161" s="2" t="s">
        <v>245</v>
      </c>
      <c r="E1161" s="2" t="s">
        <v>22</v>
      </c>
      <c r="F1161" s="3">
        <v>1040000</v>
      </c>
      <c r="G1161" s="3">
        <v>760000</v>
      </c>
      <c r="H1161" s="4"/>
      <c r="I1161" s="4"/>
      <c r="J1161" s="4"/>
      <c r="K1161" s="4"/>
      <c r="L1161" s="4"/>
      <c r="M1161" s="4"/>
    </row>
    <row r="1162" spans="1:13" ht="15" customHeight="1" x14ac:dyDescent="0.35">
      <c r="A1162" t="str">
        <f t="shared" si="18"/>
        <v>P653IM13C3701</v>
      </c>
      <c r="B1162" t="str">
        <f>IFERROR(VLOOKUP($A1162,'[5]Study Budget Mapping '!$O$2:$P$532,2,0),"TBA")</f>
        <v>TBA</v>
      </c>
      <c r="D1162" s="2" t="s">
        <v>245</v>
      </c>
      <c r="E1162" s="2" t="s">
        <v>16</v>
      </c>
      <c r="F1162" s="3">
        <v>270000</v>
      </c>
      <c r="G1162" s="3">
        <v>200000</v>
      </c>
      <c r="H1162" s="4"/>
      <c r="I1162" s="4"/>
      <c r="J1162" s="4"/>
      <c r="K1162" s="4"/>
      <c r="L1162" s="4"/>
      <c r="M1162" s="4"/>
    </row>
    <row r="1163" spans="1:13" ht="15" customHeight="1" x14ac:dyDescent="0.35">
      <c r="A1163" t="str">
        <f t="shared" si="18"/>
        <v>P653IM13C3701</v>
      </c>
      <c r="B1163" t="str">
        <f>IFERROR(VLOOKUP($A1163,'[5]Study Budget Mapping '!$O$2:$P$532,2,0),"TBA")</f>
        <v>TBA</v>
      </c>
      <c r="D1163" s="2" t="s">
        <v>245</v>
      </c>
      <c r="E1163" s="2" t="s">
        <v>17</v>
      </c>
      <c r="F1163" s="3">
        <v>260000</v>
      </c>
      <c r="G1163" s="3">
        <v>240000</v>
      </c>
      <c r="H1163" s="4"/>
      <c r="I1163" s="4"/>
      <c r="J1163" s="4"/>
      <c r="K1163" s="4"/>
      <c r="L1163" s="4"/>
      <c r="M1163" s="4"/>
    </row>
    <row r="1164" spans="1:13" ht="15" customHeight="1" x14ac:dyDescent="0.35">
      <c r="A1164" t="str">
        <f t="shared" si="18"/>
        <v>P653IM13C3701</v>
      </c>
      <c r="B1164" t="str">
        <f>IFERROR(VLOOKUP($A1164,'[5]Study Budget Mapping '!$O$2:$P$532,2,0),"TBA")</f>
        <v>TBA</v>
      </c>
      <c r="D1164" s="2" t="s">
        <v>245</v>
      </c>
      <c r="E1164" s="2" t="s">
        <v>23</v>
      </c>
      <c r="F1164" s="3">
        <v>107000</v>
      </c>
      <c r="G1164" s="3">
        <v>0</v>
      </c>
      <c r="H1164" s="4"/>
      <c r="I1164" s="4"/>
      <c r="J1164" s="4"/>
      <c r="K1164" s="4"/>
      <c r="L1164" s="4"/>
      <c r="M1164" s="4"/>
    </row>
    <row r="1165" spans="1:13" ht="15" customHeight="1" x14ac:dyDescent="0.35">
      <c r="A1165" t="str">
        <f t="shared" si="18"/>
        <v>P653IM13C3701</v>
      </c>
      <c r="B1165" t="str">
        <f>IFERROR(VLOOKUP($A1165,'[5]Study Budget Mapping '!$O$2:$P$532,2,0),"TBA")</f>
        <v>TBA</v>
      </c>
      <c r="D1165" s="2" t="s">
        <v>245</v>
      </c>
      <c r="E1165" s="2" t="s">
        <v>24</v>
      </c>
      <c r="F1165" s="3">
        <v>150000</v>
      </c>
      <c r="G1165" s="3">
        <v>150000</v>
      </c>
      <c r="H1165" s="4"/>
      <c r="I1165" s="4"/>
      <c r="J1165" s="4"/>
      <c r="K1165" s="4"/>
      <c r="L1165" s="4"/>
      <c r="M1165" s="4"/>
    </row>
    <row r="1166" spans="1:13" ht="15" customHeight="1" x14ac:dyDescent="0.35">
      <c r="A1166" t="str">
        <f t="shared" si="18"/>
        <v>P653IM13C6221</v>
      </c>
      <c r="B1166" t="str">
        <f>IFERROR(VLOOKUP($A1166,'[5]Study Budget Mapping '!$O$2:$P$532,2,0),"TBA")</f>
        <v>TBA</v>
      </c>
      <c r="D1166" s="2" t="s">
        <v>246</v>
      </c>
      <c r="E1166" s="2" t="s">
        <v>15</v>
      </c>
      <c r="F1166" s="3">
        <v>1875000</v>
      </c>
      <c r="G1166" s="3">
        <v>1875000</v>
      </c>
      <c r="H1166" s="4"/>
      <c r="I1166" s="4"/>
      <c r="J1166" s="4"/>
      <c r="K1166" s="4"/>
      <c r="L1166" s="4"/>
      <c r="M1166" s="4"/>
    </row>
    <row r="1167" spans="1:13" ht="15" customHeight="1" x14ac:dyDescent="0.35">
      <c r="A1167" t="str">
        <f t="shared" si="18"/>
        <v>P657CV01C1011</v>
      </c>
      <c r="B1167" t="str">
        <f>IFERROR(VLOOKUP($A1167,'[5]Study Budget Mapping '!$O$2:$P$532,2,0),"TBA")</f>
        <v>TBA</v>
      </c>
      <c r="D1167" s="2" t="s">
        <v>247</v>
      </c>
      <c r="E1167" s="2" t="s">
        <v>13</v>
      </c>
      <c r="F1167" s="3">
        <v>3041877</v>
      </c>
      <c r="G1167" s="3">
        <v>0</v>
      </c>
      <c r="H1167" s="4"/>
      <c r="I1167" s="4"/>
      <c r="J1167" s="4"/>
      <c r="K1167" s="4"/>
      <c r="L1167" s="4"/>
      <c r="M1167" s="4"/>
    </row>
    <row r="1168" spans="1:13" ht="15" customHeight="1" x14ac:dyDescent="0.35">
      <c r="A1168" t="str">
        <f t="shared" si="18"/>
        <v>P657CV01C1011</v>
      </c>
      <c r="B1168" t="str">
        <f>IFERROR(VLOOKUP($A1168,'[5]Study Budget Mapping '!$O$2:$P$532,2,0),"TBA")</f>
        <v>TBA</v>
      </c>
      <c r="D1168" s="2" t="s">
        <v>247</v>
      </c>
      <c r="E1168" s="2" t="s">
        <v>14</v>
      </c>
      <c r="F1168" s="3">
        <v>703891</v>
      </c>
      <c r="G1168" s="3">
        <v>0</v>
      </c>
      <c r="H1168" s="4"/>
      <c r="I1168" s="4"/>
      <c r="J1168" s="4"/>
      <c r="K1168" s="4"/>
      <c r="L1168" s="4"/>
      <c r="M1168" s="4"/>
    </row>
    <row r="1169" spans="1:13" ht="15" customHeight="1" x14ac:dyDescent="0.35">
      <c r="A1169" t="str">
        <f t="shared" si="18"/>
        <v>P657CV01C1011</v>
      </c>
      <c r="B1169" t="str">
        <f>IFERROR(VLOOKUP($A1169,'[5]Study Budget Mapping '!$O$2:$P$532,2,0),"TBA")</f>
        <v>TBA</v>
      </c>
      <c r="D1169" s="2" t="s">
        <v>247</v>
      </c>
      <c r="E1169" s="2" t="s">
        <v>15</v>
      </c>
      <c r="F1169" s="3">
        <v>0</v>
      </c>
      <c r="G1169" s="3">
        <v>3534323.28</v>
      </c>
      <c r="H1169" s="4"/>
      <c r="I1169" s="4"/>
      <c r="J1169" s="4"/>
      <c r="K1169" s="4"/>
      <c r="L1169" s="4"/>
      <c r="M1169" s="4"/>
    </row>
    <row r="1170" spans="1:13" ht="15" customHeight="1" x14ac:dyDescent="0.35">
      <c r="A1170" t="str">
        <f t="shared" si="18"/>
        <v>P657CV01C1011</v>
      </c>
      <c r="B1170" t="str">
        <f>IFERROR(VLOOKUP($A1170,'[5]Study Budget Mapping '!$O$2:$P$532,2,0),"TBA")</f>
        <v>TBA</v>
      </c>
      <c r="D1170" s="2" t="s">
        <v>247</v>
      </c>
      <c r="E1170" s="2" t="s">
        <v>16</v>
      </c>
      <c r="F1170" s="3">
        <v>74768</v>
      </c>
      <c r="G1170" s="3">
        <v>0</v>
      </c>
      <c r="H1170" s="4"/>
      <c r="I1170" s="4"/>
      <c r="J1170" s="4"/>
      <c r="K1170" s="4"/>
      <c r="L1170" s="4"/>
      <c r="M1170" s="4"/>
    </row>
    <row r="1171" spans="1:13" ht="15" customHeight="1" x14ac:dyDescent="0.35">
      <c r="A1171" t="str">
        <f t="shared" si="18"/>
        <v>P657CV01C1011</v>
      </c>
      <c r="B1171" t="str">
        <f>IFERROR(VLOOKUP($A1171,'[5]Study Budget Mapping '!$O$2:$P$532,2,0),"TBA")</f>
        <v>TBA</v>
      </c>
      <c r="D1171" s="2" t="s">
        <v>247</v>
      </c>
      <c r="E1171" s="2" t="s">
        <v>17</v>
      </c>
      <c r="F1171" s="3">
        <v>149333</v>
      </c>
      <c r="G1171" s="3">
        <v>0</v>
      </c>
      <c r="H1171" s="4"/>
      <c r="I1171" s="4"/>
      <c r="J1171" s="4"/>
      <c r="K1171" s="4"/>
      <c r="L1171" s="4"/>
      <c r="M1171" s="4"/>
    </row>
    <row r="1172" spans="1:13" ht="15" customHeight="1" x14ac:dyDescent="0.35">
      <c r="A1172" t="str">
        <f t="shared" si="18"/>
        <v>P657CV01C1011</v>
      </c>
      <c r="B1172" t="str">
        <f>IFERROR(VLOOKUP($A1172,'[5]Study Budget Mapping '!$O$2:$P$532,2,0),"TBA")</f>
        <v>TBA</v>
      </c>
      <c r="D1172" s="2" t="s">
        <v>247</v>
      </c>
      <c r="E1172" s="2" t="s">
        <v>23</v>
      </c>
      <c r="F1172" s="3">
        <v>235271</v>
      </c>
      <c r="G1172" s="3">
        <v>0</v>
      </c>
      <c r="H1172" s="4"/>
      <c r="I1172" s="4"/>
      <c r="J1172" s="4"/>
      <c r="K1172" s="4"/>
      <c r="L1172" s="4"/>
      <c r="M1172" s="4"/>
    </row>
    <row r="1173" spans="1:13" ht="15" customHeight="1" x14ac:dyDescent="0.35">
      <c r="A1173" t="str">
        <f t="shared" si="18"/>
        <v>P658OD01C1011</v>
      </c>
      <c r="B1173" t="str">
        <f>IFERROR(VLOOKUP($A1173,'[5]Study Budget Mapping '!$O$2:$P$532,2,0),"TBA")</f>
        <v>TBA</v>
      </c>
      <c r="D1173" s="2" t="s">
        <v>248</v>
      </c>
      <c r="E1173" s="2" t="s">
        <v>13</v>
      </c>
      <c r="F1173" s="3">
        <v>738300</v>
      </c>
      <c r="G1173" s="3">
        <v>738300</v>
      </c>
      <c r="H1173" s="4"/>
      <c r="I1173" s="4"/>
      <c r="J1173" s="4"/>
      <c r="K1173" s="4"/>
      <c r="L1173" s="4"/>
      <c r="M1173" s="4"/>
    </row>
    <row r="1174" spans="1:13" ht="15" customHeight="1" x14ac:dyDescent="0.35">
      <c r="A1174" t="str">
        <f t="shared" si="18"/>
        <v>P658OD01C1011</v>
      </c>
      <c r="B1174" t="str">
        <f>IFERROR(VLOOKUP($A1174,'[5]Study Budget Mapping '!$O$2:$P$532,2,0),"TBA")</f>
        <v>TBA</v>
      </c>
      <c r="D1174" s="2" t="s">
        <v>248</v>
      </c>
      <c r="E1174" s="2" t="s">
        <v>14</v>
      </c>
      <c r="F1174" s="3">
        <v>62616</v>
      </c>
      <c r="G1174" s="3">
        <v>62616</v>
      </c>
      <c r="H1174" s="4"/>
      <c r="I1174" s="4"/>
      <c r="J1174" s="4"/>
      <c r="K1174" s="4"/>
      <c r="L1174" s="4"/>
      <c r="M1174" s="4"/>
    </row>
    <row r="1175" spans="1:13" ht="15" customHeight="1" x14ac:dyDescent="0.35">
      <c r="A1175" t="str">
        <f t="shared" si="18"/>
        <v>P658OD01C1011</v>
      </c>
      <c r="B1175" t="str">
        <f>IFERROR(VLOOKUP($A1175,'[5]Study Budget Mapping '!$O$2:$P$532,2,0),"TBA")</f>
        <v>TBA</v>
      </c>
      <c r="D1175" s="2" t="s">
        <v>248</v>
      </c>
      <c r="E1175" s="2" t="s">
        <v>20</v>
      </c>
      <c r="F1175" s="3">
        <v>504590</v>
      </c>
      <c r="G1175" s="3">
        <v>504590</v>
      </c>
      <c r="H1175" s="4"/>
      <c r="I1175" s="4"/>
      <c r="J1175" s="4"/>
      <c r="K1175" s="4"/>
      <c r="L1175" s="4"/>
      <c r="M1175" s="4"/>
    </row>
    <row r="1176" spans="1:13" ht="15" customHeight="1" x14ac:dyDescent="0.35">
      <c r="A1176" t="str">
        <f t="shared" si="18"/>
        <v>P658OD01C1011</v>
      </c>
      <c r="B1176" t="str">
        <f>IFERROR(VLOOKUP($A1176,'[5]Study Budget Mapping '!$O$2:$P$532,2,0),"TBA")</f>
        <v>TBA</v>
      </c>
      <c r="D1176" s="2" t="s">
        <v>248</v>
      </c>
      <c r="E1176" s="2" t="s">
        <v>28</v>
      </c>
      <c r="F1176" s="3">
        <v>737599</v>
      </c>
      <c r="G1176" s="3">
        <v>737599</v>
      </c>
      <c r="H1176" s="4"/>
      <c r="I1176" s="4"/>
      <c r="J1176" s="4"/>
      <c r="K1176" s="4"/>
      <c r="L1176" s="4"/>
      <c r="M1176" s="4"/>
    </row>
    <row r="1177" spans="1:13" ht="15" customHeight="1" x14ac:dyDescent="0.35">
      <c r="A1177" t="str">
        <f t="shared" si="18"/>
        <v>P658OD01C1011</v>
      </c>
      <c r="B1177" t="str">
        <f>IFERROR(VLOOKUP($A1177,'[5]Study Budget Mapping '!$O$2:$P$532,2,0),"TBA")</f>
        <v>TBA</v>
      </c>
      <c r="D1177" s="2" t="s">
        <v>248</v>
      </c>
      <c r="E1177" s="2" t="s">
        <v>23</v>
      </c>
      <c r="F1177" s="3">
        <v>138145</v>
      </c>
      <c r="G1177" s="3">
        <v>138145</v>
      </c>
      <c r="H1177" s="4"/>
      <c r="I1177" s="4"/>
      <c r="J1177" s="4"/>
      <c r="K1177" s="4"/>
      <c r="L1177" s="4"/>
      <c r="M1177" s="4"/>
    </row>
    <row r="1178" spans="1:13" ht="15" customHeight="1" x14ac:dyDescent="0.35">
      <c r="A1178" t="str">
        <f t="shared" si="18"/>
        <v>P658OD01C2611</v>
      </c>
      <c r="B1178" t="str">
        <f>IFERROR(VLOOKUP($A1178,'[5]Study Budget Mapping '!$O$2:$P$532,2,0),"TBA")</f>
        <v>TBA</v>
      </c>
      <c r="D1178" s="2" t="s">
        <v>249</v>
      </c>
      <c r="E1178" s="2" t="s">
        <v>13</v>
      </c>
      <c r="F1178" s="3">
        <v>17190000</v>
      </c>
      <c r="G1178" s="3">
        <v>0</v>
      </c>
      <c r="H1178" s="4"/>
      <c r="I1178" s="4"/>
      <c r="J1178" s="4"/>
      <c r="K1178" s="4"/>
      <c r="L1178" s="4"/>
      <c r="M1178" s="4"/>
    </row>
    <row r="1179" spans="1:13" ht="15" customHeight="1" x14ac:dyDescent="0.35">
      <c r="A1179" t="str">
        <f t="shared" si="18"/>
        <v>P658OD01C2611</v>
      </c>
      <c r="B1179" t="str">
        <f>IFERROR(VLOOKUP($A1179,'[5]Study Budget Mapping '!$O$2:$P$532,2,0),"TBA")</f>
        <v>TBA</v>
      </c>
      <c r="D1179" s="2" t="s">
        <v>249</v>
      </c>
      <c r="E1179" s="2" t="s">
        <v>14</v>
      </c>
      <c r="F1179" s="3">
        <v>744229</v>
      </c>
      <c r="G1179" s="3">
        <v>0</v>
      </c>
      <c r="H1179" s="4"/>
      <c r="I1179" s="4"/>
      <c r="J1179" s="4"/>
      <c r="K1179" s="4"/>
      <c r="L1179" s="4"/>
      <c r="M1179" s="4"/>
    </row>
    <row r="1180" spans="1:13" ht="15" customHeight="1" x14ac:dyDescent="0.35">
      <c r="A1180" t="str">
        <f t="shared" si="18"/>
        <v>P658OD01C2611</v>
      </c>
      <c r="B1180" t="str">
        <f>IFERROR(VLOOKUP($A1180,'[5]Study Budget Mapping '!$O$2:$P$532,2,0),"TBA")</f>
        <v>TBA</v>
      </c>
      <c r="D1180" s="2" t="s">
        <v>249</v>
      </c>
      <c r="E1180" s="2" t="s">
        <v>19</v>
      </c>
      <c r="F1180" s="3">
        <v>556015</v>
      </c>
      <c r="G1180" s="3">
        <v>0</v>
      </c>
      <c r="H1180" s="4"/>
      <c r="I1180" s="4"/>
      <c r="J1180" s="4"/>
      <c r="K1180" s="4"/>
      <c r="L1180" s="4"/>
      <c r="M1180" s="4"/>
    </row>
    <row r="1181" spans="1:13" ht="15" customHeight="1" x14ac:dyDescent="0.35">
      <c r="A1181" t="str">
        <f t="shared" si="18"/>
        <v>P658OD01C2611</v>
      </c>
      <c r="B1181" t="str">
        <f>IFERROR(VLOOKUP($A1181,'[5]Study Budget Mapping '!$O$2:$P$532,2,0),"TBA")</f>
        <v>TBA</v>
      </c>
      <c r="D1181" s="2" t="s">
        <v>249</v>
      </c>
      <c r="E1181" s="2" t="s">
        <v>20</v>
      </c>
      <c r="F1181" s="3">
        <v>2958025</v>
      </c>
      <c r="G1181" s="3">
        <v>0</v>
      </c>
      <c r="H1181" s="4"/>
      <c r="I1181" s="4"/>
      <c r="J1181" s="4"/>
      <c r="K1181" s="4"/>
      <c r="L1181" s="4"/>
      <c r="M1181" s="4"/>
    </row>
    <row r="1182" spans="1:13" ht="15" customHeight="1" x14ac:dyDescent="0.35">
      <c r="A1182" t="str">
        <f t="shared" si="18"/>
        <v>P658OD01C2611</v>
      </c>
      <c r="B1182" t="str">
        <f>IFERROR(VLOOKUP($A1182,'[5]Study Budget Mapping '!$O$2:$P$532,2,0),"TBA")</f>
        <v>TBA</v>
      </c>
      <c r="D1182" s="2" t="s">
        <v>249</v>
      </c>
      <c r="E1182" s="2" t="s">
        <v>15</v>
      </c>
      <c r="F1182" s="3">
        <v>22177037</v>
      </c>
      <c r="G1182" s="3">
        <v>40187709.600000001</v>
      </c>
      <c r="H1182" s="4"/>
      <c r="I1182" s="4"/>
      <c r="J1182" s="4"/>
      <c r="K1182" s="4"/>
      <c r="L1182" s="4"/>
      <c r="M1182" s="4"/>
    </row>
    <row r="1183" spans="1:13" ht="15" customHeight="1" x14ac:dyDescent="0.35">
      <c r="A1183" t="str">
        <f t="shared" si="18"/>
        <v>P658OD01C2611</v>
      </c>
      <c r="B1183" t="str">
        <f>IFERROR(VLOOKUP($A1183,'[5]Study Budget Mapping '!$O$2:$P$532,2,0),"TBA")</f>
        <v>TBA</v>
      </c>
      <c r="D1183" s="2" t="s">
        <v>249</v>
      </c>
      <c r="E1183" s="2" t="s">
        <v>16</v>
      </c>
      <c r="F1183" s="3">
        <v>4306893</v>
      </c>
      <c r="G1183" s="3">
        <v>0</v>
      </c>
      <c r="H1183" s="4"/>
      <c r="I1183" s="4"/>
      <c r="J1183" s="4"/>
      <c r="K1183" s="4"/>
      <c r="L1183" s="4"/>
      <c r="M1183" s="4"/>
    </row>
    <row r="1184" spans="1:13" ht="15" customHeight="1" x14ac:dyDescent="0.35">
      <c r="A1184" t="str">
        <f t="shared" si="18"/>
        <v>P658OD01C2611</v>
      </c>
      <c r="B1184" t="str">
        <f>IFERROR(VLOOKUP($A1184,'[5]Study Budget Mapping '!$O$2:$P$532,2,0),"TBA")</f>
        <v>TBA</v>
      </c>
      <c r="D1184" s="2" t="s">
        <v>249</v>
      </c>
      <c r="E1184" s="2" t="s">
        <v>23</v>
      </c>
      <c r="F1184" s="3">
        <v>50000</v>
      </c>
      <c r="G1184" s="3">
        <v>0</v>
      </c>
      <c r="H1184" s="4"/>
      <c r="I1184" s="4"/>
      <c r="J1184" s="4"/>
      <c r="K1184" s="4"/>
      <c r="L1184" s="4"/>
      <c r="M1184" s="4"/>
    </row>
    <row r="1185" spans="1:13" ht="15" customHeight="1" x14ac:dyDescent="0.35">
      <c r="A1185" t="str">
        <f t="shared" si="18"/>
        <v>P659IM00C1011</v>
      </c>
      <c r="B1185" t="str">
        <f>IFERROR(VLOOKUP($A1185,'[5]Study Budget Mapping '!$O$2:$P$532,2,0),"TBA")</f>
        <v>TBA</v>
      </c>
      <c r="D1185" s="2" t="s">
        <v>250</v>
      </c>
      <c r="E1185" s="2" t="s">
        <v>13</v>
      </c>
      <c r="F1185" s="3">
        <v>1962648</v>
      </c>
      <c r="G1185" s="3">
        <v>0</v>
      </c>
      <c r="H1185" s="4"/>
      <c r="I1185" s="4"/>
      <c r="J1185" s="4"/>
      <c r="K1185" s="4"/>
      <c r="L1185" s="4"/>
      <c r="M1185" s="4"/>
    </row>
    <row r="1186" spans="1:13" ht="15" customHeight="1" x14ac:dyDescent="0.35">
      <c r="A1186" t="str">
        <f t="shared" si="18"/>
        <v>P659IM00C1011</v>
      </c>
      <c r="B1186" t="str">
        <f>IFERROR(VLOOKUP($A1186,'[5]Study Budget Mapping '!$O$2:$P$532,2,0),"TBA")</f>
        <v>TBA</v>
      </c>
      <c r="D1186" s="2" t="s">
        <v>250</v>
      </c>
      <c r="E1186" s="2" t="s">
        <v>14</v>
      </c>
      <c r="F1186" s="3">
        <v>477795</v>
      </c>
      <c r="G1186" s="3">
        <v>0</v>
      </c>
      <c r="H1186" s="4"/>
      <c r="I1186" s="4"/>
      <c r="J1186" s="4"/>
      <c r="K1186" s="4"/>
      <c r="L1186" s="4"/>
      <c r="M1186" s="4"/>
    </row>
    <row r="1187" spans="1:13" ht="15" customHeight="1" x14ac:dyDescent="0.35">
      <c r="A1187" t="str">
        <f t="shared" si="18"/>
        <v>P659IM00C1011</v>
      </c>
      <c r="B1187" t="str">
        <f>IFERROR(VLOOKUP($A1187,'[5]Study Budget Mapping '!$O$2:$P$532,2,0),"TBA")</f>
        <v>TBA</v>
      </c>
      <c r="D1187" s="2" t="s">
        <v>250</v>
      </c>
      <c r="E1187" s="2" t="s">
        <v>19</v>
      </c>
      <c r="F1187" s="3">
        <v>150000</v>
      </c>
      <c r="G1187" s="3">
        <v>0</v>
      </c>
      <c r="H1187" s="4"/>
      <c r="I1187" s="4"/>
      <c r="J1187" s="4"/>
      <c r="K1187" s="4"/>
      <c r="L1187" s="4"/>
      <c r="M1187" s="4"/>
    </row>
    <row r="1188" spans="1:13" ht="15" customHeight="1" x14ac:dyDescent="0.35">
      <c r="A1188" t="str">
        <f t="shared" si="18"/>
        <v>P659IM00C1011</v>
      </c>
      <c r="B1188" t="str">
        <f>IFERROR(VLOOKUP($A1188,'[5]Study Budget Mapping '!$O$2:$P$532,2,0),"TBA")</f>
        <v>TBA</v>
      </c>
      <c r="D1188" s="2" t="s">
        <v>250</v>
      </c>
      <c r="E1188" s="2" t="s">
        <v>15</v>
      </c>
      <c r="F1188" s="3">
        <v>0</v>
      </c>
      <c r="G1188" s="3">
        <v>2715132.46</v>
      </c>
      <c r="H1188" s="4"/>
      <c r="I1188" s="4"/>
      <c r="J1188" s="4"/>
      <c r="K1188" s="4"/>
      <c r="L1188" s="4"/>
      <c r="M1188" s="4"/>
    </row>
    <row r="1189" spans="1:13" ht="15" customHeight="1" x14ac:dyDescent="0.35">
      <c r="A1189" t="str">
        <f t="shared" si="18"/>
        <v>P659IM00C1011</v>
      </c>
      <c r="B1189" t="str">
        <f>IFERROR(VLOOKUP($A1189,'[5]Study Budget Mapping '!$O$2:$P$532,2,0),"TBA")</f>
        <v>TBA</v>
      </c>
      <c r="D1189" s="2" t="s">
        <v>250</v>
      </c>
      <c r="E1189" s="2" t="s">
        <v>23</v>
      </c>
      <c r="F1189" s="3">
        <v>369394</v>
      </c>
      <c r="G1189" s="3">
        <v>0</v>
      </c>
      <c r="H1189" s="4"/>
      <c r="I1189" s="4"/>
      <c r="J1189" s="4"/>
      <c r="K1189" s="4"/>
      <c r="L1189" s="4"/>
      <c r="M1189" s="4"/>
    </row>
    <row r="1190" spans="1:13" ht="15" customHeight="1" x14ac:dyDescent="0.35">
      <c r="A1190" t="str">
        <f t="shared" si="18"/>
        <v>P659IM00C1111</v>
      </c>
      <c r="B1190" t="str">
        <f>IFERROR(VLOOKUP($A1190,'[5]Study Budget Mapping '!$O$2:$P$532,2,0),"TBA")</f>
        <v>TBA</v>
      </c>
      <c r="D1190" s="2" t="s">
        <v>251</v>
      </c>
      <c r="E1190" s="2" t="s">
        <v>13</v>
      </c>
      <c r="F1190" s="3">
        <v>331673</v>
      </c>
      <c r="G1190" s="3">
        <v>0</v>
      </c>
      <c r="H1190" s="4"/>
      <c r="I1190" s="4"/>
      <c r="J1190" s="4"/>
      <c r="K1190" s="4"/>
      <c r="L1190" s="4"/>
      <c r="M1190" s="4"/>
    </row>
    <row r="1191" spans="1:13" ht="15" customHeight="1" x14ac:dyDescent="0.35">
      <c r="A1191" t="str">
        <f t="shared" si="18"/>
        <v>P659IM00C1111</v>
      </c>
      <c r="B1191" t="str">
        <f>IFERROR(VLOOKUP($A1191,'[5]Study Budget Mapping '!$O$2:$P$532,2,0),"TBA")</f>
        <v>TBA</v>
      </c>
      <c r="D1191" s="2" t="s">
        <v>251</v>
      </c>
      <c r="E1191" s="2" t="s">
        <v>14</v>
      </c>
      <c r="F1191" s="3">
        <v>117636</v>
      </c>
      <c r="G1191" s="3">
        <v>0</v>
      </c>
      <c r="H1191" s="4"/>
      <c r="I1191" s="4"/>
      <c r="J1191" s="4"/>
      <c r="K1191" s="4"/>
      <c r="L1191" s="4"/>
      <c r="M1191" s="4"/>
    </row>
    <row r="1192" spans="1:13" ht="15" customHeight="1" x14ac:dyDescent="0.35">
      <c r="A1192" t="str">
        <f t="shared" si="18"/>
        <v>P659IM00C1111</v>
      </c>
      <c r="B1192" t="str">
        <f>IFERROR(VLOOKUP($A1192,'[5]Study Budget Mapping '!$O$2:$P$532,2,0),"TBA")</f>
        <v>TBA</v>
      </c>
      <c r="D1192" s="2" t="s">
        <v>251</v>
      </c>
      <c r="E1192" s="2" t="s">
        <v>31</v>
      </c>
      <c r="F1192" s="3">
        <v>20142</v>
      </c>
      <c r="G1192" s="3">
        <v>0</v>
      </c>
      <c r="H1192" s="4"/>
      <c r="I1192" s="4"/>
      <c r="J1192" s="4"/>
      <c r="K1192" s="4"/>
      <c r="L1192" s="4"/>
      <c r="M1192" s="4"/>
    </row>
    <row r="1193" spans="1:13" ht="15" customHeight="1" x14ac:dyDescent="0.35">
      <c r="A1193" t="str">
        <f t="shared" si="18"/>
        <v>P659IM00C1111</v>
      </c>
      <c r="B1193" t="str">
        <f>IFERROR(VLOOKUP($A1193,'[5]Study Budget Mapping '!$O$2:$P$532,2,0),"TBA")</f>
        <v>TBA</v>
      </c>
      <c r="D1193" s="2" t="s">
        <v>251</v>
      </c>
      <c r="E1193" s="2" t="s">
        <v>15</v>
      </c>
      <c r="F1193" s="3">
        <v>0</v>
      </c>
      <c r="G1193" s="3">
        <v>597072.35000000009</v>
      </c>
      <c r="H1193" s="4"/>
      <c r="I1193" s="4"/>
      <c r="J1193" s="4"/>
      <c r="K1193" s="4"/>
      <c r="L1193" s="4"/>
      <c r="M1193" s="4"/>
    </row>
    <row r="1194" spans="1:13" ht="15" customHeight="1" x14ac:dyDescent="0.35">
      <c r="A1194" t="str">
        <f t="shared" si="18"/>
        <v>P659IM00C1111</v>
      </c>
      <c r="B1194" t="str">
        <f>IFERROR(VLOOKUP($A1194,'[5]Study Budget Mapping '!$O$2:$P$532,2,0),"TBA")</f>
        <v>TBA</v>
      </c>
      <c r="D1194" s="2" t="s">
        <v>251</v>
      </c>
      <c r="E1194" s="2" t="s">
        <v>16</v>
      </c>
      <c r="F1194" s="3">
        <v>5000</v>
      </c>
      <c r="G1194" s="3">
        <v>0</v>
      </c>
      <c r="H1194" s="4"/>
      <c r="I1194" s="4"/>
      <c r="J1194" s="4"/>
      <c r="K1194" s="4"/>
      <c r="L1194" s="4"/>
      <c r="M1194" s="4"/>
    </row>
    <row r="1195" spans="1:13" ht="15" customHeight="1" x14ac:dyDescent="0.35">
      <c r="A1195" t="str">
        <f t="shared" si="18"/>
        <v>P659IM00C1111</v>
      </c>
      <c r="B1195" t="str">
        <f>IFERROR(VLOOKUP($A1195,'[5]Study Budget Mapping '!$O$2:$P$532,2,0),"TBA")</f>
        <v>TBA</v>
      </c>
      <c r="D1195" s="2" t="s">
        <v>251</v>
      </c>
      <c r="E1195" s="2" t="s">
        <v>23</v>
      </c>
      <c r="F1195" s="3">
        <v>161552</v>
      </c>
      <c r="G1195" s="3">
        <v>0</v>
      </c>
      <c r="H1195" s="4"/>
      <c r="I1195" s="4"/>
      <c r="J1195" s="4"/>
      <c r="K1195" s="4"/>
      <c r="L1195" s="4"/>
      <c r="M1195" s="4"/>
    </row>
    <row r="1196" spans="1:13" ht="15" customHeight="1" x14ac:dyDescent="0.35">
      <c r="A1196" t="str">
        <f t="shared" si="18"/>
        <v>P659IM14C1231</v>
      </c>
      <c r="B1196" t="str">
        <f>IFERROR(VLOOKUP($A1196,'[5]Study Budget Mapping '!$O$2:$P$532,2,0),"TBA")</f>
        <v>TBA</v>
      </c>
      <c r="D1196" s="2" t="s">
        <v>252</v>
      </c>
      <c r="E1196" s="2" t="s">
        <v>15</v>
      </c>
      <c r="F1196" s="3">
        <v>0</v>
      </c>
      <c r="G1196" s="3">
        <v>54646352.755021237</v>
      </c>
      <c r="H1196" s="4"/>
      <c r="I1196" s="4"/>
      <c r="J1196" s="4"/>
      <c r="K1196" s="4"/>
      <c r="L1196" s="4"/>
      <c r="M1196" s="4"/>
    </row>
    <row r="1197" spans="1:13" ht="15" customHeight="1" x14ac:dyDescent="0.35">
      <c r="A1197" t="str">
        <f t="shared" si="18"/>
        <v>P659IM14C1231</v>
      </c>
      <c r="B1197" t="str">
        <f>IFERROR(VLOOKUP($A1197,'[5]Study Budget Mapping '!$O$2:$P$532,2,0),"TBA")</f>
        <v>TBA</v>
      </c>
      <c r="D1197" s="2" t="s">
        <v>252</v>
      </c>
      <c r="E1197" s="2" t="s">
        <v>22</v>
      </c>
      <c r="F1197" s="3">
        <v>41341705</v>
      </c>
      <c r="G1197" s="3">
        <v>0</v>
      </c>
      <c r="H1197" s="4"/>
      <c r="I1197" s="4"/>
      <c r="J1197" s="4"/>
      <c r="K1197" s="4"/>
      <c r="L1197" s="4"/>
      <c r="M1197" s="4"/>
    </row>
    <row r="1198" spans="1:13" ht="15" customHeight="1" x14ac:dyDescent="0.35">
      <c r="A1198" t="str">
        <f t="shared" si="18"/>
        <v>P659IM14C1232</v>
      </c>
      <c r="B1198" t="str">
        <f>IFERROR(VLOOKUP($A1198,'[5]Study Budget Mapping '!$O$2:$P$532,2,0),"TBA")</f>
        <v>TBA</v>
      </c>
      <c r="D1198" s="2" t="s">
        <v>253</v>
      </c>
      <c r="E1198" s="2" t="s">
        <v>14</v>
      </c>
      <c r="F1198" s="3">
        <v>11161.21</v>
      </c>
      <c r="G1198" s="3">
        <v>0</v>
      </c>
      <c r="H1198" s="4"/>
      <c r="I1198" s="4"/>
      <c r="J1198" s="4"/>
      <c r="K1198" s="4"/>
      <c r="L1198" s="4"/>
      <c r="M1198" s="4"/>
    </row>
    <row r="1199" spans="1:13" ht="15" customHeight="1" x14ac:dyDescent="0.35">
      <c r="A1199" t="str">
        <f t="shared" si="18"/>
        <v>P659IM14C1232</v>
      </c>
      <c r="B1199" t="str">
        <f>IFERROR(VLOOKUP($A1199,'[5]Study Budget Mapping '!$O$2:$P$532,2,0),"TBA")</f>
        <v>TBA</v>
      </c>
      <c r="D1199" s="2" t="s">
        <v>253</v>
      </c>
      <c r="E1199" s="2" t="s">
        <v>19</v>
      </c>
      <c r="F1199" s="3">
        <v>2051.25</v>
      </c>
      <c r="G1199" s="3">
        <v>0</v>
      </c>
      <c r="H1199" s="4"/>
      <c r="I1199" s="4"/>
      <c r="J1199" s="4"/>
      <c r="K1199" s="4"/>
      <c r="L1199" s="4"/>
      <c r="M1199" s="4"/>
    </row>
    <row r="1200" spans="1:13" ht="15" customHeight="1" x14ac:dyDescent="0.35">
      <c r="A1200" t="str">
        <f t="shared" si="18"/>
        <v>P659IM14C1232</v>
      </c>
      <c r="B1200" t="str">
        <f>IFERROR(VLOOKUP($A1200,'[5]Study Budget Mapping '!$O$2:$P$532,2,0),"TBA")</f>
        <v>TBA</v>
      </c>
      <c r="D1200" s="2" t="s">
        <v>253</v>
      </c>
      <c r="E1200" s="2" t="s">
        <v>15</v>
      </c>
      <c r="F1200" s="3">
        <v>1094615.3</v>
      </c>
      <c r="G1200" s="3">
        <v>1241394.76</v>
      </c>
      <c r="H1200" s="4"/>
      <c r="I1200" s="4"/>
      <c r="J1200" s="4"/>
      <c r="K1200" s="4"/>
      <c r="L1200" s="4"/>
      <c r="M1200" s="4"/>
    </row>
    <row r="1201" spans="1:13" ht="15" customHeight="1" x14ac:dyDescent="0.35">
      <c r="A1201" t="str">
        <f t="shared" si="18"/>
        <v>P659IM14C1232</v>
      </c>
      <c r="B1201" t="str">
        <f>IFERROR(VLOOKUP($A1201,'[5]Study Budget Mapping '!$O$2:$P$532,2,0),"TBA")</f>
        <v>TBA</v>
      </c>
      <c r="D1201" s="2" t="s">
        <v>253</v>
      </c>
      <c r="E1201" s="2" t="s">
        <v>16</v>
      </c>
      <c r="F1201" s="3">
        <v>83040.66</v>
      </c>
      <c r="G1201" s="3">
        <v>0</v>
      </c>
      <c r="H1201" s="4"/>
      <c r="I1201" s="4"/>
      <c r="J1201" s="4"/>
      <c r="K1201" s="4"/>
      <c r="L1201" s="4"/>
      <c r="M1201" s="4"/>
    </row>
    <row r="1202" spans="1:13" ht="15" customHeight="1" x14ac:dyDescent="0.35">
      <c r="A1202" t="str">
        <f t="shared" si="18"/>
        <v>P659IM14C1232</v>
      </c>
      <c r="B1202" t="str">
        <f>IFERROR(VLOOKUP($A1202,'[5]Study Budget Mapping '!$O$2:$P$532,2,0),"TBA")</f>
        <v>TBA</v>
      </c>
      <c r="D1202" s="2" t="s">
        <v>253</v>
      </c>
      <c r="E1202" s="2" t="s">
        <v>17</v>
      </c>
      <c r="F1202" s="3">
        <v>114840</v>
      </c>
      <c r="G1202" s="3">
        <v>0</v>
      </c>
      <c r="H1202" s="4"/>
      <c r="I1202" s="4"/>
      <c r="J1202" s="4"/>
      <c r="K1202" s="4"/>
      <c r="L1202" s="4"/>
      <c r="M1202" s="4"/>
    </row>
    <row r="1203" spans="1:13" ht="15" customHeight="1" x14ac:dyDescent="0.35">
      <c r="A1203" t="str">
        <f t="shared" si="18"/>
        <v>P659IM14C1232</v>
      </c>
      <c r="B1203" t="str">
        <f>IFERROR(VLOOKUP($A1203,'[5]Study Budget Mapping '!$O$2:$P$532,2,0),"TBA")</f>
        <v>TBA</v>
      </c>
      <c r="D1203" s="2" t="s">
        <v>253</v>
      </c>
      <c r="E1203" s="2" t="s">
        <v>23</v>
      </c>
      <c r="F1203" s="3">
        <v>18725</v>
      </c>
      <c r="G1203" s="3">
        <v>0</v>
      </c>
      <c r="H1203" s="4"/>
      <c r="I1203" s="4"/>
      <c r="J1203" s="4"/>
      <c r="K1203" s="4"/>
      <c r="L1203" s="4"/>
      <c r="M1203" s="4"/>
    </row>
    <row r="1204" spans="1:13" ht="15" customHeight="1" x14ac:dyDescent="0.35">
      <c r="A1204" t="str">
        <f t="shared" si="18"/>
        <v>P659IM14C3731</v>
      </c>
      <c r="B1204" t="str">
        <f>IFERROR(VLOOKUP($A1204,'[5]Study Budget Mapping '!$O$2:$P$532,2,0),"TBA")</f>
        <v>TBA</v>
      </c>
      <c r="D1204" s="2" t="s">
        <v>254</v>
      </c>
      <c r="E1204" s="2" t="s">
        <v>15</v>
      </c>
      <c r="F1204" s="3">
        <v>5000000</v>
      </c>
      <c r="G1204" s="3">
        <v>0</v>
      </c>
      <c r="H1204" s="4"/>
      <c r="I1204" s="4"/>
      <c r="J1204" s="4"/>
      <c r="K1204" s="4"/>
      <c r="L1204" s="4"/>
      <c r="M1204" s="4"/>
    </row>
    <row r="1205" spans="1:13" ht="15" customHeight="1" x14ac:dyDescent="0.35">
      <c r="A1205" t="str">
        <f t="shared" si="18"/>
        <v>P660MD01C1611</v>
      </c>
      <c r="B1205" t="str">
        <f>IFERROR(VLOOKUP($A1205,'[5]Study Budget Mapping '!$O$2:$P$532,2,0),"TBA")</f>
        <v>TBA</v>
      </c>
      <c r="D1205" s="2" t="s">
        <v>255</v>
      </c>
      <c r="E1205" s="2" t="s">
        <v>13</v>
      </c>
      <c r="F1205" s="3">
        <v>4731000</v>
      </c>
      <c r="G1205" s="3">
        <v>4731000</v>
      </c>
      <c r="H1205" s="4"/>
      <c r="I1205" s="4"/>
      <c r="J1205" s="4"/>
      <c r="K1205" s="4"/>
      <c r="L1205" s="4"/>
      <c r="M1205" s="4"/>
    </row>
    <row r="1206" spans="1:13" ht="15" customHeight="1" x14ac:dyDescent="0.35">
      <c r="A1206" t="str">
        <f t="shared" si="18"/>
        <v>P660MD01C1611</v>
      </c>
      <c r="B1206" t="str">
        <f>IFERROR(VLOOKUP($A1206,'[5]Study Budget Mapping '!$O$2:$P$532,2,0),"TBA")</f>
        <v>TBA</v>
      </c>
      <c r="D1206" s="2" t="s">
        <v>255</v>
      </c>
      <c r="E1206" s="2" t="s">
        <v>14</v>
      </c>
      <c r="F1206" s="3">
        <v>885000</v>
      </c>
      <c r="G1206" s="3">
        <v>885000</v>
      </c>
      <c r="H1206" s="4"/>
      <c r="I1206" s="4"/>
      <c r="J1206" s="4"/>
      <c r="K1206" s="4"/>
      <c r="L1206" s="4"/>
      <c r="M1206" s="4"/>
    </row>
    <row r="1207" spans="1:13" ht="15" customHeight="1" x14ac:dyDescent="0.35">
      <c r="A1207" t="str">
        <f t="shared" si="18"/>
        <v>P660MD01C1611</v>
      </c>
      <c r="B1207" t="str">
        <f>IFERROR(VLOOKUP($A1207,'[5]Study Budget Mapping '!$O$2:$P$532,2,0),"TBA")</f>
        <v>TBA</v>
      </c>
      <c r="D1207" s="2" t="s">
        <v>255</v>
      </c>
      <c r="E1207" s="2" t="s">
        <v>19</v>
      </c>
      <c r="F1207" s="3">
        <v>34500</v>
      </c>
      <c r="G1207" s="3">
        <v>34500</v>
      </c>
      <c r="H1207" s="4"/>
      <c r="I1207" s="4"/>
      <c r="J1207" s="4"/>
      <c r="K1207" s="4"/>
      <c r="L1207" s="4"/>
      <c r="M1207" s="4"/>
    </row>
    <row r="1208" spans="1:13" ht="15" customHeight="1" x14ac:dyDescent="0.35">
      <c r="A1208" t="str">
        <f t="shared" si="18"/>
        <v>P660MD01C1611</v>
      </c>
      <c r="B1208" t="str">
        <f>IFERROR(VLOOKUP($A1208,'[5]Study Budget Mapping '!$O$2:$P$532,2,0),"TBA")</f>
        <v>TBA</v>
      </c>
      <c r="D1208" s="2" t="s">
        <v>255</v>
      </c>
      <c r="E1208" s="2" t="s">
        <v>20</v>
      </c>
      <c r="F1208" s="3">
        <v>595000</v>
      </c>
      <c r="G1208" s="3">
        <v>595000</v>
      </c>
      <c r="H1208" s="4"/>
      <c r="I1208" s="4"/>
      <c r="J1208" s="4"/>
      <c r="K1208" s="4"/>
      <c r="L1208" s="4"/>
      <c r="M1208" s="4"/>
    </row>
    <row r="1209" spans="1:13" ht="15" customHeight="1" x14ac:dyDescent="0.35">
      <c r="A1209" t="str">
        <f t="shared" si="18"/>
        <v>P660MD01C1611</v>
      </c>
      <c r="B1209" t="str">
        <f>IFERROR(VLOOKUP($A1209,'[5]Study Budget Mapping '!$O$2:$P$532,2,0),"TBA")</f>
        <v>TBA</v>
      </c>
      <c r="D1209" s="2" t="s">
        <v>255</v>
      </c>
      <c r="E1209" s="2" t="s">
        <v>15</v>
      </c>
      <c r="F1209" s="3">
        <v>278000</v>
      </c>
      <c r="G1209" s="3">
        <v>278000</v>
      </c>
      <c r="H1209" s="4"/>
      <c r="I1209" s="4"/>
      <c r="J1209" s="4"/>
      <c r="K1209" s="4"/>
      <c r="L1209" s="4"/>
      <c r="M1209" s="4"/>
    </row>
    <row r="1210" spans="1:13" ht="15" customHeight="1" x14ac:dyDescent="0.35">
      <c r="A1210" t="str">
        <f t="shared" si="18"/>
        <v>P660MD01C1611</v>
      </c>
      <c r="B1210" t="str">
        <f>IFERROR(VLOOKUP($A1210,'[5]Study Budget Mapping '!$O$2:$P$532,2,0),"TBA")</f>
        <v>TBA</v>
      </c>
      <c r="D1210" s="2" t="s">
        <v>255</v>
      </c>
      <c r="E1210" s="2" t="s">
        <v>16</v>
      </c>
      <c r="F1210" s="3">
        <v>340000</v>
      </c>
      <c r="G1210" s="3">
        <v>340000</v>
      </c>
      <c r="H1210" s="4"/>
      <c r="I1210" s="4"/>
      <c r="J1210" s="4"/>
      <c r="K1210" s="4"/>
      <c r="L1210" s="4"/>
      <c r="M1210" s="4"/>
    </row>
    <row r="1211" spans="1:13" ht="15" customHeight="1" x14ac:dyDescent="0.35">
      <c r="A1211" t="str">
        <f t="shared" si="18"/>
        <v>P660MD01C1611</v>
      </c>
      <c r="B1211" t="str">
        <f>IFERROR(VLOOKUP($A1211,'[5]Study Budget Mapping '!$O$2:$P$532,2,0),"TBA")</f>
        <v>TBA</v>
      </c>
      <c r="D1211" s="2" t="s">
        <v>255</v>
      </c>
      <c r="E1211" s="2" t="s">
        <v>17</v>
      </c>
      <c r="F1211" s="3">
        <v>80000</v>
      </c>
      <c r="G1211" s="3">
        <v>80000</v>
      </c>
      <c r="H1211" s="4"/>
      <c r="I1211" s="4"/>
      <c r="J1211" s="4"/>
      <c r="K1211" s="4"/>
      <c r="L1211" s="4"/>
      <c r="M1211" s="4"/>
    </row>
    <row r="1212" spans="1:13" ht="15" customHeight="1" x14ac:dyDescent="0.35">
      <c r="A1212" t="str">
        <f t="shared" si="18"/>
        <v>P660MD01C1611</v>
      </c>
      <c r="B1212" t="str">
        <f>IFERROR(VLOOKUP($A1212,'[5]Study Budget Mapping '!$O$2:$P$532,2,0),"TBA")</f>
        <v>TBA</v>
      </c>
      <c r="D1212" s="2" t="s">
        <v>255</v>
      </c>
      <c r="E1212" s="2" t="s">
        <v>24</v>
      </c>
      <c r="F1212" s="3">
        <v>31000</v>
      </c>
      <c r="G1212" s="3">
        <v>31000</v>
      </c>
      <c r="H1212" s="4"/>
      <c r="I1212" s="4"/>
      <c r="J1212" s="4"/>
      <c r="K1212" s="4"/>
      <c r="L1212" s="4"/>
      <c r="M1212" s="4"/>
    </row>
    <row r="1213" spans="1:13" ht="15" customHeight="1" x14ac:dyDescent="0.35">
      <c r="A1213" t="str">
        <f t="shared" si="18"/>
        <v>P660MD01C2411</v>
      </c>
      <c r="B1213" t="str">
        <f>IFERROR(VLOOKUP($A1213,'[5]Study Budget Mapping '!$O$2:$P$532,2,0),"TBA")</f>
        <v>TBA</v>
      </c>
      <c r="D1213" s="2" t="s">
        <v>256</v>
      </c>
      <c r="E1213" s="2" t="s">
        <v>23</v>
      </c>
      <c r="F1213" s="3">
        <v>5000000</v>
      </c>
      <c r="G1213" s="3">
        <v>5000000</v>
      </c>
      <c r="H1213" s="4"/>
      <c r="I1213" s="4"/>
      <c r="J1213" s="4"/>
      <c r="K1213" s="4"/>
      <c r="L1213" s="4"/>
      <c r="M1213" s="4"/>
    </row>
    <row r="1214" spans="1:13" ht="15" customHeight="1" x14ac:dyDescent="0.35">
      <c r="A1214" t="str">
        <f t="shared" si="18"/>
        <v>P660MD02C2431</v>
      </c>
      <c r="B1214" t="str">
        <f>IFERROR(VLOOKUP($A1214,'[5]Study Budget Mapping '!$O$2:$P$532,2,0),"TBA")</f>
        <v>TBA</v>
      </c>
      <c r="D1214" s="2" t="s">
        <v>257</v>
      </c>
      <c r="E1214" s="2" t="s">
        <v>23</v>
      </c>
      <c r="F1214" s="3">
        <v>5000000</v>
      </c>
      <c r="G1214" s="3">
        <v>5000000</v>
      </c>
      <c r="H1214" s="4"/>
      <c r="I1214" s="4"/>
      <c r="J1214" s="4"/>
      <c r="K1214" s="4"/>
      <c r="L1214" s="4"/>
      <c r="M1214" s="4"/>
    </row>
    <row r="1215" spans="1:13" ht="15" customHeight="1" x14ac:dyDescent="0.35">
      <c r="A1215" t="str">
        <f t="shared" si="18"/>
        <v>P660MD03C2431</v>
      </c>
      <c r="B1215" t="str">
        <f>IFERROR(VLOOKUP($A1215,'[5]Study Budget Mapping '!$O$2:$P$532,2,0),"TBA")</f>
        <v>TBA</v>
      </c>
      <c r="D1215" s="2" t="s">
        <v>258</v>
      </c>
      <c r="E1215" s="2" t="s">
        <v>13</v>
      </c>
      <c r="F1215" s="3">
        <v>3552000</v>
      </c>
      <c r="G1215" s="3">
        <v>3552000</v>
      </c>
      <c r="H1215" s="4"/>
      <c r="I1215" s="4"/>
      <c r="J1215" s="4"/>
      <c r="K1215" s="4"/>
      <c r="L1215" s="4"/>
      <c r="M1215" s="4"/>
    </row>
    <row r="1216" spans="1:13" ht="15" customHeight="1" x14ac:dyDescent="0.35">
      <c r="A1216" t="str">
        <f t="shared" si="18"/>
        <v>P660MD03C2431</v>
      </c>
      <c r="B1216" t="str">
        <f>IFERROR(VLOOKUP($A1216,'[5]Study Budget Mapping '!$O$2:$P$532,2,0),"TBA")</f>
        <v>TBA</v>
      </c>
      <c r="D1216" s="2" t="s">
        <v>258</v>
      </c>
      <c r="E1216" s="2" t="s">
        <v>14</v>
      </c>
      <c r="F1216" s="3">
        <v>833000</v>
      </c>
      <c r="G1216" s="3">
        <v>833000</v>
      </c>
      <c r="H1216" s="4"/>
      <c r="I1216" s="4"/>
      <c r="J1216" s="4"/>
      <c r="K1216" s="4"/>
      <c r="L1216" s="4"/>
      <c r="M1216" s="4"/>
    </row>
    <row r="1217" spans="1:13" ht="15" customHeight="1" x14ac:dyDescent="0.35">
      <c r="A1217" t="str">
        <f t="shared" si="18"/>
        <v>P660MD03C2431</v>
      </c>
      <c r="B1217" t="str">
        <f>IFERROR(VLOOKUP($A1217,'[5]Study Budget Mapping '!$O$2:$P$532,2,0),"TBA")</f>
        <v>TBA</v>
      </c>
      <c r="D1217" s="2" t="s">
        <v>258</v>
      </c>
      <c r="E1217" s="2" t="s">
        <v>19</v>
      </c>
      <c r="F1217" s="3">
        <v>1742000</v>
      </c>
      <c r="G1217" s="3">
        <v>1742000</v>
      </c>
      <c r="H1217" s="4"/>
      <c r="I1217" s="4"/>
      <c r="J1217" s="4"/>
      <c r="K1217" s="4"/>
      <c r="L1217" s="4"/>
      <c r="M1217" s="4"/>
    </row>
    <row r="1218" spans="1:13" ht="15" customHeight="1" x14ac:dyDescent="0.35">
      <c r="A1218" t="str">
        <f t="shared" si="18"/>
        <v>P660MD03C2431</v>
      </c>
      <c r="B1218" t="str">
        <f>IFERROR(VLOOKUP($A1218,'[5]Study Budget Mapping '!$O$2:$P$532,2,0),"TBA")</f>
        <v>TBA</v>
      </c>
      <c r="D1218" s="2" t="s">
        <v>258</v>
      </c>
      <c r="E1218" s="2" t="s">
        <v>20</v>
      </c>
      <c r="F1218" s="3">
        <v>534000</v>
      </c>
      <c r="G1218" s="3">
        <v>534000</v>
      </c>
      <c r="H1218" s="4"/>
      <c r="I1218" s="4"/>
      <c r="J1218" s="4"/>
      <c r="K1218" s="4"/>
      <c r="L1218" s="4"/>
      <c r="M1218" s="4"/>
    </row>
    <row r="1219" spans="1:13" ht="15" customHeight="1" x14ac:dyDescent="0.35">
      <c r="A1219" t="str">
        <f t="shared" ref="A1219:A1282" si="19">TRIM(_xlfn.TEXTBEFORE(D1219,"-",1))</f>
        <v>P660MD03C2431</v>
      </c>
      <c r="B1219" t="str">
        <f>IFERROR(VLOOKUP($A1219,'[5]Study Budget Mapping '!$O$2:$P$532,2,0),"TBA")</f>
        <v>TBA</v>
      </c>
      <c r="D1219" s="2" t="s">
        <v>258</v>
      </c>
      <c r="E1219" s="2" t="s">
        <v>15</v>
      </c>
      <c r="F1219" s="3">
        <v>4187000</v>
      </c>
      <c r="G1219" s="3">
        <v>4187000</v>
      </c>
      <c r="H1219" s="4"/>
      <c r="I1219" s="4"/>
      <c r="J1219" s="4"/>
      <c r="K1219" s="4"/>
      <c r="L1219" s="4"/>
      <c r="M1219" s="4"/>
    </row>
    <row r="1220" spans="1:13" ht="15" customHeight="1" x14ac:dyDescent="0.35">
      <c r="A1220" t="str">
        <f t="shared" si="19"/>
        <v>P660MD03C2431</v>
      </c>
      <c r="B1220" t="str">
        <f>IFERROR(VLOOKUP($A1220,'[5]Study Budget Mapping '!$O$2:$P$532,2,0),"TBA")</f>
        <v>TBA</v>
      </c>
      <c r="D1220" s="2" t="s">
        <v>258</v>
      </c>
      <c r="E1220" s="2" t="s">
        <v>16</v>
      </c>
      <c r="F1220" s="3">
        <v>1652000</v>
      </c>
      <c r="G1220" s="3">
        <v>1652000</v>
      </c>
      <c r="H1220" s="4"/>
      <c r="I1220" s="4"/>
      <c r="J1220" s="4"/>
      <c r="K1220" s="4"/>
      <c r="L1220" s="4"/>
      <c r="M1220" s="4"/>
    </row>
    <row r="1221" spans="1:13" ht="15" customHeight="1" x14ac:dyDescent="0.35">
      <c r="A1221" t="str">
        <f t="shared" si="19"/>
        <v>P660MD03C2431</v>
      </c>
      <c r="B1221" t="str">
        <f>IFERROR(VLOOKUP($A1221,'[5]Study Budget Mapping '!$O$2:$P$532,2,0),"TBA")</f>
        <v>TBA</v>
      </c>
      <c r="D1221" s="2" t="s">
        <v>258</v>
      </c>
      <c r="E1221" s="2" t="s">
        <v>17</v>
      </c>
      <c r="F1221" s="3">
        <v>243000</v>
      </c>
      <c r="G1221" s="3">
        <v>243000</v>
      </c>
      <c r="H1221" s="4"/>
      <c r="I1221" s="4"/>
      <c r="J1221" s="4"/>
      <c r="K1221" s="4"/>
      <c r="L1221" s="4"/>
      <c r="M1221" s="4"/>
    </row>
    <row r="1222" spans="1:13" ht="15" customHeight="1" x14ac:dyDescent="0.35">
      <c r="A1222" t="str">
        <f t="shared" si="19"/>
        <v>P660MD03C2431</v>
      </c>
      <c r="B1222" t="str">
        <f>IFERROR(VLOOKUP($A1222,'[5]Study Budget Mapping '!$O$2:$P$532,2,0),"TBA")</f>
        <v>TBA</v>
      </c>
      <c r="D1222" s="2" t="s">
        <v>258</v>
      </c>
      <c r="E1222" s="2" t="s">
        <v>24</v>
      </c>
      <c r="F1222" s="3">
        <v>790000</v>
      </c>
      <c r="G1222" s="3">
        <v>790000</v>
      </c>
      <c r="H1222" s="4"/>
      <c r="I1222" s="4"/>
      <c r="J1222" s="4"/>
      <c r="K1222" s="4"/>
      <c r="L1222" s="4"/>
      <c r="M1222" s="4"/>
    </row>
    <row r="1223" spans="1:13" ht="15" customHeight="1" x14ac:dyDescent="0.35">
      <c r="A1223" t="str">
        <f t="shared" si="19"/>
        <v>P660SD00C1121</v>
      </c>
      <c r="B1223" t="str">
        <f>IFERROR(VLOOKUP($A1223,'[5]Study Budget Mapping '!$O$2:$P$532,2,0),"TBA")</f>
        <v>TBA</v>
      </c>
      <c r="D1223" s="2" t="s">
        <v>259</v>
      </c>
      <c r="E1223" s="2" t="s">
        <v>13</v>
      </c>
      <c r="F1223" s="3">
        <v>2200000</v>
      </c>
      <c r="G1223" s="3">
        <v>2200000</v>
      </c>
      <c r="H1223" s="4"/>
      <c r="I1223" s="4"/>
      <c r="J1223" s="4"/>
      <c r="K1223" s="4"/>
      <c r="L1223" s="4"/>
      <c r="M1223" s="4"/>
    </row>
    <row r="1224" spans="1:13" ht="15" customHeight="1" x14ac:dyDescent="0.35">
      <c r="A1224" t="str">
        <f t="shared" si="19"/>
        <v>P660SD00C1121</v>
      </c>
      <c r="B1224" t="str">
        <f>IFERROR(VLOOKUP($A1224,'[5]Study Budget Mapping '!$O$2:$P$532,2,0),"TBA")</f>
        <v>TBA</v>
      </c>
      <c r="D1224" s="2" t="s">
        <v>259</v>
      </c>
      <c r="E1224" s="2" t="s">
        <v>14</v>
      </c>
      <c r="F1224" s="3">
        <v>680000</v>
      </c>
      <c r="G1224" s="3">
        <v>680000</v>
      </c>
      <c r="H1224" s="4"/>
      <c r="I1224" s="4"/>
      <c r="J1224" s="4"/>
      <c r="K1224" s="4"/>
      <c r="L1224" s="4"/>
      <c r="M1224" s="4"/>
    </row>
    <row r="1225" spans="1:13" ht="15" customHeight="1" x14ac:dyDescent="0.35">
      <c r="A1225" t="str">
        <f t="shared" si="19"/>
        <v>P660SD00C1121</v>
      </c>
      <c r="B1225" t="str">
        <f>IFERROR(VLOOKUP($A1225,'[5]Study Budget Mapping '!$O$2:$P$532,2,0),"TBA")</f>
        <v>TBA</v>
      </c>
      <c r="D1225" s="2" t="s">
        <v>259</v>
      </c>
      <c r="E1225" s="2" t="s">
        <v>19</v>
      </c>
      <c r="F1225" s="3">
        <v>770000</v>
      </c>
      <c r="G1225" s="3">
        <v>770000</v>
      </c>
      <c r="H1225" s="4"/>
      <c r="I1225" s="4"/>
      <c r="J1225" s="4"/>
      <c r="K1225" s="4"/>
      <c r="L1225" s="4"/>
      <c r="M1225" s="4"/>
    </row>
    <row r="1226" spans="1:13" ht="15" customHeight="1" x14ac:dyDescent="0.35">
      <c r="A1226" t="str">
        <f t="shared" si="19"/>
        <v>P660SD00C1121</v>
      </c>
      <c r="B1226" t="str">
        <f>IFERROR(VLOOKUP($A1226,'[5]Study Budget Mapping '!$O$2:$P$532,2,0),"TBA")</f>
        <v>TBA</v>
      </c>
      <c r="D1226" s="2" t="s">
        <v>259</v>
      </c>
      <c r="E1226" s="2" t="s">
        <v>15</v>
      </c>
      <c r="F1226" s="3">
        <v>934000</v>
      </c>
      <c r="G1226" s="3">
        <v>934000</v>
      </c>
      <c r="H1226" s="4"/>
      <c r="I1226" s="4"/>
      <c r="J1226" s="4"/>
      <c r="K1226" s="4"/>
      <c r="L1226" s="4"/>
      <c r="M1226" s="4"/>
    </row>
    <row r="1227" spans="1:13" ht="15" customHeight="1" x14ac:dyDescent="0.35">
      <c r="A1227" t="str">
        <f t="shared" si="19"/>
        <v>P660SD00C1121</v>
      </c>
      <c r="B1227" t="str">
        <f>IFERROR(VLOOKUP($A1227,'[5]Study Budget Mapping '!$O$2:$P$532,2,0),"TBA")</f>
        <v>TBA</v>
      </c>
      <c r="D1227" s="2" t="s">
        <v>259</v>
      </c>
      <c r="E1227" s="2" t="s">
        <v>22</v>
      </c>
      <c r="F1227" s="3">
        <v>1</v>
      </c>
      <c r="G1227" s="3">
        <v>1</v>
      </c>
      <c r="H1227" s="4"/>
      <c r="I1227" s="4"/>
      <c r="J1227" s="4"/>
      <c r="K1227" s="4"/>
      <c r="L1227" s="4"/>
      <c r="M1227" s="4"/>
    </row>
    <row r="1228" spans="1:13" ht="15" customHeight="1" x14ac:dyDescent="0.35">
      <c r="A1228" t="str">
        <f t="shared" si="19"/>
        <v>P660SD00C1121</v>
      </c>
      <c r="B1228" t="str">
        <f>IFERROR(VLOOKUP($A1228,'[5]Study Budget Mapping '!$O$2:$P$532,2,0),"TBA")</f>
        <v>TBA</v>
      </c>
      <c r="D1228" s="2" t="s">
        <v>259</v>
      </c>
      <c r="E1228" s="2" t="s">
        <v>17</v>
      </c>
      <c r="F1228" s="3">
        <v>130000</v>
      </c>
      <c r="G1228" s="3">
        <v>130000</v>
      </c>
      <c r="H1228" s="4"/>
      <c r="I1228" s="4"/>
      <c r="J1228" s="4"/>
      <c r="K1228" s="4"/>
      <c r="L1228" s="4"/>
      <c r="M1228" s="4"/>
    </row>
    <row r="1229" spans="1:13" ht="15" customHeight="1" x14ac:dyDescent="0.35">
      <c r="A1229" t="str">
        <f t="shared" si="19"/>
        <v>P660SD00C1121</v>
      </c>
      <c r="B1229" t="str">
        <f>IFERROR(VLOOKUP($A1229,'[5]Study Budget Mapping '!$O$2:$P$532,2,0),"TBA")</f>
        <v>TBA</v>
      </c>
      <c r="D1229" s="2" t="s">
        <v>259</v>
      </c>
      <c r="E1229" s="2" t="s">
        <v>24</v>
      </c>
      <c r="F1229" s="3">
        <v>150000</v>
      </c>
      <c r="G1229" s="3">
        <v>150000</v>
      </c>
      <c r="H1229" s="4"/>
      <c r="I1229" s="4"/>
      <c r="J1229" s="4"/>
      <c r="K1229" s="4"/>
      <c r="L1229" s="4"/>
      <c r="M1229" s="4"/>
    </row>
    <row r="1230" spans="1:13" ht="15" customHeight="1" x14ac:dyDescent="0.35">
      <c r="A1230" t="str">
        <f t="shared" si="19"/>
        <v>P660SD01C2431</v>
      </c>
      <c r="B1230" t="str">
        <f>IFERROR(VLOOKUP($A1230,'[5]Study Budget Mapping '!$O$2:$P$532,2,0),"TBA")</f>
        <v>TBA</v>
      </c>
      <c r="D1230" s="2" t="s">
        <v>260</v>
      </c>
      <c r="E1230" s="2" t="s">
        <v>13</v>
      </c>
      <c r="F1230" s="3">
        <v>1923367.4516467201</v>
      </c>
      <c r="G1230" s="3">
        <v>5910000</v>
      </c>
      <c r="H1230" s="4"/>
      <c r="I1230" s="4"/>
      <c r="J1230" s="4"/>
      <c r="K1230" s="4"/>
      <c r="L1230" s="4"/>
      <c r="M1230" s="4"/>
    </row>
    <row r="1231" spans="1:13" ht="15" customHeight="1" x14ac:dyDescent="0.35">
      <c r="A1231" t="str">
        <f t="shared" si="19"/>
        <v>P660SD01C2431</v>
      </c>
      <c r="B1231" t="str">
        <f>IFERROR(VLOOKUP($A1231,'[5]Study Budget Mapping '!$O$2:$P$532,2,0),"TBA")</f>
        <v>TBA</v>
      </c>
      <c r="D1231" s="2" t="s">
        <v>260</v>
      </c>
      <c r="E1231" s="2" t="s">
        <v>14</v>
      </c>
      <c r="F1231" s="3">
        <v>497432.74349999998</v>
      </c>
      <c r="G1231" s="3">
        <v>710000</v>
      </c>
      <c r="H1231" s="4"/>
      <c r="I1231" s="4"/>
      <c r="J1231" s="4"/>
      <c r="K1231" s="4"/>
      <c r="L1231" s="4"/>
      <c r="M1231" s="4"/>
    </row>
    <row r="1232" spans="1:13" ht="15" customHeight="1" x14ac:dyDescent="0.35">
      <c r="A1232" t="str">
        <f t="shared" si="19"/>
        <v>P660SD01C2431</v>
      </c>
      <c r="B1232" t="str">
        <f>IFERROR(VLOOKUP($A1232,'[5]Study Budget Mapping '!$O$2:$P$532,2,0),"TBA")</f>
        <v>TBA</v>
      </c>
      <c r="D1232" s="2" t="s">
        <v>260</v>
      </c>
      <c r="E1232" s="2" t="s">
        <v>19</v>
      </c>
      <c r="F1232" s="3">
        <v>573303.75</v>
      </c>
      <c r="G1232" s="3">
        <v>950000</v>
      </c>
      <c r="H1232" s="4"/>
      <c r="I1232" s="4"/>
      <c r="J1232" s="4"/>
      <c r="K1232" s="4"/>
      <c r="L1232" s="4"/>
      <c r="M1232" s="4"/>
    </row>
    <row r="1233" spans="1:13" ht="15" customHeight="1" x14ac:dyDescent="0.35">
      <c r="A1233" t="str">
        <f t="shared" si="19"/>
        <v>P660SD01C2431</v>
      </c>
      <c r="B1233" t="str">
        <f>IFERROR(VLOOKUP($A1233,'[5]Study Budget Mapping '!$O$2:$P$532,2,0),"TBA")</f>
        <v>TBA</v>
      </c>
      <c r="D1233" s="2" t="s">
        <v>260</v>
      </c>
      <c r="E1233" s="2" t="s">
        <v>15</v>
      </c>
      <c r="F1233" s="3">
        <v>5678511.7842333801</v>
      </c>
      <c r="G1233" s="3">
        <v>10590000</v>
      </c>
      <c r="H1233" s="4"/>
      <c r="I1233" s="4"/>
      <c r="J1233" s="4"/>
      <c r="K1233" s="4"/>
      <c r="L1233" s="4"/>
      <c r="M1233" s="4"/>
    </row>
    <row r="1234" spans="1:13" ht="15" customHeight="1" x14ac:dyDescent="0.35">
      <c r="A1234" t="str">
        <f t="shared" si="19"/>
        <v>P660SD01C2431</v>
      </c>
      <c r="B1234" t="str">
        <f>IFERROR(VLOOKUP($A1234,'[5]Study Budget Mapping '!$O$2:$P$532,2,0),"TBA")</f>
        <v>TBA</v>
      </c>
      <c r="D1234" s="2" t="s">
        <v>260</v>
      </c>
      <c r="E1234" s="2" t="s">
        <v>16</v>
      </c>
      <c r="F1234" s="3">
        <v>8331641.0099999998</v>
      </c>
      <c r="G1234" s="3">
        <v>9530000</v>
      </c>
      <c r="H1234" s="4"/>
      <c r="I1234" s="4"/>
      <c r="J1234" s="4"/>
      <c r="K1234" s="4"/>
      <c r="L1234" s="4"/>
      <c r="M1234" s="4"/>
    </row>
    <row r="1235" spans="1:13" ht="15" customHeight="1" x14ac:dyDescent="0.35">
      <c r="A1235" t="str">
        <f t="shared" si="19"/>
        <v>P660SD01C2431</v>
      </c>
      <c r="B1235" t="str">
        <f>IFERROR(VLOOKUP($A1235,'[5]Study Budget Mapping '!$O$2:$P$532,2,0),"TBA")</f>
        <v>TBA</v>
      </c>
      <c r="D1235" s="2" t="s">
        <v>260</v>
      </c>
      <c r="E1235" s="2" t="s">
        <v>17</v>
      </c>
      <c r="F1235" s="3">
        <v>194802</v>
      </c>
      <c r="G1235" s="3">
        <v>540000</v>
      </c>
      <c r="H1235" s="4"/>
      <c r="I1235" s="4"/>
      <c r="J1235" s="4"/>
      <c r="K1235" s="4"/>
      <c r="L1235" s="4"/>
      <c r="M1235" s="4"/>
    </row>
    <row r="1236" spans="1:13" ht="15" customHeight="1" x14ac:dyDescent="0.35">
      <c r="A1236" t="str">
        <f t="shared" si="19"/>
        <v>P660SD01C2431</v>
      </c>
      <c r="B1236" t="str">
        <f>IFERROR(VLOOKUP($A1236,'[5]Study Budget Mapping '!$O$2:$P$532,2,0),"TBA")</f>
        <v>TBA</v>
      </c>
      <c r="D1236" s="2" t="s">
        <v>260</v>
      </c>
      <c r="E1236" s="2" t="s">
        <v>23</v>
      </c>
      <c r="F1236" s="3">
        <v>299520.09999999998</v>
      </c>
      <c r="G1236" s="3">
        <v>510000</v>
      </c>
      <c r="H1236" s="4"/>
      <c r="I1236" s="4"/>
      <c r="J1236" s="4"/>
      <c r="K1236" s="4"/>
      <c r="L1236" s="4"/>
      <c r="M1236" s="4"/>
    </row>
    <row r="1237" spans="1:13" ht="15" customHeight="1" x14ac:dyDescent="0.35">
      <c r="A1237" t="str">
        <f t="shared" si="19"/>
        <v>P660SD01C2431</v>
      </c>
      <c r="B1237" t="str">
        <f>IFERROR(VLOOKUP($A1237,'[5]Study Budget Mapping '!$O$2:$P$532,2,0),"TBA")</f>
        <v>TBA</v>
      </c>
      <c r="D1237" s="2" t="s">
        <v>260</v>
      </c>
      <c r="E1237" s="2" t="s">
        <v>24</v>
      </c>
      <c r="F1237" s="3">
        <v>560935</v>
      </c>
      <c r="G1237" s="3">
        <v>720000</v>
      </c>
      <c r="H1237" s="4"/>
      <c r="I1237" s="4"/>
      <c r="J1237" s="4"/>
      <c r="K1237" s="4"/>
      <c r="L1237" s="4"/>
      <c r="M1237" s="4"/>
    </row>
    <row r="1238" spans="1:13" ht="15" customHeight="1" x14ac:dyDescent="0.35">
      <c r="A1238" t="str">
        <f t="shared" si="19"/>
        <v>P660SD01C2431</v>
      </c>
      <c r="B1238" t="str">
        <f>IFERROR(VLOOKUP($A1238,'[5]Study Budget Mapping '!$O$2:$P$532,2,0),"TBA")</f>
        <v>TBA</v>
      </c>
      <c r="D1238" s="2" t="s">
        <v>260</v>
      </c>
      <c r="E1238" s="2" t="s">
        <v>32</v>
      </c>
      <c r="F1238" s="3">
        <v>161992.16</v>
      </c>
      <c r="G1238" s="3">
        <v>20000</v>
      </c>
      <c r="H1238" s="4"/>
      <c r="I1238" s="4"/>
      <c r="J1238" s="4"/>
      <c r="K1238" s="4"/>
      <c r="L1238" s="4"/>
      <c r="M1238" s="4"/>
    </row>
    <row r="1239" spans="1:13" ht="15" customHeight="1" x14ac:dyDescent="0.35">
      <c r="A1239" t="str">
        <f t="shared" si="19"/>
        <v>P660SD01C3921</v>
      </c>
      <c r="B1239" t="str">
        <f>IFERROR(VLOOKUP($A1239,'[5]Study Budget Mapping '!$O$2:$P$532,2,0),"TBA")</f>
        <v>TBA</v>
      </c>
      <c r="D1239" s="2" t="s">
        <v>261</v>
      </c>
      <c r="E1239" s="2" t="s">
        <v>13</v>
      </c>
      <c r="F1239" s="3">
        <v>1230000</v>
      </c>
      <c r="G1239" s="3">
        <v>1230000</v>
      </c>
      <c r="H1239" s="4"/>
      <c r="I1239" s="4"/>
      <c r="J1239" s="4"/>
      <c r="K1239" s="4"/>
      <c r="L1239" s="4"/>
      <c r="M1239" s="4"/>
    </row>
    <row r="1240" spans="1:13" ht="15" customHeight="1" x14ac:dyDescent="0.35">
      <c r="A1240" t="str">
        <f t="shared" si="19"/>
        <v>P660SD01C3921</v>
      </c>
      <c r="B1240" t="str">
        <f>IFERROR(VLOOKUP($A1240,'[5]Study Budget Mapping '!$O$2:$P$532,2,0),"TBA")</f>
        <v>TBA</v>
      </c>
      <c r="D1240" s="2" t="s">
        <v>261</v>
      </c>
      <c r="E1240" s="2" t="s">
        <v>14</v>
      </c>
      <c r="F1240" s="3">
        <v>220000</v>
      </c>
      <c r="G1240" s="3">
        <v>220000</v>
      </c>
      <c r="H1240" s="4"/>
      <c r="I1240" s="4"/>
      <c r="J1240" s="4"/>
      <c r="K1240" s="4"/>
      <c r="L1240" s="4"/>
      <c r="M1240" s="4"/>
    </row>
    <row r="1241" spans="1:13" ht="15" customHeight="1" x14ac:dyDescent="0.35">
      <c r="A1241" t="str">
        <f t="shared" si="19"/>
        <v>P660SD01C3921</v>
      </c>
      <c r="B1241" t="str">
        <f>IFERROR(VLOOKUP($A1241,'[5]Study Budget Mapping '!$O$2:$P$532,2,0),"TBA")</f>
        <v>TBA</v>
      </c>
      <c r="D1241" s="2" t="s">
        <v>261</v>
      </c>
      <c r="E1241" s="2" t="s">
        <v>19</v>
      </c>
      <c r="F1241" s="3">
        <v>290000</v>
      </c>
      <c r="G1241" s="3">
        <v>290000</v>
      </c>
      <c r="H1241" s="4"/>
      <c r="I1241" s="4"/>
      <c r="J1241" s="4"/>
      <c r="K1241" s="4"/>
      <c r="L1241" s="4"/>
      <c r="M1241" s="4"/>
    </row>
    <row r="1242" spans="1:13" ht="15" customHeight="1" x14ac:dyDescent="0.35">
      <c r="A1242" t="str">
        <f t="shared" si="19"/>
        <v>P660SD01C3921</v>
      </c>
      <c r="B1242" t="str">
        <f>IFERROR(VLOOKUP($A1242,'[5]Study Budget Mapping '!$O$2:$P$532,2,0),"TBA")</f>
        <v>TBA</v>
      </c>
      <c r="D1242" s="2" t="s">
        <v>261</v>
      </c>
      <c r="E1242" s="2" t="s">
        <v>20</v>
      </c>
      <c r="F1242" s="3">
        <v>210000</v>
      </c>
      <c r="G1242" s="3">
        <v>210000</v>
      </c>
      <c r="H1242" s="4"/>
      <c r="I1242" s="4"/>
      <c r="J1242" s="4"/>
      <c r="K1242" s="4"/>
      <c r="L1242" s="4"/>
      <c r="M1242" s="4"/>
    </row>
    <row r="1243" spans="1:13" ht="15" customHeight="1" x14ac:dyDescent="0.35">
      <c r="A1243" t="str">
        <f t="shared" si="19"/>
        <v>P660SD01C3921</v>
      </c>
      <c r="B1243" t="str">
        <f>IFERROR(VLOOKUP($A1243,'[5]Study Budget Mapping '!$O$2:$P$532,2,0),"TBA")</f>
        <v>TBA</v>
      </c>
      <c r="D1243" s="2" t="s">
        <v>261</v>
      </c>
      <c r="E1243" s="2" t="s">
        <v>31</v>
      </c>
      <c r="F1243" s="3">
        <v>10000</v>
      </c>
      <c r="G1243" s="3">
        <v>10000</v>
      </c>
      <c r="H1243" s="4"/>
      <c r="I1243" s="4"/>
      <c r="J1243" s="4"/>
      <c r="K1243" s="4"/>
      <c r="L1243" s="4"/>
      <c r="M1243" s="4"/>
    </row>
    <row r="1244" spans="1:13" ht="15" customHeight="1" x14ac:dyDescent="0.35">
      <c r="A1244" t="str">
        <f t="shared" si="19"/>
        <v>P660SD01C3921</v>
      </c>
      <c r="B1244" t="str">
        <f>IFERROR(VLOOKUP($A1244,'[5]Study Budget Mapping '!$O$2:$P$532,2,0),"TBA")</f>
        <v>TBA</v>
      </c>
      <c r="D1244" s="2" t="s">
        <v>261</v>
      </c>
      <c r="E1244" s="2" t="s">
        <v>15</v>
      </c>
      <c r="F1244" s="3">
        <v>2700000</v>
      </c>
      <c r="G1244" s="3">
        <v>2700000</v>
      </c>
      <c r="H1244" s="4"/>
      <c r="I1244" s="4"/>
      <c r="J1244" s="4"/>
      <c r="K1244" s="4"/>
      <c r="L1244" s="4"/>
      <c r="M1244" s="4"/>
    </row>
    <row r="1245" spans="1:13" ht="15" customHeight="1" x14ac:dyDescent="0.35">
      <c r="A1245" t="str">
        <f t="shared" si="19"/>
        <v>P660SD01C3921</v>
      </c>
      <c r="B1245" t="str">
        <f>IFERROR(VLOOKUP($A1245,'[5]Study Budget Mapping '!$O$2:$P$532,2,0),"TBA")</f>
        <v>TBA</v>
      </c>
      <c r="D1245" s="2" t="s">
        <v>261</v>
      </c>
      <c r="E1245" s="2" t="s">
        <v>16</v>
      </c>
      <c r="F1245" s="3">
        <v>1550000</v>
      </c>
      <c r="G1245" s="3">
        <v>1550000</v>
      </c>
      <c r="H1245" s="4"/>
      <c r="I1245" s="4"/>
      <c r="J1245" s="4"/>
      <c r="K1245" s="4"/>
      <c r="L1245" s="4"/>
      <c r="M1245" s="4"/>
    </row>
    <row r="1246" spans="1:13" ht="15" customHeight="1" x14ac:dyDescent="0.35">
      <c r="A1246" t="str">
        <f t="shared" si="19"/>
        <v>P660SD01C3921</v>
      </c>
      <c r="B1246" t="str">
        <f>IFERROR(VLOOKUP($A1246,'[5]Study Budget Mapping '!$O$2:$P$532,2,0),"TBA")</f>
        <v>TBA</v>
      </c>
      <c r="D1246" s="2" t="s">
        <v>261</v>
      </c>
      <c r="E1246" s="2" t="s">
        <v>17</v>
      </c>
      <c r="F1246" s="3">
        <v>230000</v>
      </c>
      <c r="G1246" s="3">
        <v>230000</v>
      </c>
      <c r="H1246" s="4"/>
      <c r="I1246" s="4"/>
      <c r="J1246" s="4"/>
      <c r="K1246" s="4"/>
      <c r="L1246" s="4"/>
      <c r="M1246" s="4"/>
    </row>
    <row r="1247" spans="1:13" ht="15" customHeight="1" x14ac:dyDescent="0.35">
      <c r="A1247" t="str">
        <f t="shared" si="19"/>
        <v>P660SD01C3921</v>
      </c>
      <c r="B1247" t="str">
        <f>IFERROR(VLOOKUP($A1247,'[5]Study Budget Mapping '!$O$2:$P$532,2,0),"TBA")</f>
        <v>TBA</v>
      </c>
      <c r="D1247" s="2" t="s">
        <v>261</v>
      </c>
      <c r="E1247" s="2" t="s">
        <v>23</v>
      </c>
      <c r="F1247" s="3">
        <v>100000</v>
      </c>
      <c r="G1247" s="3">
        <v>100000</v>
      </c>
      <c r="H1247" s="4"/>
      <c r="I1247" s="4"/>
      <c r="J1247" s="4"/>
      <c r="K1247" s="4"/>
      <c r="L1247" s="4"/>
      <c r="M1247" s="4"/>
    </row>
    <row r="1248" spans="1:13" ht="15" customHeight="1" x14ac:dyDescent="0.35">
      <c r="A1248" t="str">
        <f t="shared" si="19"/>
        <v>P660SD01C3921</v>
      </c>
      <c r="B1248" t="str">
        <f>IFERROR(VLOOKUP($A1248,'[5]Study Budget Mapping '!$O$2:$P$532,2,0),"TBA")</f>
        <v>TBA</v>
      </c>
      <c r="D1248" s="2" t="s">
        <v>261</v>
      </c>
      <c r="E1248" s="2" t="s">
        <v>24</v>
      </c>
      <c r="F1248" s="3">
        <v>130000</v>
      </c>
      <c r="G1248" s="3">
        <v>130000</v>
      </c>
      <c r="H1248" s="4"/>
      <c r="I1248" s="4"/>
      <c r="J1248" s="4"/>
      <c r="K1248" s="4"/>
      <c r="L1248" s="4"/>
      <c r="M1248" s="4"/>
    </row>
    <row r="1249" spans="1:13" ht="15" customHeight="1" x14ac:dyDescent="0.35">
      <c r="A1249" t="str">
        <f t="shared" si="19"/>
        <v>P660SD01C3931</v>
      </c>
      <c r="B1249" t="str">
        <f>IFERROR(VLOOKUP($A1249,'[5]Study Budget Mapping '!$O$2:$P$532,2,0),"TBA")</f>
        <v>TBA</v>
      </c>
      <c r="D1249" s="2" t="s">
        <v>262</v>
      </c>
      <c r="E1249" s="2" t="s">
        <v>15</v>
      </c>
      <c r="F1249" s="3">
        <v>5000000</v>
      </c>
      <c r="G1249" s="3">
        <v>5000000</v>
      </c>
      <c r="H1249" s="4"/>
      <c r="I1249" s="4"/>
      <c r="J1249" s="4"/>
      <c r="K1249" s="4"/>
      <c r="L1249" s="4"/>
      <c r="M1249" s="4"/>
    </row>
    <row r="1250" spans="1:13" ht="15" customHeight="1" x14ac:dyDescent="0.35">
      <c r="A1250" t="str">
        <f t="shared" si="19"/>
        <v>P660SD00C1011</v>
      </c>
      <c r="B1250" t="str">
        <f>IFERROR(VLOOKUP($A1250,'[5]Study Budget Mapping '!$O$2:$P$532,2,0),"TBA")</f>
        <v>TBA</v>
      </c>
      <c r="D1250" s="2" t="s">
        <v>263</v>
      </c>
      <c r="E1250" s="2" t="s">
        <v>13</v>
      </c>
      <c r="F1250" s="3">
        <v>707182.59699999995</v>
      </c>
      <c r="G1250" s="3">
        <v>0</v>
      </c>
      <c r="H1250" s="4"/>
      <c r="I1250" s="4"/>
      <c r="J1250" s="4"/>
      <c r="K1250" s="4"/>
      <c r="L1250" s="4"/>
      <c r="M1250" s="4"/>
    </row>
    <row r="1251" spans="1:13" ht="15" customHeight="1" x14ac:dyDescent="0.35">
      <c r="A1251" t="str">
        <f t="shared" si="19"/>
        <v>P660SD00C1011</v>
      </c>
      <c r="B1251" t="str">
        <f>IFERROR(VLOOKUP($A1251,'[5]Study Budget Mapping '!$O$2:$P$532,2,0),"TBA")</f>
        <v>TBA</v>
      </c>
      <c r="D1251" s="2" t="s">
        <v>263</v>
      </c>
      <c r="E1251" s="2" t="s">
        <v>14</v>
      </c>
      <c r="F1251" s="3">
        <v>457075.99729000003</v>
      </c>
      <c r="G1251" s="3">
        <v>0</v>
      </c>
      <c r="H1251" s="4"/>
      <c r="I1251" s="4"/>
      <c r="J1251" s="4"/>
      <c r="K1251" s="4"/>
      <c r="L1251" s="4"/>
      <c r="M1251" s="4"/>
    </row>
    <row r="1252" spans="1:13" ht="15" customHeight="1" x14ac:dyDescent="0.35">
      <c r="A1252" t="str">
        <f t="shared" si="19"/>
        <v>P660SD00C1011</v>
      </c>
      <c r="B1252" t="str">
        <f>IFERROR(VLOOKUP($A1252,'[5]Study Budget Mapping '!$O$2:$P$532,2,0),"TBA")</f>
        <v>TBA</v>
      </c>
      <c r="D1252" s="2" t="s">
        <v>263</v>
      </c>
      <c r="E1252" s="2" t="s">
        <v>15</v>
      </c>
      <c r="F1252" s="3">
        <v>0</v>
      </c>
      <c r="G1252" s="3">
        <v>1555876.2188677851</v>
      </c>
      <c r="H1252" s="4"/>
      <c r="I1252" s="4"/>
      <c r="J1252" s="4"/>
      <c r="K1252" s="4"/>
      <c r="L1252" s="4"/>
      <c r="M1252" s="4"/>
    </row>
    <row r="1253" spans="1:13" ht="15" customHeight="1" x14ac:dyDescent="0.35">
      <c r="A1253" t="str">
        <f t="shared" si="19"/>
        <v>P660SD00C1011</v>
      </c>
      <c r="B1253" t="str">
        <f>IFERROR(VLOOKUP($A1253,'[5]Study Budget Mapping '!$O$2:$P$532,2,0),"TBA")</f>
        <v>TBA</v>
      </c>
      <c r="D1253" s="2" t="s">
        <v>263</v>
      </c>
      <c r="E1253" s="2" t="s">
        <v>17</v>
      </c>
      <c r="F1253" s="3">
        <v>168300</v>
      </c>
      <c r="G1253" s="3">
        <v>0</v>
      </c>
      <c r="H1253" s="4"/>
      <c r="I1253" s="4"/>
      <c r="J1253" s="4"/>
      <c r="K1253" s="4"/>
      <c r="L1253" s="4"/>
      <c r="M1253" s="4"/>
    </row>
    <row r="1254" spans="1:13" ht="15" customHeight="1" x14ac:dyDescent="0.35">
      <c r="A1254" t="str">
        <f t="shared" si="19"/>
        <v>P660SD00C1011</v>
      </c>
      <c r="B1254" t="str">
        <f>IFERROR(VLOOKUP($A1254,'[5]Study Budget Mapping '!$O$2:$P$532,2,0),"TBA")</f>
        <v>TBA</v>
      </c>
      <c r="D1254" s="2" t="s">
        <v>263</v>
      </c>
      <c r="E1254" s="2" t="s">
        <v>23</v>
      </c>
      <c r="F1254" s="3">
        <v>226876.25076005401</v>
      </c>
      <c r="G1254" s="3">
        <v>0</v>
      </c>
      <c r="H1254" s="4"/>
      <c r="I1254" s="4"/>
      <c r="J1254" s="4"/>
      <c r="K1254" s="4"/>
      <c r="L1254" s="4"/>
      <c r="M1254" s="4"/>
    </row>
    <row r="1255" spans="1:13" ht="15" customHeight="1" x14ac:dyDescent="0.35">
      <c r="A1255" t="str">
        <f t="shared" si="19"/>
        <v>P660SD00C1011</v>
      </c>
      <c r="B1255" t="str">
        <f>IFERROR(VLOOKUP($A1255,'[5]Study Budget Mapping '!$O$2:$P$532,2,0),"TBA")</f>
        <v>TBA</v>
      </c>
      <c r="D1255" s="2" t="s">
        <v>263</v>
      </c>
      <c r="E1255" s="2" t="s">
        <v>32</v>
      </c>
      <c r="F1255" s="3">
        <v>24200</v>
      </c>
      <c r="G1255" s="3">
        <v>0</v>
      </c>
      <c r="H1255" s="4"/>
      <c r="I1255" s="4"/>
      <c r="J1255" s="4"/>
      <c r="K1255" s="4"/>
      <c r="L1255" s="4"/>
      <c r="M1255" s="4"/>
    </row>
    <row r="1256" spans="1:13" ht="15" customHeight="1" x14ac:dyDescent="0.35">
      <c r="A1256" t="str">
        <f t="shared" si="19"/>
        <v>P660SD01C4011</v>
      </c>
      <c r="B1256" t="str">
        <f>IFERROR(VLOOKUP($A1256,'[5]Study Budget Mapping '!$O$2:$P$532,2,0),"TBA")</f>
        <v>TBA</v>
      </c>
      <c r="D1256" s="2" t="s">
        <v>264</v>
      </c>
      <c r="E1256" s="2" t="s">
        <v>15</v>
      </c>
      <c r="F1256" s="3">
        <v>1000000</v>
      </c>
      <c r="G1256" s="3">
        <v>1000000</v>
      </c>
      <c r="H1256" s="4"/>
      <c r="I1256" s="4"/>
      <c r="J1256" s="4"/>
      <c r="K1256" s="4"/>
      <c r="L1256" s="4"/>
      <c r="M1256" s="4"/>
    </row>
    <row r="1257" spans="1:13" ht="15" customHeight="1" x14ac:dyDescent="0.35">
      <c r="A1257" t="str">
        <f t="shared" si="19"/>
        <v>P660SD01C3731</v>
      </c>
      <c r="B1257" t="str">
        <f>IFERROR(VLOOKUP($A1257,'[5]Study Budget Mapping '!$O$2:$P$532,2,0),"TBA")</f>
        <v>TBA</v>
      </c>
      <c r="D1257" s="2" t="s">
        <v>265</v>
      </c>
      <c r="E1257" s="2" t="s">
        <v>13</v>
      </c>
      <c r="F1257" s="3">
        <v>4210000</v>
      </c>
      <c r="G1257" s="3">
        <v>5910000</v>
      </c>
      <c r="H1257" s="4"/>
      <c r="I1257" s="4"/>
      <c r="J1257" s="4"/>
      <c r="K1257" s="4"/>
      <c r="L1257" s="4"/>
      <c r="M1257" s="4"/>
    </row>
    <row r="1258" spans="1:13" ht="15" customHeight="1" x14ac:dyDescent="0.35">
      <c r="A1258" t="str">
        <f t="shared" si="19"/>
        <v>P660SD01C3731</v>
      </c>
      <c r="B1258" t="str">
        <f>IFERROR(VLOOKUP($A1258,'[5]Study Budget Mapping '!$O$2:$P$532,2,0),"TBA")</f>
        <v>TBA</v>
      </c>
      <c r="D1258" s="2" t="s">
        <v>265</v>
      </c>
      <c r="E1258" s="2" t="s">
        <v>14</v>
      </c>
      <c r="F1258" s="3">
        <v>1370000</v>
      </c>
      <c r="G1258" s="3">
        <v>2720000</v>
      </c>
      <c r="H1258" s="4"/>
      <c r="I1258" s="4"/>
      <c r="J1258" s="4"/>
      <c r="K1258" s="4"/>
      <c r="L1258" s="4"/>
      <c r="M1258" s="4"/>
    </row>
    <row r="1259" spans="1:13" ht="15" customHeight="1" x14ac:dyDescent="0.35">
      <c r="A1259" t="str">
        <f t="shared" si="19"/>
        <v>P660SD01C3731</v>
      </c>
      <c r="B1259" t="str">
        <f>IFERROR(VLOOKUP($A1259,'[5]Study Budget Mapping '!$O$2:$P$532,2,0),"TBA")</f>
        <v>TBA</v>
      </c>
      <c r="D1259" s="2" t="s">
        <v>265</v>
      </c>
      <c r="E1259" s="2" t="s">
        <v>19</v>
      </c>
      <c r="F1259" s="3">
        <v>4870000</v>
      </c>
      <c r="G1259" s="3">
        <v>7050000</v>
      </c>
      <c r="H1259" s="4"/>
      <c r="I1259" s="4"/>
      <c r="J1259" s="4"/>
      <c r="K1259" s="4"/>
      <c r="L1259" s="4"/>
      <c r="M1259" s="4"/>
    </row>
    <row r="1260" spans="1:13" ht="15" customHeight="1" x14ac:dyDescent="0.35">
      <c r="A1260" t="str">
        <f t="shared" si="19"/>
        <v>P660SD01C3731</v>
      </c>
      <c r="B1260" t="str">
        <f>IFERROR(VLOOKUP($A1260,'[5]Study Budget Mapping '!$O$2:$P$532,2,0),"TBA")</f>
        <v>TBA</v>
      </c>
      <c r="D1260" s="2" t="s">
        <v>265</v>
      </c>
      <c r="E1260" s="2" t="s">
        <v>20</v>
      </c>
      <c r="F1260" s="3">
        <v>0</v>
      </c>
      <c r="G1260" s="3">
        <v>970000</v>
      </c>
      <c r="H1260" s="4"/>
      <c r="I1260" s="4"/>
      <c r="J1260" s="4"/>
      <c r="K1260" s="4"/>
      <c r="L1260" s="4"/>
      <c r="M1260" s="4"/>
    </row>
    <row r="1261" spans="1:13" ht="15" customHeight="1" x14ac:dyDescent="0.35">
      <c r="A1261" t="str">
        <f t="shared" si="19"/>
        <v>P660SD01C3731</v>
      </c>
      <c r="B1261" t="str">
        <f>IFERROR(VLOOKUP($A1261,'[5]Study Budget Mapping '!$O$2:$P$532,2,0),"TBA")</f>
        <v>TBA</v>
      </c>
      <c r="D1261" s="2" t="s">
        <v>265</v>
      </c>
      <c r="E1261" s="2" t="s">
        <v>31</v>
      </c>
      <c r="F1261" s="3">
        <v>0</v>
      </c>
      <c r="G1261" s="3">
        <v>60000</v>
      </c>
      <c r="H1261" s="4"/>
      <c r="I1261" s="4"/>
      <c r="J1261" s="4"/>
      <c r="K1261" s="4"/>
      <c r="L1261" s="4"/>
      <c r="M1261" s="4"/>
    </row>
    <row r="1262" spans="1:13" ht="15" customHeight="1" x14ac:dyDescent="0.35">
      <c r="A1262" t="str">
        <f t="shared" si="19"/>
        <v>P660SD01C3731</v>
      </c>
      <c r="B1262" t="str">
        <f>IFERROR(VLOOKUP($A1262,'[5]Study Budget Mapping '!$O$2:$P$532,2,0),"TBA")</f>
        <v>TBA</v>
      </c>
      <c r="D1262" s="2" t="s">
        <v>265</v>
      </c>
      <c r="E1262" s="2" t="s">
        <v>15</v>
      </c>
      <c r="F1262" s="3">
        <v>16600000</v>
      </c>
      <c r="G1262" s="3">
        <v>17290000</v>
      </c>
      <c r="H1262" s="4"/>
      <c r="I1262" s="4"/>
      <c r="J1262" s="4"/>
      <c r="K1262" s="4"/>
      <c r="L1262" s="4"/>
      <c r="M1262" s="4"/>
    </row>
    <row r="1263" spans="1:13" ht="15" customHeight="1" x14ac:dyDescent="0.35">
      <c r="A1263" t="str">
        <f t="shared" si="19"/>
        <v>P660SD01C3731</v>
      </c>
      <c r="B1263" t="str">
        <f>IFERROR(VLOOKUP($A1263,'[5]Study Budget Mapping '!$O$2:$P$532,2,0),"TBA")</f>
        <v>TBA</v>
      </c>
      <c r="D1263" s="2" t="s">
        <v>265</v>
      </c>
      <c r="E1263" s="2" t="s">
        <v>22</v>
      </c>
      <c r="F1263" s="3">
        <v>935000</v>
      </c>
      <c r="G1263" s="3">
        <v>1500000</v>
      </c>
      <c r="H1263" s="4"/>
      <c r="I1263" s="4"/>
      <c r="J1263" s="4"/>
      <c r="K1263" s="4"/>
      <c r="L1263" s="4"/>
      <c r="M1263" s="4"/>
    </row>
    <row r="1264" spans="1:13" ht="15" customHeight="1" x14ac:dyDescent="0.35">
      <c r="A1264" t="str">
        <f t="shared" si="19"/>
        <v>P660SD01C3731</v>
      </c>
      <c r="B1264" t="str">
        <f>IFERROR(VLOOKUP($A1264,'[5]Study Budget Mapping '!$O$2:$P$532,2,0),"TBA")</f>
        <v>TBA</v>
      </c>
      <c r="D1264" s="2" t="s">
        <v>265</v>
      </c>
      <c r="E1264" s="2" t="s">
        <v>17</v>
      </c>
      <c r="F1264" s="3">
        <v>440000</v>
      </c>
      <c r="G1264" s="3">
        <v>700000</v>
      </c>
      <c r="H1264" s="4"/>
      <c r="I1264" s="4"/>
      <c r="J1264" s="4"/>
      <c r="K1264" s="4"/>
      <c r="L1264" s="4"/>
      <c r="M1264" s="4"/>
    </row>
    <row r="1265" spans="1:13" ht="15" customHeight="1" x14ac:dyDescent="0.35">
      <c r="A1265" t="str">
        <f t="shared" si="19"/>
        <v>P660SD01C3731</v>
      </c>
      <c r="B1265" t="str">
        <f>IFERROR(VLOOKUP($A1265,'[5]Study Budget Mapping '!$O$2:$P$532,2,0),"TBA")</f>
        <v>TBA</v>
      </c>
      <c r="D1265" s="2" t="s">
        <v>265</v>
      </c>
      <c r="E1265" s="2" t="s">
        <v>23</v>
      </c>
      <c r="F1265" s="3">
        <v>770000</v>
      </c>
      <c r="G1265" s="3">
        <v>920000</v>
      </c>
      <c r="H1265" s="4"/>
      <c r="I1265" s="4"/>
      <c r="J1265" s="4"/>
      <c r="K1265" s="4"/>
      <c r="L1265" s="4"/>
      <c r="M1265" s="4"/>
    </row>
    <row r="1266" spans="1:13" ht="15" customHeight="1" x14ac:dyDescent="0.35">
      <c r="A1266" t="str">
        <f t="shared" si="19"/>
        <v>P660SD01C3731</v>
      </c>
      <c r="B1266" t="str">
        <f>IFERROR(VLOOKUP($A1266,'[5]Study Budget Mapping '!$O$2:$P$532,2,0),"TBA")</f>
        <v>TBA</v>
      </c>
      <c r="D1266" s="2" t="s">
        <v>265</v>
      </c>
      <c r="E1266" s="2" t="s">
        <v>24</v>
      </c>
      <c r="F1266" s="3">
        <v>2110000</v>
      </c>
      <c r="G1266" s="3">
        <v>3150000</v>
      </c>
      <c r="H1266" s="4"/>
      <c r="I1266" s="4"/>
      <c r="J1266" s="4"/>
      <c r="K1266" s="4"/>
      <c r="L1266" s="4"/>
      <c r="M1266" s="4"/>
    </row>
    <row r="1267" spans="1:13" ht="15" customHeight="1" x14ac:dyDescent="0.35">
      <c r="A1267" t="str">
        <f t="shared" si="19"/>
        <v>P660SD01C3731</v>
      </c>
      <c r="B1267" t="str">
        <f>IFERROR(VLOOKUP($A1267,'[5]Study Budget Mapping '!$O$2:$P$532,2,0),"TBA")</f>
        <v>TBA</v>
      </c>
      <c r="D1267" s="2" t="s">
        <v>265</v>
      </c>
      <c r="E1267" s="2" t="s">
        <v>32</v>
      </c>
      <c r="F1267" s="3">
        <v>3700000</v>
      </c>
      <c r="G1267" s="3">
        <v>3850000</v>
      </c>
      <c r="H1267" s="4"/>
      <c r="I1267" s="4"/>
      <c r="J1267" s="4"/>
      <c r="K1267" s="4"/>
      <c r="L1267" s="4"/>
      <c r="M1267" s="4"/>
    </row>
    <row r="1268" spans="1:13" ht="15" customHeight="1" x14ac:dyDescent="0.35">
      <c r="A1268" t="str">
        <f t="shared" si="19"/>
        <v>P660SD01C3932</v>
      </c>
      <c r="B1268" t="str">
        <f>IFERROR(VLOOKUP($A1268,'[5]Study Budget Mapping '!$O$2:$P$532,2,0),"TBA")</f>
        <v>TBA</v>
      </c>
      <c r="D1268" s="2" t="s">
        <v>266</v>
      </c>
      <c r="E1268" s="2" t="s">
        <v>13</v>
      </c>
      <c r="F1268" s="3">
        <v>2800000</v>
      </c>
      <c r="G1268" s="3">
        <v>2800000</v>
      </c>
      <c r="H1268" s="4"/>
      <c r="I1268" s="4"/>
      <c r="J1268" s="4"/>
      <c r="K1268" s="4"/>
      <c r="L1268" s="4"/>
      <c r="M1268" s="4"/>
    </row>
    <row r="1269" spans="1:13" ht="15" customHeight="1" x14ac:dyDescent="0.35">
      <c r="A1269" t="str">
        <f t="shared" si="19"/>
        <v>P660SD01C3932</v>
      </c>
      <c r="B1269" t="str">
        <f>IFERROR(VLOOKUP($A1269,'[5]Study Budget Mapping '!$O$2:$P$532,2,0),"TBA")</f>
        <v>TBA</v>
      </c>
      <c r="D1269" s="2" t="s">
        <v>266</v>
      </c>
      <c r="E1269" s="2" t="s">
        <v>14</v>
      </c>
      <c r="F1269" s="3">
        <v>1080000</v>
      </c>
      <c r="G1269" s="3">
        <v>1080000</v>
      </c>
      <c r="H1269" s="4"/>
      <c r="I1269" s="4"/>
      <c r="J1269" s="4"/>
      <c r="K1269" s="4"/>
      <c r="L1269" s="4"/>
      <c r="M1269" s="4"/>
    </row>
    <row r="1270" spans="1:13" ht="15" customHeight="1" x14ac:dyDescent="0.35">
      <c r="A1270" t="str">
        <f t="shared" si="19"/>
        <v>P660SD01C3932</v>
      </c>
      <c r="B1270" t="str">
        <f>IFERROR(VLOOKUP($A1270,'[5]Study Budget Mapping '!$O$2:$P$532,2,0),"TBA")</f>
        <v>TBA</v>
      </c>
      <c r="D1270" s="2" t="s">
        <v>266</v>
      </c>
      <c r="E1270" s="2" t="s">
        <v>19</v>
      </c>
      <c r="F1270" s="3">
        <v>2590000</v>
      </c>
      <c r="G1270" s="3">
        <v>2590000</v>
      </c>
      <c r="H1270" s="4"/>
      <c r="I1270" s="4"/>
      <c r="J1270" s="4"/>
      <c r="K1270" s="4"/>
      <c r="L1270" s="4"/>
      <c r="M1270" s="4"/>
    </row>
    <row r="1271" spans="1:13" ht="15" customHeight="1" x14ac:dyDescent="0.35">
      <c r="A1271" t="str">
        <f t="shared" si="19"/>
        <v>P660SD01C3932</v>
      </c>
      <c r="B1271" t="str">
        <f>IFERROR(VLOOKUP($A1271,'[5]Study Budget Mapping '!$O$2:$P$532,2,0),"TBA")</f>
        <v>TBA</v>
      </c>
      <c r="D1271" s="2" t="s">
        <v>266</v>
      </c>
      <c r="E1271" s="2" t="s">
        <v>20</v>
      </c>
      <c r="F1271" s="3">
        <v>770000</v>
      </c>
      <c r="G1271" s="3">
        <v>770000</v>
      </c>
      <c r="H1271" s="4"/>
      <c r="I1271" s="4"/>
      <c r="J1271" s="4"/>
      <c r="K1271" s="4"/>
      <c r="L1271" s="4"/>
      <c r="M1271" s="4"/>
    </row>
    <row r="1272" spans="1:13" ht="15" customHeight="1" x14ac:dyDescent="0.35">
      <c r="A1272" t="str">
        <f t="shared" si="19"/>
        <v>P660SD01C3932</v>
      </c>
      <c r="B1272" t="str">
        <f>IFERROR(VLOOKUP($A1272,'[5]Study Budget Mapping '!$O$2:$P$532,2,0),"TBA")</f>
        <v>TBA</v>
      </c>
      <c r="D1272" s="2" t="s">
        <v>266</v>
      </c>
      <c r="E1272" s="2" t="s">
        <v>31</v>
      </c>
      <c r="F1272" s="3">
        <v>80000</v>
      </c>
      <c r="G1272" s="3">
        <v>80000</v>
      </c>
      <c r="H1272" s="4"/>
      <c r="I1272" s="4"/>
      <c r="J1272" s="4"/>
      <c r="K1272" s="4"/>
      <c r="L1272" s="4"/>
      <c r="M1272" s="4"/>
    </row>
    <row r="1273" spans="1:13" ht="15" customHeight="1" x14ac:dyDescent="0.35">
      <c r="A1273" t="str">
        <f t="shared" si="19"/>
        <v>P660SD01C3932</v>
      </c>
      <c r="B1273" t="str">
        <f>IFERROR(VLOOKUP($A1273,'[5]Study Budget Mapping '!$O$2:$P$532,2,0),"TBA")</f>
        <v>TBA</v>
      </c>
      <c r="D1273" s="2" t="s">
        <v>266</v>
      </c>
      <c r="E1273" s="2" t="s">
        <v>15</v>
      </c>
      <c r="F1273" s="3">
        <v>4820000</v>
      </c>
      <c r="G1273" s="3">
        <v>4820000</v>
      </c>
      <c r="H1273" s="4"/>
      <c r="I1273" s="4"/>
      <c r="J1273" s="4"/>
      <c r="K1273" s="4"/>
      <c r="L1273" s="4"/>
      <c r="M1273" s="4"/>
    </row>
    <row r="1274" spans="1:13" ht="15" customHeight="1" x14ac:dyDescent="0.35">
      <c r="A1274" t="str">
        <f t="shared" si="19"/>
        <v>P660SD01C3932</v>
      </c>
      <c r="B1274" t="str">
        <f>IFERROR(VLOOKUP($A1274,'[5]Study Budget Mapping '!$O$2:$P$532,2,0),"TBA")</f>
        <v>TBA</v>
      </c>
      <c r="D1274" s="2" t="s">
        <v>266</v>
      </c>
      <c r="E1274" s="2" t="s">
        <v>22</v>
      </c>
      <c r="F1274" s="3">
        <v>1840000</v>
      </c>
      <c r="G1274" s="3">
        <v>1840000</v>
      </c>
      <c r="H1274" s="4"/>
      <c r="I1274" s="4"/>
      <c r="J1274" s="4"/>
      <c r="K1274" s="4"/>
      <c r="L1274" s="4"/>
      <c r="M1274" s="4"/>
    </row>
    <row r="1275" spans="1:13" ht="15" customHeight="1" x14ac:dyDescent="0.35">
      <c r="A1275" t="str">
        <f t="shared" si="19"/>
        <v>P660SD01C3932</v>
      </c>
      <c r="B1275" t="str">
        <f>IFERROR(VLOOKUP($A1275,'[5]Study Budget Mapping '!$O$2:$P$532,2,0),"TBA")</f>
        <v>TBA</v>
      </c>
      <c r="D1275" s="2" t="s">
        <v>266</v>
      </c>
      <c r="E1275" s="2" t="s">
        <v>16</v>
      </c>
      <c r="F1275" s="3">
        <v>1110000</v>
      </c>
      <c r="G1275" s="3">
        <v>1110000</v>
      </c>
      <c r="H1275" s="4"/>
      <c r="I1275" s="4"/>
      <c r="J1275" s="4"/>
      <c r="K1275" s="4"/>
      <c r="L1275" s="4"/>
      <c r="M1275" s="4"/>
    </row>
    <row r="1276" spans="1:13" ht="15" customHeight="1" x14ac:dyDescent="0.35">
      <c r="A1276" t="str">
        <f t="shared" si="19"/>
        <v>P660SD01C3932</v>
      </c>
      <c r="B1276" t="str">
        <f>IFERROR(VLOOKUP($A1276,'[5]Study Budget Mapping '!$O$2:$P$532,2,0),"TBA")</f>
        <v>TBA</v>
      </c>
      <c r="D1276" s="2" t="s">
        <v>266</v>
      </c>
      <c r="E1276" s="2" t="s">
        <v>17</v>
      </c>
      <c r="F1276" s="3">
        <v>400000</v>
      </c>
      <c r="G1276" s="3">
        <v>400000</v>
      </c>
      <c r="H1276" s="4"/>
      <c r="I1276" s="4"/>
      <c r="J1276" s="4"/>
      <c r="K1276" s="4"/>
      <c r="L1276" s="4"/>
      <c r="M1276" s="4"/>
    </row>
    <row r="1277" spans="1:13" ht="15" customHeight="1" x14ac:dyDescent="0.35">
      <c r="A1277" t="str">
        <f t="shared" si="19"/>
        <v>P660SD01C3932</v>
      </c>
      <c r="B1277" t="str">
        <f>IFERROR(VLOOKUP($A1277,'[5]Study Budget Mapping '!$O$2:$P$532,2,0),"TBA")</f>
        <v>TBA</v>
      </c>
      <c r="D1277" s="2" t="s">
        <v>266</v>
      </c>
      <c r="E1277" s="2" t="s">
        <v>23</v>
      </c>
      <c r="F1277" s="3">
        <v>780000</v>
      </c>
      <c r="G1277" s="3">
        <v>780000</v>
      </c>
      <c r="H1277" s="4"/>
      <c r="I1277" s="4"/>
      <c r="J1277" s="4"/>
      <c r="K1277" s="4"/>
      <c r="L1277" s="4"/>
      <c r="M1277" s="4"/>
    </row>
    <row r="1278" spans="1:13" ht="15" customHeight="1" x14ac:dyDescent="0.35">
      <c r="A1278" t="str">
        <f t="shared" si="19"/>
        <v>P660SD01C3932</v>
      </c>
      <c r="B1278" t="str">
        <f>IFERROR(VLOOKUP($A1278,'[5]Study Budget Mapping '!$O$2:$P$532,2,0),"TBA")</f>
        <v>TBA</v>
      </c>
      <c r="D1278" s="2" t="s">
        <v>266</v>
      </c>
      <c r="E1278" s="2" t="s">
        <v>24</v>
      </c>
      <c r="F1278" s="3">
        <v>690000</v>
      </c>
      <c r="G1278" s="3">
        <v>690000</v>
      </c>
      <c r="H1278" s="4"/>
      <c r="I1278" s="4"/>
      <c r="J1278" s="4"/>
      <c r="K1278" s="4"/>
      <c r="L1278" s="4"/>
      <c r="M1278" s="4"/>
    </row>
    <row r="1279" spans="1:13" ht="15" customHeight="1" x14ac:dyDescent="0.35">
      <c r="A1279" t="str">
        <f t="shared" si="19"/>
        <v>P660SD01C3932</v>
      </c>
      <c r="B1279" t="str">
        <f>IFERROR(VLOOKUP($A1279,'[5]Study Budget Mapping '!$O$2:$P$532,2,0),"TBA")</f>
        <v>TBA</v>
      </c>
      <c r="D1279" s="2" t="s">
        <v>266</v>
      </c>
      <c r="E1279" s="2" t="s">
        <v>32</v>
      </c>
      <c r="F1279" s="3">
        <v>50000</v>
      </c>
      <c r="G1279" s="3">
        <v>50000</v>
      </c>
      <c r="H1279" s="4"/>
      <c r="I1279" s="4"/>
      <c r="J1279" s="4"/>
      <c r="K1279" s="4"/>
      <c r="L1279" s="4"/>
      <c r="M1279" s="4"/>
    </row>
    <row r="1280" spans="1:13" ht="15" customHeight="1" x14ac:dyDescent="0.35">
      <c r="A1280" t="str">
        <f t="shared" si="19"/>
        <v>P660MD05C1211</v>
      </c>
      <c r="B1280" t="str">
        <f>IFERROR(VLOOKUP($A1280,'[5]Study Budget Mapping '!$O$2:$P$532,2,0),"TBA")</f>
        <v>TBA</v>
      </c>
      <c r="D1280" s="2" t="s">
        <v>267</v>
      </c>
      <c r="E1280" s="2" t="s">
        <v>15</v>
      </c>
      <c r="F1280" s="3">
        <v>1000000</v>
      </c>
      <c r="G1280" s="3">
        <v>1000000</v>
      </c>
      <c r="H1280" s="4"/>
      <c r="I1280" s="4"/>
      <c r="J1280" s="4"/>
      <c r="K1280" s="4"/>
      <c r="L1280" s="4"/>
      <c r="M1280" s="4"/>
    </row>
    <row r="1281" spans="1:13" ht="15" customHeight="1" x14ac:dyDescent="0.35">
      <c r="A1281" t="str">
        <f t="shared" si="19"/>
        <v>P662ST05C1011</v>
      </c>
      <c r="B1281" t="str">
        <f>IFERROR(VLOOKUP($A1281,'[5]Study Budget Mapping '!$O$2:$P$532,2,0),"TBA")</f>
        <v>TBA</v>
      </c>
      <c r="D1281" s="2" t="s">
        <v>268</v>
      </c>
      <c r="E1281" s="2" t="s">
        <v>13</v>
      </c>
      <c r="F1281" s="3">
        <v>6676250</v>
      </c>
      <c r="G1281" s="3">
        <v>70496252</v>
      </c>
      <c r="H1281" s="4"/>
      <c r="I1281" s="4"/>
      <c r="J1281" s="4"/>
      <c r="K1281" s="4"/>
      <c r="L1281" s="4"/>
      <c r="M1281" s="4"/>
    </row>
    <row r="1282" spans="1:13" ht="15" customHeight="1" x14ac:dyDescent="0.35">
      <c r="A1282" t="str">
        <f t="shared" si="19"/>
        <v>P662ST05C1011</v>
      </c>
      <c r="B1282" t="str">
        <f>IFERROR(VLOOKUP($A1282,'[5]Study Budget Mapping '!$O$2:$P$532,2,0),"TBA")</f>
        <v>TBA</v>
      </c>
      <c r="D1282" s="2" t="s">
        <v>268</v>
      </c>
      <c r="E1282" s="2" t="s">
        <v>14</v>
      </c>
      <c r="F1282" s="3">
        <v>2281512</v>
      </c>
      <c r="G1282" s="3">
        <v>8881491.5</v>
      </c>
      <c r="H1282" s="4"/>
      <c r="I1282" s="4"/>
      <c r="J1282" s="4"/>
      <c r="K1282" s="4"/>
      <c r="L1282" s="4"/>
      <c r="M1282" s="4"/>
    </row>
    <row r="1283" spans="1:13" ht="15" customHeight="1" x14ac:dyDescent="0.35">
      <c r="A1283" t="str">
        <f t="shared" ref="A1283:A1346" si="20">TRIM(_xlfn.TEXTBEFORE(D1283,"-",1))</f>
        <v>P662ST05C1011</v>
      </c>
      <c r="B1283" t="str">
        <f>IFERROR(VLOOKUP($A1283,'[5]Study Budget Mapping '!$O$2:$P$532,2,0),"TBA")</f>
        <v>TBA</v>
      </c>
      <c r="D1283" s="2" t="s">
        <v>268</v>
      </c>
      <c r="E1283" s="2" t="s">
        <v>19</v>
      </c>
      <c r="F1283" s="3">
        <v>131163</v>
      </c>
      <c r="G1283" s="3">
        <v>1350000</v>
      </c>
      <c r="H1283" s="4"/>
      <c r="I1283" s="4"/>
      <c r="J1283" s="4"/>
      <c r="K1283" s="4"/>
      <c r="L1283" s="4"/>
      <c r="M1283" s="4"/>
    </row>
    <row r="1284" spans="1:13" ht="15" customHeight="1" x14ac:dyDescent="0.35">
      <c r="A1284" t="str">
        <f t="shared" si="20"/>
        <v>P662ST05C1011</v>
      </c>
      <c r="B1284" t="str">
        <f>IFERROR(VLOOKUP($A1284,'[5]Study Budget Mapping '!$O$2:$P$532,2,0),"TBA")</f>
        <v>TBA</v>
      </c>
      <c r="D1284" s="2" t="s">
        <v>268</v>
      </c>
      <c r="E1284" s="2" t="s">
        <v>20</v>
      </c>
      <c r="F1284" s="3">
        <v>0</v>
      </c>
      <c r="G1284" s="3">
        <v>2445510</v>
      </c>
      <c r="H1284" s="4"/>
      <c r="I1284" s="4"/>
      <c r="J1284" s="4"/>
      <c r="K1284" s="4"/>
      <c r="L1284" s="4"/>
      <c r="M1284" s="4"/>
    </row>
    <row r="1285" spans="1:13" ht="15" customHeight="1" x14ac:dyDescent="0.35">
      <c r="A1285" t="str">
        <f t="shared" si="20"/>
        <v>P662ST05C1011</v>
      </c>
      <c r="B1285" t="str">
        <f>IFERROR(VLOOKUP($A1285,'[5]Study Budget Mapping '!$O$2:$P$532,2,0),"TBA")</f>
        <v>TBA</v>
      </c>
      <c r="D1285" s="2" t="s">
        <v>268</v>
      </c>
      <c r="E1285" s="2" t="s">
        <v>15</v>
      </c>
      <c r="F1285" s="3">
        <v>1727238</v>
      </c>
      <c r="G1285" s="3">
        <v>35968051.352311291</v>
      </c>
      <c r="H1285" s="4"/>
      <c r="I1285" s="4"/>
      <c r="J1285" s="4"/>
      <c r="K1285" s="4"/>
      <c r="L1285" s="4"/>
      <c r="M1285" s="4"/>
    </row>
    <row r="1286" spans="1:13" ht="15" customHeight="1" x14ac:dyDescent="0.35">
      <c r="A1286" t="str">
        <f t="shared" si="20"/>
        <v>P662ST05C1011</v>
      </c>
      <c r="B1286" t="str">
        <f>IFERROR(VLOOKUP($A1286,'[5]Study Budget Mapping '!$O$2:$P$532,2,0),"TBA")</f>
        <v>TBA</v>
      </c>
      <c r="D1286" s="2" t="s">
        <v>268</v>
      </c>
      <c r="E1286" s="2" t="s">
        <v>16</v>
      </c>
      <c r="F1286" s="3">
        <v>1149471</v>
      </c>
      <c r="G1286" s="3">
        <v>3391376.5489583071</v>
      </c>
      <c r="H1286" s="4"/>
      <c r="I1286" s="4"/>
      <c r="J1286" s="4"/>
      <c r="K1286" s="4"/>
      <c r="L1286" s="4"/>
      <c r="M1286" s="4"/>
    </row>
    <row r="1287" spans="1:13" ht="15" customHeight="1" x14ac:dyDescent="0.35">
      <c r="A1287" t="str">
        <f t="shared" si="20"/>
        <v>P662ST05C1011</v>
      </c>
      <c r="B1287" t="str">
        <f>IFERROR(VLOOKUP($A1287,'[5]Study Budget Mapping '!$O$2:$P$532,2,0),"TBA")</f>
        <v>TBA</v>
      </c>
      <c r="D1287" s="2" t="s">
        <v>268</v>
      </c>
      <c r="E1287" s="2" t="s">
        <v>17</v>
      </c>
      <c r="F1287" s="3">
        <v>0</v>
      </c>
      <c r="G1287" s="3">
        <v>461733</v>
      </c>
      <c r="H1287" s="4"/>
      <c r="I1287" s="4"/>
      <c r="J1287" s="4"/>
      <c r="K1287" s="4"/>
      <c r="L1287" s="4"/>
      <c r="M1287" s="4"/>
    </row>
    <row r="1288" spans="1:13" ht="15" customHeight="1" x14ac:dyDescent="0.35">
      <c r="A1288" t="str">
        <f t="shared" si="20"/>
        <v>P662ST05C1011</v>
      </c>
      <c r="B1288" t="str">
        <f>IFERROR(VLOOKUP($A1288,'[5]Study Budget Mapping '!$O$2:$P$532,2,0),"TBA")</f>
        <v>TBA</v>
      </c>
      <c r="D1288" s="2" t="s">
        <v>268</v>
      </c>
      <c r="E1288" s="2" t="s">
        <v>28</v>
      </c>
      <c r="F1288" s="3">
        <v>1323754</v>
      </c>
      <c r="G1288" s="3">
        <v>0</v>
      </c>
      <c r="H1288" s="4"/>
      <c r="I1288" s="4"/>
      <c r="J1288" s="4"/>
      <c r="K1288" s="4"/>
      <c r="L1288" s="4"/>
      <c r="M1288" s="4"/>
    </row>
    <row r="1289" spans="1:13" ht="15" customHeight="1" x14ac:dyDescent="0.35">
      <c r="A1289" t="str">
        <f t="shared" si="20"/>
        <v>P662ST05C1011</v>
      </c>
      <c r="B1289" t="str">
        <f>IFERROR(VLOOKUP($A1289,'[5]Study Budget Mapping '!$O$2:$P$532,2,0),"TBA")</f>
        <v>TBA</v>
      </c>
      <c r="D1289" s="2" t="s">
        <v>268</v>
      </c>
      <c r="E1289" s="2" t="s">
        <v>24</v>
      </c>
      <c r="F1289" s="3">
        <v>0</v>
      </c>
      <c r="G1289" s="3">
        <v>3507448.56</v>
      </c>
      <c r="H1289" s="4"/>
      <c r="I1289" s="4"/>
      <c r="J1289" s="4"/>
      <c r="K1289" s="4"/>
      <c r="L1289" s="4"/>
      <c r="M1289" s="4"/>
    </row>
    <row r="1290" spans="1:13" ht="15" customHeight="1" x14ac:dyDescent="0.35">
      <c r="A1290" t="str">
        <f t="shared" si="20"/>
        <v>P662ST05C1011</v>
      </c>
      <c r="B1290" t="str">
        <f>IFERROR(VLOOKUP($A1290,'[5]Study Budget Mapping '!$O$2:$P$532,2,0),"TBA")</f>
        <v>TBA</v>
      </c>
      <c r="D1290" s="2" t="s">
        <v>268</v>
      </c>
      <c r="E1290" s="2" t="s">
        <v>32</v>
      </c>
      <c r="F1290" s="3">
        <v>0</v>
      </c>
      <c r="G1290" s="3">
        <v>4398137.2</v>
      </c>
      <c r="H1290" s="4"/>
      <c r="I1290" s="4"/>
      <c r="J1290" s="4"/>
      <c r="K1290" s="4"/>
      <c r="L1290" s="4"/>
      <c r="M1290" s="4"/>
    </row>
    <row r="1291" spans="1:13" ht="15" customHeight="1" x14ac:dyDescent="0.35">
      <c r="A1291" t="str">
        <f t="shared" si="20"/>
        <v>P662ST05C1231</v>
      </c>
      <c r="B1291" t="str">
        <f>IFERROR(VLOOKUP($A1291,'[5]Study Budget Mapping '!$O$2:$P$532,2,0),"TBA")</f>
        <v>TBA</v>
      </c>
      <c r="D1291" s="2" t="s">
        <v>269</v>
      </c>
      <c r="E1291" s="2" t="s">
        <v>13</v>
      </c>
      <c r="F1291" s="3">
        <v>19379108</v>
      </c>
      <c r="G1291" s="3">
        <v>14805000</v>
      </c>
      <c r="H1291" s="4"/>
      <c r="I1291" s="4"/>
      <c r="J1291" s="4"/>
      <c r="K1291" s="4"/>
      <c r="L1291" s="4"/>
      <c r="M1291" s="4"/>
    </row>
    <row r="1292" spans="1:13" ht="15" customHeight="1" x14ac:dyDescent="0.35">
      <c r="A1292" t="str">
        <f t="shared" si="20"/>
        <v>P662ST05C1231</v>
      </c>
      <c r="B1292" t="str">
        <f>IFERROR(VLOOKUP($A1292,'[5]Study Budget Mapping '!$O$2:$P$532,2,0),"TBA")</f>
        <v>TBA</v>
      </c>
      <c r="D1292" s="2" t="s">
        <v>269</v>
      </c>
      <c r="E1292" s="2" t="s">
        <v>14</v>
      </c>
      <c r="F1292" s="3">
        <v>5427204</v>
      </c>
      <c r="G1292" s="3">
        <v>4830000</v>
      </c>
      <c r="H1292" s="4"/>
      <c r="I1292" s="4"/>
      <c r="J1292" s="4"/>
      <c r="K1292" s="4"/>
      <c r="L1292" s="4"/>
      <c r="M1292" s="4"/>
    </row>
    <row r="1293" spans="1:13" ht="15" customHeight="1" x14ac:dyDescent="0.35">
      <c r="A1293" t="str">
        <f t="shared" si="20"/>
        <v>P662ST05C1231</v>
      </c>
      <c r="B1293" t="str">
        <f>IFERROR(VLOOKUP($A1293,'[5]Study Budget Mapping '!$O$2:$P$532,2,0),"TBA")</f>
        <v>TBA</v>
      </c>
      <c r="D1293" s="2" t="s">
        <v>269</v>
      </c>
      <c r="E1293" s="2" t="s">
        <v>19</v>
      </c>
      <c r="F1293" s="3">
        <v>283454</v>
      </c>
      <c r="G1293" s="3">
        <v>115880</v>
      </c>
      <c r="H1293" s="4"/>
      <c r="I1293" s="4"/>
      <c r="J1293" s="4"/>
      <c r="K1293" s="4"/>
      <c r="L1293" s="4"/>
      <c r="M1293" s="4"/>
    </row>
    <row r="1294" spans="1:13" ht="15" customHeight="1" x14ac:dyDescent="0.35">
      <c r="A1294" t="str">
        <f t="shared" si="20"/>
        <v>P662ST05C1231</v>
      </c>
      <c r="B1294" t="str">
        <f>IFERROR(VLOOKUP($A1294,'[5]Study Budget Mapping '!$O$2:$P$532,2,0),"TBA")</f>
        <v>TBA</v>
      </c>
      <c r="D1294" s="2" t="s">
        <v>269</v>
      </c>
      <c r="E1294" s="2" t="s">
        <v>20</v>
      </c>
      <c r="F1294" s="3">
        <v>0</v>
      </c>
      <c r="G1294" s="3">
        <v>153892</v>
      </c>
      <c r="H1294" s="4"/>
      <c r="I1294" s="4"/>
      <c r="J1294" s="4"/>
      <c r="K1294" s="4"/>
      <c r="L1294" s="4"/>
      <c r="M1294" s="4"/>
    </row>
    <row r="1295" spans="1:13" ht="15" customHeight="1" x14ac:dyDescent="0.35">
      <c r="A1295" t="str">
        <f t="shared" si="20"/>
        <v>P662ST05C1231</v>
      </c>
      <c r="B1295" t="str">
        <f>IFERROR(VLOOKUP($A1295,'[5]Study Budget Mapping '!$O$2:$P$532,2,0),"TBA")</f>
        <v>TBA</v>
      </c>
      <c r="D1295" s="2" t="s">
        <v>269</v>
      </c>
      <c r="E1295" s="2" t="s">
        <v>15</v>
      </c>
      <c r="F1295" s="3">
        <v>7152611</v>
      </c>
      <c r="G1295" s="3">
        <v>27849970</v>
      </c>
      <c r="H1295" s="4"/>
      <c r="I1295" s="4"/>
      <c r="J1295" s="4"/>
      <c r="K1295" s="4"/>
      <c r="L1295" s="4"/>
      <c r="M1295" s="4"/>
    </row>
    <row r="1296" spans="1:13" ht="15" customHeight="1" x14ac:dyDescent="0.35">
      <c r="A1296" t="str">
        <f t="shared" si="20"/>
        <v>P662ST05C1231</v>
      </c>
      <c r="B1296" t="str">
        <f>IFERROR(VLOOKUP($A1296,'[5]Study Budget Mapping '!$O$2:$P$532,2,0),"TBA")</f>
        <v>TBA</v>
      </c>
      <c r="D1296" s="2" t="s">
        <v>269</v>
      </c>
      <c r="E1296" s="2" t="s">
        <v>22</v>
      </c>
      <c r="F1296" s="3">
        <v>0</v>
      </c>
      <c r="G1296" s="3">
        <v>1349907.4800000002</v>
      </c>
      <c r="H1296" s="4"/>
      <c r="I1296" s="4"/>
      <c r="J1296" s="4"/>
      <c r="K1296" s="4"/>
      <c r="L1296" s="4"/>
      <c r="M1296" s="4"/>
    </row>
    <row r="1297" spans="1:13" ht="15" customHeight="1" x14ac:dyDescent="0.35">
      <c r="A1297" t="str">
        <f t="shared" si="20"/>
        <v>P662ST05C1231</v>
      </c>
      <c r="B1297" t="str">
        <f>IFERROR(VLOOKUP($A1297,'[5]Study Budget Mapping '!$O$2:$P$532,2,0),"TBA")</f>
        <v>TBA</v>
      </c>
      <c r="D1297" s="2" t="s">
        <v>269</v>
      </c>
      <c r="E1297" s="2" t="s">
        <v>16</v>
      </c>
      <c r="F1297" s="3">
        <v>494620</v>
      </c>
      <c r="G1297" s="3">
        <v>3827592</v>
      </c>
      <c r="H1297" s="4"/>
      <c r="I1297" s="4"/>
      <c r="J1297" s="4"/>
      <c r="K1297" s="4"/>
      <c r="L1297" s="4"/>
      <c r="M1297" s="4"/>
    </row>
    <row r="1298" spans="1:13" ht="15" customHeight="1" x14ac:dyDescent="0.35">
      <c r="A1298" t="str">
        <f t="shared" si="20"/>
        <v>P662ST05C1231</v>
      </c>
      <c r="B1298" t="str">
        <f>IFERROR(VLOOKUP($A1298,'[5]Study Budget Mapping '!$O$2:$P$532,2,0),"TBA")</f>
        <v>TBA</v>
      </c>
      <c r="D1298" s="2" t="s">
        <v>269</v>
      </c>
      <c r="E1298" s="2" t="s">
        <v>17</v>
      </c>
      <c r="F1298" s="3">
        <v>457090</v>
      </c>
      <c r="G1298" s="3">
        <v>1070000</v>
      </c>
      <c r="H1298" s="4"/>
      <c r="I1298" s="4"/>
      <c r="J1298" s="4"/>
      <c r="K1298" s="4"/>
      <c r="L1298" s="4"/>
      <c r="M1298" s="4"/>
    </row>
    <row r="1299" spans="1:13" ht="15" customHeight="1" x14ac:dyDescent="0.35">
      <c r="A1299" t="str">
        <f t="shared" si="20"/>
        <v>P662ST05C1231</v>
      </c>
      <c r="B1299" t="str">
        <f>IFERROR(VLOOKUP($A1299,'[5]Study Budget Mapping '!$O$2:$P$532,2,0),"TBA")</f>
        <v>TBA</v>
      </c>
      <c r="D1299" s="2" t="s">
        <v>269</v>
      </c>
      <c r="E1299" s="2" t="s">
        <v>23</v>
      </c>
      <c r="F1299" s="3">
        <v>912454</v>
      </c>
      <c r="G1299" s="3">
        <v>71000</v>
      </c>
      <c r="H1299" s="4"/>
      <c r="I1299" s="4"/>
      <c r="J1299" s="4"/>
      <c r="K1299" s="4"/>
      <c r="L1299" s="4"/>
      <c r="M1299" s="4"/>
    </row>
    <row r="1300" spans="1:13" ht="15" customHeight="1" x14ac:dyDescent="0.35">
      <c r="A1300" t="str">
        <f t="shared" si="20"/>
        <v>P662ST05C1231</v>
      </c>
      <c r="B1300" t="str">
        <f>IFERROR(VLOOKUP($A1300,'[5]Study Budget Mapping '!$O$2:$P$532,2,0),"TBA")</f>
        <v>TBA</v>
      </c>
      <c r="D1300" s="2" t="s">
        <v>269</v>
      </c>
      <c r="E1300" s="2" t="s">
        <v>24</v>
      </c>
      <c r="F1300" s="3">
        <v>0</v>
      </c>
      <c r="G1300" s="3">
        <v>2980000</v>
      </c>
      <c r="H1300" s="4"/>
      <c r="I1300" s="4"/>
      <c r="J1300" s="4"/>
      <c r="K1300" s="4"/>
      <c r="L1300" s="4"/>
      <c r="M1300" s="4"/>
    </row>
    <row r="1301" spans="1:13" ht="15" customHeight="1" x14ac:dyDescent="0.35">
      <c r="A1301" t="str">
        <f t="shared" si="20"/>
        <v>P662ST05C1231</v>
      </c>
      <c r="B1301" t="str">
        <f>IFERROR(VLOOKUP($A1301,'[5]Study Budget Mapping '!$O$2:$P$532,2,0),"TBA")</f>
        <v>TBA</v>
      </c>
      <c r="D1301" s="2" t="s">
        <v>269</v>
      </c>
      <c r="E1301" s="2" t="s">
        <v>32</v>
      </c>
      <c r="F1301" s="3">
        <v>0</v>
      </c>
      <c r="G1301" s="3">
        <v>2840000</v>
      </c>
      <c r="H1301" s="4"/>
      <c r="I1301" s="4"/>
      <c r="J1301" s="4"/>
      <c r="K1301" s="4"/>
      <c r="L1301" s="4"/>
      <c r="M1301" s="4"/>
    </row>
    <row r="1302" spans="1:13" ht="15" customHeight="1" x14ac:dyDescent="0.35">
      <c r="A1302" t="str">
        <f t="shared" si="20"/>
        <v>P662ST05C2631</v>
      </c>
      <c r="B1302" t="str">
        <f>IFERROR(VLOOKUP($A1302,'[5]Study Budget Mapping '!$O$2:$P$532,2,0),"TBA")</f>
        <v>TBA</v>
      </c>
      <c r="D1302" s="2" t="s">
        <v>270</v>
      </c>
      <c r="E1302" s="2" t="s">
        <v>13</v>
      </c>
      <c r="F1302" s="3">
        <v>27600000</v>
      </c>
      <c r="G1302" s="3">
        <v>93040000</v>
      </c>
      <c r="H1302" s="4"/>
      <c r="I1302" s="4"/>
      <c r="J1302" s="4"/>
      <c r="K1302" s="4"/>
      <c r="L1302" s="4"/>
      <c r="M1302" s="4"/>
    </row>
    <row r="1303" spans="1:13" ht="15" customHeight="1" x14ac:dyDescent="0.35">
      <c r="A1303" t="str">
        <f t="shared" si="20"/>
        <v>P662ST05C2631</v>
      </c>
      <c r="B1303" t="str">
        <f>IFERROR(VLOOKUP($A1303,'[5]Study Budget Mapping '!$O$2:$P$532,2,0),"TBA")</f>
        <v>TBA</v>
      </c>
      <c r="D1303" s="2" t="s">
        <v>270</v>
      </c>
      <c r="E1303" s="2" t="s">
        <v>14</v>
      </c>
      <c r="F1303" s="3">
        <v>5520000</v>
      </c>
      <c r="G1303" s="3">
        <v>22900000</v>
      </c>
      <c r="H1303" s="4"/>
      <c r="I1303" s="4"/>
      <c r="J1303" s="4"/>
      <c r="K1303" s="4"/>
      <c r="L1303" s="4"/>
      <c r="M1303" s="4"/>
    </row>
    <row r="1304" spans="1:13" ht="15" customHeight="1" x14ac:dyDescent="0.35">
      <c r="A1304" t="str">
        <f t="shared" si="20"/>
        <v>P662ST05C2631</v>
      </c>
      <c r="B1304" t="str">
        <f>IFERROR(VLOOKUP($A1304,'[5]Study Budget Mapping '!$O$2:$P$532,2,0),"TBA")</f>
        <v>TBA</v>
      </c>
      <c r="D1304" s="2" t="s">
        <v>270</v>
      </c>
      <c r="E1304" s="2" t="s">
        <v>19</v>
      </c>
      <c r="F1304" s="3">
        <v>960000</v>
      </c>
      <c r="G1304" s="3">
        <v>4890000</v>
      </c>
      <c r="H1304" s="4"/>
      <c r="I1304" s="4"/>
      <c r="J1304" s="4"/>
      <c r="K1304" s="4"/>
      <c r="L1304" s="4"/>
      <c r="M1304" s="4"/>
    </row>
    <row r="1305" spans="1:13" ht="15" customHeight="1" x14ac:dyDescent="0.35">
      <c r="A1305" t="str">
        <f t="shared" si="20"/>
        <v>P662ST05C2631</v>
      </c>
      <c r="B1305" t="str">
        <f>IFERROR(VLOOKUP($A1305,'[5]Study Budget Mapping '!$O$2:$P$532,2,0),"TBA")</f>
        <v>TBA</v>
      </c>
      <c r="D1305" s="2" t="s">
        <v>270</v>
      </c>
      <c r="E1305" s="2" t="s">
        <v>20</v>
      </c>
      <c r="F1305" s="3">
        <v>1480000</v>
      </c>
      <c r="G1305" s="3">
        <v>6070000</v>
      </c>
      <c r="H1305" s="4"/>
      <c r="I1305" s="4"/>
      <c r="J1305" s="4"/>
      <c r="K1305" s="4"/>
      <c r="L1305" s="4"/>
      <c r="M1305" s="4"/>
    </row>
    <row r="1306" spans="1:13" ht="15" customHeight="1" x14ac:dyDescent="0.35">
      <c r="A1306" t="str">
        <f t="shared" si="20"/>
        <v>P662ST05C2631</v>
      </c>
      <c r="B1306" t="str">
        <f>IFERROR(VLOOKUP($A1306,'[5]Study Budget Mapping '!$O$2:$P$532,2,0),"TBA")</f>
        <v>TBA</v>
      </c>
      <c r="D1306" s="2" t="s">
        <v>270</v>
      </c>
      <c r="E1306" s="2" t="s">
        <v>15</v>
      </c>
      <c r="F1306" s="3">
        <v>17450000</v>
      </c>
      <c r="G1306" s="3">
        <v>77240000</v>
      </c>
      <c r="H1306" s="4"/>
      <c r="I1306" s="4"/>
      <c r="J1306" s="4"/>
      <c r="K1306" s="4"/>
      <c r="L1306" s="4"/>
      <c r="M1306" s="4"/>
    </row>
    <row r="1307" spans="1:13" ht="15" customHeight="1" x14ac:dyDescent="0.35">
      <c r="A1307" t="str">
        <f t="shared" si="20"/>
        <v>P662ST05C2631</v>
      </c>
      <c r="B1307" t="str">
        <f>IFERROR(VLOOKUP($A1307,'[5]Study Budget Mapping '!$O$2:$P$532,2,0),"TBA")</f>
        <v>TBA</v>
      </c>
      <c r="D1307" s="2" t="s">
        <v>270</v>
      </c>
      <c r="E1307" s="2" t="s">
        <v>22</v>
      </c>
      <c r="F1307" s="3">
        <v>0</v>
      </c>
      <c r="G1307" s="3">
        <v>3098227</v>
      </c>
      <c r="H1307" s="4"/>
      <c r="I1307" s="4"/>
      <c r="J1307" s="4"/>
      <c r="K1307" s="4"/>
      <c r="L1307" s="4"/>
      <c r="M1307" s="4"/>
    </row>
    <row r="1308" spans="1:13" ht="15" customHeight="1" x14ac:dyDescent="0.35">
      <c r="A1308" t="str">
        <f t="shared" si="20"/>
        <v>P662ST05C2631</v>
      </c>
      <c r="B1308" t="str">
        <f>IFERROR(VLOOKUP($A1308,'[5]Study Budget Mapping '!$O$2:$P$532,2,0),"TBA")</f>
        <v>TBA</v>
      </c>
      <c r="D1308" s="2" t="s">
        <v>270</v>
      </c>
      <c r="E1308" s="2" t="s">
        <v>16</v>
      </c>
      <c r="F1308" s="3">
        <v>2490000</v>
      </c>
      <c r="G1308" s="3">
        <v>7540000</v>
      </c>
      <c r="H1308" s="4"/>
      <c r="I1308" s="4"/>
      <c r="J1308" s="4"/>
      <c r="K1308" s="4"/>
      <c r="L1308" s="4"/>
      <c r="M1308" s="4"/>
    </row>
    <row r="1309" spans="1:13" ht="15" customHeight="1" x14ac:dyDescent="0.35">
      <c r="A1309" t="str">
        <f t="shared" si="20"/>
        <v>P662ST05C2631</v>
      </c>
      <c r="B1309" t="str">
        <f>IFERROR(VLOOKUP($A1309,'[5]Study Budget Mapping '!$O$2:$P$532,2,0),"TBA")</f>
        <v>TBA</v>
      </c>
      <c r="D1309" s="2" t="s">
        <v>270</v>
      </c>
      <c r="E1309" s="2" t="s">
        <v>17</v>
      </c>
      <c r="F1309" s="3">
        <v>480000</v>
      </c>
      <c r="G1309" s="3">
        <v>2053000</v>
      </c>
      <c r="H1309" s="4"/>
      <c r="I1309" s="4"/>
      <c r="J1309" s="4"/>
      <c r="K1309" s="4"/>
      <c r="L1309" s="4"/>
      <c r="M1309" s="4"/>
    </row>
    <row r="1310" spans="1:13" ht="15" customHeight="1" x14ac:dyDescent="0.35">
      <c r="A1310" t="str">
        <f t="shared" si="20"/>
        <v>P662ST05C2631</v>
      </c>
      <c r="B1310" t="str">
        <f>IFERROR(VLOOKUP($A1310,'[5]Study Budget Mapping '!$O$2:$P$532,2,0),"TBA")</f>
        <v>TBA</v>
      </c>
      <c r="D1310" s="2" t="s">
        <v>270</v>
      </c>
      <c r="E1310" s="2" t="s">
        <v>24</v>
      </c>
      <c r="F1310" s="3">
        <v>2130000</v>
      </c>
      <c r="G1310" s="3">
        <v>12280000</v>
      </c>
      <c r="H1310" s="4"/>
      <c r="I1310" s="4"/>
      <c r="J1310" s="4"/>
      <c r="K1310" s="4"/>
      <c r="L1310" s="4"/>
      <c r="M1310" s="4"/>
    </row>
    <row r="1311" spans="1:13" ht="15" customHeight="1" x14ac:dyDescent="0.35">
      <c r="A1311" t="str">
        <f t="shared" si="20"/>
        <v>P662ST05C2631</v>
      </c>
      <c r="B1311" t="str">
        <f>IFERROR(VLOOKUP($A1311,'[5]Study Budget Mapping '!$O$2:$P$532,2,0),"TBA")</f>
        <v>TBA</v>
      </c>
      <c r="D1311" s="2" t="s">
        <v>270</v>
      </c>
      <c r="E1311" s="2" t="s">
        <v>32</v>
      </c>
      <c r="F1311" s="3">
        <v>0</v>
      </c>
      <c r="G1311" s="3">
        <v>3150000</v>
      </c>
      <c r="H1311" s="4"/>
      <c r="I1311" s="4"/>
      <c r="J1311" s="4"/>
      <c r="K1311" s="4"/>
      <c r="L1311" s="4"/>
      <c r="M1311" s="4"/>
    </row>
    <row r="1312" spans="1:13" ht="15" customHeight="1" x14ac:dyDescent="0.35">
      <c r="A1312" t="str">
        <f t="shared" si="20"/>
        <v>P662ST05C2632</v>
      </c>
      <c r="B1312" t="str">
        <f>IFERROR(VLOOKUP($A1312,'[5]Study Budget Mapping '!$O$2:$P$532,2,0),"TBA")</f>
        <v>TBA</v>
      </c>
      <c r="D1312" s="2" t="s">
        <v>271</v>
      </c>
      <c r="E1312" s="2" t="s">
        <v>14</v>
      </c>
      <c r="F1312" s="3">
        <v>600000</v>
      </c>
      <c r="G1312" s="3">
        <v>600000</v>
      </c>
      <c r="H1312" s="4"/>
      <c r="I1312" s="4"/>
      <c r="J1312" s="4"/>
      <c r="K1312" s="4"/>
      <c r="L1312" s="4"/>
      <c r="M1312" s="4"/>
    </row>
    <row r="1313" spans="1:13" ht="15" customHeight="1" x14ac:dyDescent="0.35">
      <c r="A1313" t="str">
        <f t="shared" si="20"/>
        <v>P662ST05C2632</v>
      </c>
      <c r="B1313" t="str">
        <f>IFERROR(VLOOKUP($A1313,'[5]Study Budget Mapping '!$O$2:$P$532,2,0),"TBA")</f>
        <v>TBA</v>
      </c>
      <c r="D1313" s="2" t="s">
        <v>271</v>
      </c>
      <c r="E1313" s="2" t="s">
        <v>20</v>
      </c>
      <c r="F1313" s="3">
        <v>700000</v>
      </c>
      <c r="G1313" s="3">
        <v>700000</v>
      </c>
      <c r="H1313" s="4"/>
      <c r="I1313" s="4"/>
      <c r="J1313" s="4"/>
      <c r="K1313" s="4"/>
      <c r="L1313" s="4"/>
      <c r="M1313" s="4"/>
    </row>
    <row r="1314" spans="1:13" ht="15" customHeight="1" x14ac:dyDescent="0.35">
      <c r="A1314" t="str">
        <f t="shared" si="20"/>
        <v>P662ST05C2632</v>
      </c>
      <c r="B1314" t="str">
        <f>IFERROR(VLOOKUP($A1314,'[5]Study Budget Mapping '!$O$2:$P$532,2,0),"TBA")</f>
        <v>TBA</v>
      </c>
      <c r="D1314" s="2" t="s">
        <v>271</v>
      </c>
      <c r="E1314" s="2" t="s">
        <v>15</v>
      </c>
      <c r="F1314" s="3">
        <v>15400000</v>
      </c>
      <c r="G1314" s="3">
        <v>15400000</v>
      </c>
      <c r="H1314" s="4"/>
      <c r="I1314" s="4"/>
      <c r="J1314" s="4"/>
      <c r="K1314" s="4"/>
      <c r="L1314" s="4"/>
      <c r="M1314" s="4"/>
    </row>
    <row r="1315" spans="1:13" ht="15" customHeight="1" x14ac:dyDescent="0.35">
      <c r="A1315" t="str">
        <f t="shared" si="20"/>
        <v>P662ST05C2632</v>
      </c>
      <c r="B1315" t="str">
        <f>IFERROR(VLOOKUP($A1315,'[5]Study Budget Mapping '!$O$2:$P$532,2,0),"TBA")</f>
        <v>TBA</v>
      </c>
      <c r="D1315" s="2" t="s">
        <v>271</v>
      </c>
      <c r="E1315" s="2" t="s">
        <v>24</v>
      </c>
      <c r="F1315" s="3">
        <v>1000000</v>
      </c>
      <c r="G1315" s="3">
        <v>1000000</v>
      </c>
      <c r="H1315" s="4"/>
      <c r="I1315" s="4"/>
      <c r="J1315" s="4"/>
      <c r="K1315" s="4"/>
      <c r="L1315" s="4"/>
      <c r="M1315" s="4"/>
    </row>
    <row r="1316" spans="1:13" ht="15" customHeight="1" x14ac:dyDescent="0.35">
      <c r="A1316" t="str">
        <f t="shared" si="20"/>
        <v>P662ST05C3731</v>
      </c>
      <c r="B1316" t="str">
        <f>IFERROR(VLOOKUP($A1316,'[5]Study Budget Mapping '!$O$2:$P$532,2,0),"TBA")</f>
        <v>TBA</v>
      </c>
      <c r="D1316" s="2" t="s">
        <v>272</v>
      </c>
      <c r="E1316" s="2" t="s">
        <v>15</v>
      </c>
      <c r="F1316" s="3">
        <v>5000000</v>
      </c>
      <c r="G1316" s="3">
        <v>5000000</v>
      </c>
      <c r="H1316" s="4"/>
      <c r="I1316" s="4"/>
      <c r="J1316" s="4"/>
      <c r="K1316" s="4"/>
      <c r="L1316" s="4"/>
      <c r="M1316" s="4"/>
    </row>
    <row r="1317" spans="1:13" ht="15" customHeight="1" x14ac:dyDescent="0.35">
      <c r="A1317" t="str">
        <f t="shared" si="20"/>
        <v>P662ST05C3732</v>
      </c>
      <c r="B1317" t="str">
        <f>IFERROR(VLOOKUP($A1317,'[5]Study Budget Mapping '!$O$2:$P$532,2,0),"TBA")</f>
        <v>TBA</v>
      </c>
      <c r="D1317" s="2" t="s">
        <v>273</v>
      </c>
      <c r="E1317" s="2" t="s">
        <v>13</v>
      </c>
      <c r="F1317" s="3">
        <v>107800000</v>
      </c>
      <c r="G1317" s="3">
        <v>125300000</v>
      </c>
      <c r="H1317" s="4"/>
      <c r="I1317" s="4"/>
      <c r="J1317" s="4"/>
      <c r="K1317" s="4"/>
      <c r="L1317" s="4"/>
      <c r="M1317" s="4"/>
    </row>
    <row r="1318" spans="1:13" ht="15" customHeight="1" x14ac:dyDescent="0.35">
      <c r="A1318" t="str">
        <f t="shared" si="20"/>
        <v>P662ST05C3732</v>
      </c>
      <c r="B1318" t="str">
        <f>IFERROR(VLOOKUP($A1318,'[5]Study Budget Mapping '!$O$2:$P$532,2,0),"TBA")</f>
        <v>TBA</v>
      </c>
      <c r="D1318" s="2" t="s">
        <v>273</v>
      </c>
      <c r="E1318" s="2" t="s">
        <v>14</v>
      </c>
      <c r="F1318" s="3">
        <v>17880000</v>
      </c>
      <c r="G1318" s="3">
        <v>18230000</v>
      </c>
      <c r="H1318" s="4"/>
      <c r="I1318" s="4"/>
      <c r="J1318" s="4"/>
      <c r="K1318" s="4"/>
      <c r="L1318" s="4"/>
      <c r="M1318" s="4"/>
    </row>
    <row r="1319" spans="1:13" ht="15" customHeight="1" x14ac:dyDescent="0.35">
      <c r="A1319" t="str">
        <f t="shared" si="20"/>
        <v>P662ST05C3732</v>
      </c>
      <c r="B1319" t="str">
        <f>IFERROR(VLOOKUP($A1319,'[5]Study Budget Mapping '!$O$2:$P$532,2,0),"TBA")</f>
        <v>TBA</v>
      </c>
      <c r="D1319" s="2" t="s">
        <v>273</v>
      </c>
      <c r="E1319" s="2" t="s">
        <v>19</v>
      </c>
      <c r="F1319" s="3">
        <v>1830000</v>
      </c>
      <c r="G1319" s="3">
        <v>2230000</v>
      </c>
      <c r="H1319" s="4"/>
      <c r="I1319" s="4"/>
      <c r="J1319" s="4"/>
      <c r="K1319" s="4"/>
      <c r="L1319" s="4"/>
      <c r="M1319" s="4"/>
    </row>
    <row r="1320" spans="1:13" ht="15" customHeight="1" x14ac:dyDescent="0.35">
      <c r="A1320" t="str">
        <f t="shared" si="20"/>
        <v>P662ST05C3732</v>
      </c>
      <c r="B1320" t="str">
        <f>IFERROR(VLOOKUP($A1320,'[5]Study Budget Mapping '!$O$2:$P$532,2,0),"TBA")</f>
        <v>TBA</v>
      </c>
      <c r="D1320" s="2" t="s">
        <v>273</v>
      </c>
      <c r="E1320" s="2" t="s">
        <v>20</v>
      </c>
      <c r="F1320" s="3">
        <v>7120000</v>
      </c>
      <c r="G1320" s="3">
        <v>5600000</v>
      </c>
      <c r="H1320" s="4"/>
      <c r="I1320" s="4"/>
      <c r="J1320" s="4"/>
      <c r="K1320" s="4"/>
      <c r="L1320" s="4"/>
      <c r="M1320" s="4"/>
    </row>
    <row r="1321" spans="1:13" ht="15" customHeight="1" x14ac:dyDescent="0.35">
      <c r="A1321" t="str">
        <f t="shared" si="20"/>
        <v>P662ST05C3732</v>
      </c>
      <c r="B1321" t="str">
        <f>IFERROR(VLOOKUP($A1321,'[5]Study Budget Mapping '!$O$2:$P$532,2,0),"TBA")</f>
        <v>TBA</v>
      </c>
      <c r="D1321" s="2" t="s">
        <v>273</v>
      </c>
      <c r="E1321" s="2" t="s">
        <v>31</v>
      </c>
      <c r="F1321" s="3">
        <v>3720000</v>
      </c>
      <c r="G1321" s="3">
        <v>1900000</v>
      </c>
      <c r="H1321" s="4"/>
      <c r="I1321" s="4"/>
      <c r="J1321" s="4"/>
      <c r="K1321" s="4"/>
      <c r="L1321" s="4"/>
      <c r="M1321" s="4"/>
    </row>
    <row r="1322" spans="1:13" ht="15" customHeight="1" x14ac:dyDescent="0.35">
      <c r="A1322" t="str">
        <f t="shared" si="20"/>
        <v>P662ST05C3732</v>
      </c>
      <c r="B1322" t="str">
        <f>IFERROR(VLOOKUP($A1322,'[5]Study Budget Mapping '!$O$2:$P$532,2,0),"TBA")</f>
        <v>TBA</v>
      </c>
      <c r="D1322" s="2" t="s">
        <v>273</v>
      </c>
      <c r="E1322" s="2" t="s">
        <v>21</v>
      </c>
      <c r="F1322" s="3">
        <v>3610000</v>
      </c>
      <c r="G1322" s="3">
        <v>5750000</v>
      </c>
      <c r="H1322" s="4"/>
      <c r="I1322" s="4"/>
      <c r="J1322" s="4"/>
      <c r="K1322" s="4"/>
      <c r="L1322" s="4"/>
      <c r="M1322" s="4"/>
    </row>
    <row r="1323" spans="1:13" ht="15" customHeight="1" x14ac:dyDescent="0.35">
      <c r="A1323" t="str">
        <f t="shared" si="20"/>
        <v>P662ST05C3732</v>
      </c>
      <c r="B1323" t="str">
        <f>IFERROR(VLOOKUP($A1323,'[5]Study Budget Mapping '!$O$2:$P$532,2,0),"TBA")</f>
        <v>TBA</v>
      </c>
      <c r="D1323" s="2" t="s">
        <v>273</v>
      </c>
      <c r="E1323" s="2" t="s">
        <v>15</v>
      </c>
      <c r="F1323" s="3">
        <v>51880000</v>
      </c>
      <c r="G1323" s="3">
        <v>46280000</v>
      </c>
      <c r="H1323" s="4"/>
      <c r="I1323" s="4"/>
      <c r="J1323" s="4"/>
      <c r="K1323" s="4"/>
      <c r="L1323" s="4"/>
      <c r="M1323" s="4"/>
    </row>
    <row r="1324" spans="1:13" ht="15" customHeight="1" x14ac:dyDescent="0.35">
      <c r="A1324" t="str">
        <f t="shared" si="20"/>
        <v>P662ST05C3732</v>
      </c>
      <c r="B1324" t="str">
        <f>IFERROR(VLOOKUP($A1324,'[5]Study Budget Mapping '!$O$2:$P$532,2,0),"TBA")</f>
        <v>TBA</v>
      </c>
      <c r="D1324" s="2" t="s">
        <v>273</v>
      </c>
      <c r="E1324" s="2" t="s">
        <v>22</v>
      </c>
      <c r="F1324" s="3">
        <v>2090000</v>
      </c>
      <c r="G1324" s="3">
        <v>1720000</v>
      </c>
      <c r="H1324" s="4"/>
      <c r="I1324" s="4"/>
      <c r="J1324" s="4"/>
      <c r="K1324" s="4"/>
      <c r="L1324" s="4"/>
      <c r="M1324" s="4"/>
    </row>
    <row r="1325" spans="1:13" ht="15" customHeight="1" x14ac:dyDescent="0.35">
      <c r="A1325" t="str">
        <f t="shared" si="20"/>
        <v>P662ST05C3732</v>
      </c>
      <c r="B1325" t="str">
        <f>IFERROR(VLOOKUP($A1325,'[5]Study Budget Mapping '!$O$2:$P$532,2,0),"TBA")</f>
        <v>TBA</v>
      </c>
      <c r="D1325" s="2" t="s">
        <v>273</v>
      </c>
      <c r="E1325" s="2" t="s">
        <v>16</v>
      </c>
      <c r="F1325" s="3">
        <v>14230000</v>
      </c>
      <c r="G1325" s="3">
        <v>12805000</v>
      </c>
      <c r="H1325" s="4"/>
      <c r="I1325" s="4"/>
      <c r="J1325" s="4"/>
      <c r="K1325" s="4"/>
      <c r="L1325" s="4"/>
      <c r="M1325" s="4"/>
    </row>
    <row r="1326" spans="1:13" ht="15" customHeight="1" x14ac:dyDescent="0.35">
      <c r="A1326" t="str">
        <f t="shared" si="20"/>
        <v>P662ST05C3732</v>
      </c>
      <c r="B1326" t="str">
        <f>IFERROR(VLOOKUP($A1326,'[5]Study Budget Mapping '!$O$2:$P$532,2,0),"TBA")</f>
        <v>TBA</v>
      </c>
      <c r="D1326" s="2" t="s">
        <v>273</v>
      </c>
      <c r="E1326" s="2" t="s">
        <v>17</v>
      </c>
      <c r="F1326" s="3">
        <v>510000</v>
      </c>
      <c r="G1326" s="3">
        <v>800000</v>
      </c>
      <c r="H1326" s="4"/>
      <c r="I1326" s="4"/>
      <c r="J1326" s="4"/>
      <c r="K1326" s="4"/>
      <c r="L1326" s="4"/>
      <c r="M1326" s="4"/>
    </row>
    <row r="1327" spans="1:13" ht="15" customHeight="1" x14ac:dyDescent="0.35">
      <c r="A1327" t="str">
        <f t="shared" si="20"/>
        <v>P662ST05C3732</v>
      </c>
      <c r="B1327" t="str">
        <f>IFERROR(VLOOKUP($A1327,'[5]Study Budget Mapping '!$O$2:$P$532,2,0),"TBA")</f>
        <v>TBA</v>
      </c>
      <c r="D1327" s="2" t="s">
        <v>273</v>
      </c>
      <c r="E1327" s="2" t="s">
        <v>24</v>
      </c>
      <c r="F1327" s="3">
        <v>11350000</v>
      </c>
      <c r="G1327" s="3">
        <v>11350000</v>
      </c>
      <c r="H1327" s="4"/>
      <c r="I1327" s="4"/>
      <c r="J1327" s="4"/>
      <c r="K1327" s="4"/>
      <c r="L1327" s="4"/>
      <c r="M1327" s="4"/>
    </row>
    <row r="1328" spans="1:13" ht="15" customHeight="1" x14ac:dyDescent="0.35">
      <c r="A1328" t="str">
        <f t="shared" si="20"/>
        <v>P662ST05C3732</v>
      </c>
      <c r="B1328" t="str">
        <f>IFERROR(VLOOKUP($A1328,'[5]Study Budget Mapping '!$O$2:$P$532,2,0),"TBA")</f>
        <v>TBA</v>
      </c>
      <c r="D1328" s="2" t="s">
        <v>273</v>
      </c>
      <c r="E1328" s="2" t="s">
        <v>32</v>
      </c>
      <c r="F1328" s="3">
        <v>3480000</v>
      </c>
      <c r="G1328" s="3">
        <v>3480000</v>
      </c>
      <c r="H1328" s="4"/>
      <c r="I1328" s="4"/>
      <c r="J1328" s="4"/>
      <c r="K1328" s="4"/>
      <c r="L1328" s="4"/>
      <c r="M1328" s="4"/>
    </row>
    <row r="1329" spans="1:13" ht="15" customHeight="1" x14ac:dyDescent="0.35">
      <c r="A1329" t="str">
        <f t="shared" si="20"/>
        <v>P662ST05C3732</v>
      </c>
      <c r="B1329" t="str">
        <f>IFERROR(VLOOKUP($A1329,'[5]Study Budget Mapping '!$O$2:$P$532,2,0),"TBA")</f>
        <v>TBA</v>
      </c>
      <c r="D1329" s="2" t="s">
        <v>273</v>
      </c>
      <c r="E1329" s="2" t="s">
        <v>274</v>
      </c>
      <c r="F1329" s="3">
        <v>5160000</v>
      </c>
      <c r="G1329" s="3">
        <v>4920000</v>
      </c>
      <c r="H1329" s="4"/>
      <c r="I1329" s="4"/>
      <c r="J1329" s="4"/>
      <c r="K1329" s="4"/>
      <c r="L1329" s="4"/>
      <c r="M1329" s="4"/>
    </row>
    <row r="1330" spans="1:13" ht="15" customHeight="1" x14ac:dyDescent="0.35">
      <c r="A1330" t="str">
        <f t="shared" si="20"/>
        <v>P662ST05C3733</v>
      </c>
      <c r="B1330" t="str">
        <f>IFERROR(VLOOKUP($A1330,'[5]Study Budget Mapping '!$O$2:$P$532,2,0),"TBA")</f>
        <v>TBA</v>
      </c>
      <c r="D1330" s="2" t="s">
        <v>275</v>
      </c>
      <c r="E1330" s="2" t="s">
        <v>13</v>
      </c>
      <c r="F1330" s="3">
        <v>161520000</v>
      </c>
      <c r="G1330" s="3">
        <v>161520000</v>
      </c>
      <c r="H1330" s="4"/>
      <c r="I1330" s="4"/>
      <c r="J1330" s="4"/>
      <c r="K1330" s="4"/>
      <c r="L1330" s="4"/>
      <c r="M1330" s="4"/>
    </row>
    <row r="1331" spans="1:13" ht="15" customHeight="1" x14ac:dyDescent="0.35">
      <c r="A1331" t="str">
        <f t="shared" si="20"/>
        <v>P662ST05C3733</v>
      </c>
      <c r="B1331" t="str">
        <f>IFERROR(VLOOKUP($A1331,'[5]Study Budget Mapping '!$O$2:$P$532,2,0),"TBA")</f>
        <v>TBA</v>
      </c>
      <c r="D1331" s="2" t="s">
        <v>275</v>
      </c>
      <c r="E1331" s="2" t="s">
        <v>14</v>
      </c>
      <c r="F1331" s="3">
        <v>16030000</v>
      </c>
      <c r="G1331" s="3">
        <v>16030000</v>
      </c>
      <c r="H1331" s="4"/>
      <c r="I1331" s="4"/>
      <c r="J1331" s="4"/>
      <c r="K1331" s="4"/>
      <c r="L1331" s="4"/>
      <c r="M1331" s="4"/>
    </row>
    <row r="1332" spans="1:13" ht="15" customHeight="1" x14ac:dyDescent="0.35">
      <c r="A1332" t="str">
        <f t="shared" si="20"/>
        <v>P662ST05C3733</v>
      </c>
      <c r="B1332" t="str">
        <f>IFERROR(VLOOKUP($A1332,'[5]Study Budget Mapping '!$O$2:$P$532,2,0),"TBA")</f>
        <v>TBA</v>
      </c>
      <c r="D1332" s="2" t="s">
        <v>275</v>
      </c>
      <c r="E1332" s="2" t="s">
        <v>19</v>
      </c>
      <c r="F1332" s="3">
        <v>4660000</v>
      </c>
      <c r="G1332" s="3">
        <v>4660000</v>
      </c>
      <c r="H1332" s="4"/>
      <c r="I1332" s="4"/>
      <c r="J1332" s="4"/>
      <c r="K1332" s="4"/>
      <c r="L1332" s="4"/>
      <c r="M1332" s="4"/>
    </row>
    <row r="1333" spans="1:13" ht="15" customHeight="1" x14ac:dyDescent="0.35">
      <c r="A1333" t="str">
        <f t="shared" si="20"/>
        <v>P662ST05C3733</v>
      </c>
      <c r="B1333" t="str">
        <f>IFERROR(VLOOKUP($A1333,'[5]Study Budget Mapping '!$O$2:$P$532,2,0),"TBA")</f>
        <v>TBA</v>
      </c>
      <c r="D1333" s="2" t="s">
        <v>275</v>
      </c>
      <c r="E1333" s="2" t="s">
        <v>20</v>
      </c>
      <c r="F1333" s="3">
        <v>9560000</v>
      </c>
      <c r="G1333" s="3">
        <v>9560000</v>
      </c>
      <c r="H1333" s="4"/>
      <c r="I1333" s="4"/>
      <c r="J1333" s="4"/>
      <c r="K1333" s="4"/>
      <c r="L1333" s="4"/>
      <c r="M1333" s="4"/>
    </row>
    <row r="1334" spans="1:13" ht="15" customHeight="1" x14ac:dyDescent="0.35">
      <c r="A1334" t="str">
        <f t="shared" si="20"/>
        <v>P662ST05C3733</v>
      </c>
      <c r="B1334" t="str">
        <f>IFERROR(VLOOKUP($A1334,'[5]Study Budget Mapping '!$O$2:$P$532,2,0),"TBA")</f>
        <v>TBA</v>
      </c>
      <c r="D1334" s="2" t="s">
        <v>275</v>
      </c>
      <c r="E1334" s="2" t="s">
        <v>31</v>
      </c>
      <c r="F1334" s="3">
        <v>2300000</v>
      </c>
      <c r="G1334" s="3">
        <v>2300000</v>
      </c>
      <c r="H1334" s="4"/>
      <c r="I1334" s="4"/>
      <c r="J1334" s="4"/>
      <c r="K1334" s="4"/>
      <c r="L1334" s="4"/>
      <c r="M1334" s="4"/>
    </row>
    <row r="1335" spans="1:13" ht="15" customHeight="1" x14ac:dyDescent="0.35">
      <c r="A1335" t="str">
        <f t="shared" si="20"/>
        <v>P662ST05C3733</v>
      </c>
      <c r="B1335" t="str">
        <f>IFERROR(VLOOKUP($A1335,'[5]Study Budget Mapping '!$O$2:$P$532,2,0),"TBA")</f>
        <v>TBA</v>
      </c>
      <c r="D1335" s="2" t="s">
        <v>275</v>
      </c>
      <c r="E1335" s="2" t="s">
        <v>21</v>
      </c>
      <c r="F1335" s="3">
        <v>2430000</v>
      </c>
      <c r="G1335" s="3">
        <v>2430000</v>
      </c>
      <c r="H1335" s="4"/>
      <c r="I1335" s="4"/>
      <c r="J1335" s="4"/>
      <c r="K1335" s="4"/>
      <c r="L1335" s="4"/>
      <c r="M1335" s="4"/>
    </row>
    <row r="1336" spans="1:13" ht="15" customHeight="1" x14ac:dyDescent="0.35">
      <c r="A1336" t="str">
        <f t="shared" si="20"/>
        <v>P662ST05C3733</v>
      </c>
      <c r="B1336" t="str">
        <f>IFERROR(VLOOKUP($A1336,'[5]Study Budget Mapping '!$O$2:$P$532,2,0),"TBA")</f>
        <v>TBA</v>
      </c>
      <c r="D1336" s="2" t="s">
        <v>275</v>
      </c>
      <c r="E1336" s="2" t="s">
        <v>15</v>
      </c>
      <c r="F1336" s="3">
        <v>43570000</v>
      </c>
      <c r="G1336" s="3">
        <v>43570000</v>
      </c>
      <c r="H1336" s="4"/>
      <c r="I1336" s="4"/>
      <c r="J1336" s="4"/>
      <c r="K1336" s="4"/>
      <c r="L1336" s="4"/>
      <c r="M1336" s="4"/>
    </row>
    <row r="1337" spans="1:13" ht="15" customHeight="1" x14ac:dyDescent="0.35">
      <c r="A1337" t="str">
        <f t="shared" si="20"/>
        <v>P662ST05C3733</v>
      </c>
      <c r="B1337" t="str">
        <f>IFERROR(VLOOKUP($A1337,'[5]Study Budget Mapping '!$O$2:$P$532,2,0),"TBA")</f>
        <v>TBA</v>
      </c>
      <c r="D1337" s="2" t="s">
        <v>275</v>
      </c>
      <c r="E1337" s="2" t="s">
        <v>22</v>
      </c>
      <c r="F1337" s="3">
        <v>2070000</v>
      </c>
      <c r="G1337" s="3">
        <v>2070000</v>
      </c>
      <c r="H1337" s="4"/>
      <c r="I1337" s="4"/>
      <c r="J1337" s="4"/>
      <c r="K1337" s="4"/>
      <c r="L1337" s="4"/>
      <c r="M1337" s="4"/>
    </row>
    <row r="1338" spans="1:13" ht="15" customHeight="1" x14ac:dyDescent="0.35">
      <c r="A1338" t="str">
        <f t="shared" si="20"/>
        <v>P662ST05C3733</v>
      </c>
      <c r="B1338" t="str">
        <f>IFERROR(VLOOKUP($A1338,'[5]Study Budget Mapping '!$O$2:$P$532,2,0),"TBA")</f>
        <v>TBA</v>
      </c>
      <c r="D1338" s="2" t="s">
        <v>275</v>
      </c>
      <c r="E1338" s="2" t="s">
        <v>16</v>
      </c>
      <c r="F1338" s="3">
        <v>11230000</v>
      </c>
      <c r="G1338" s="3">
        <v>11230000</v>
      </c>
      <c r="H1338" s="4"/>
      <c r="I1338" s="4"/>
      <c r="J1338" s="4"/>
      <c r="K1338" s="4"/>
      <c r="L1338" s="4"/>
      <c r="M1338" s="4"/>
    </row>
    <row r="1339" spans="1:13" ht="15" customHeight="1" x14ac:dyDescent="0.35">
      <c r="A1339" t="str">
        <f t="shared" si="20"/>
        <v>P662ST05C3733</v>
      </c>
      <c r="B1339" t="str">
        <f>IFERROR(VLOOKUP($A1339,'[5]Study Budget Mapping '!$O$2:$P$532,2,0),"TBA")</f>
        <v>TBA</v>
      </c>
      <c r="D1339" s="2" t="s">
        <v>275</v>
      </c>
      <c r="E1339" s="2" t="s">
        <v>17</v>
      </c>
      <c r="F1339" s="3">
        <v>690000</v>
      </c>
      <c r="G1339" s="3">
        <v>690000</v>
      </c>
      <c r="H1339" s="4"/>
      <c r="I1339" s="4"/>
      <c r="J1339" s="4"/>
      <c r="K1339" s="4"/>
      <c r="L1339" s="4"/>
      <c r="M1339" s="4"/>
    </row>
    <row r="1340" spans="1:13" ht="15" customHeight="1" x14ac:dyDescent="0.35">
      <c r="A1340" t="str">
        <f t="shared" si="20"/>
        <v>P662ST05C3733</v>
      </c>
      <c r="B1340" t="str">
        <f>IFERROR(VLOOKUP($A1340,'[5]Study Budget Mapping '!$O$2:$P$532,2,0),"TBA")</f>
        <v>TBA</v>
      </c>
      <c r="D1340" s="2" t="s">
        <v>275</v>
      </c>
      <c r="E1340" s="2" t="s">
        <v>23</v>
      </c>
      <c r="F1340" s="3">
        <v>4930000</v>
      </c>
      <c r="G1340" s="3">
        <v>4930000</v>
      </c>
      <c r="H1340" s="4"/>
      <c r="I1340" s="4"/>
      <c r="J1340" s="4"/>
      <c r="K1340" s="4"/>
      <c r="L1340" s="4"/>
      <c r="M1340" s="4"/>
    </row>
    <row r="1341" spans="1:13" ht="15" customHeight="1" x14ac:dyDescent="0.35">
      <c r="A1341" t="str">
        <f t="shared" si="20"/>
        <v>P662ST05C3733</v>
      </c>
      <c r="B1341" t="str">
        <f>IFERROR(VLOOKUP($A1341,'[5]Study Budget Mapping '!$O$2:$P$532,2,0),"TBA")</f>
        <v>TBA</v>
      </c>
      <c r="D1341" s="2" t="s">
        <v>275</v>
      </c>
      <c r="E1341" s="2" t="s">
        <v>24</v>
      </c>
      <c r="F1341" s="3">
        <v>5180000</v>
      </c>
      <c r="G1341" s="3">
        <v>5180000</v>
      </c>
      <c r="H1341" s="4"/>
      <c r="I1341" s="4"/>
      <c r="J1341" s="4"/>
      <c r="K1341" s="4"/>
      <c r="L1341" s="4"/>
      <c r="M1341" s="4"/>
    </row>
    <row r="1342" spans="1:13" ht="15" customHeight="1" x14ac:dyDescent="0.35">
      <c r="A1342" t="str">
        <f t="shared" si="20"/>
        <v>P662ST05C3733</v>
      </c>
      <c r="B1342" t="str">
        <f>IFERROR(VLOOKUP($A1342,'[5]Study Budget Mapping '!$O$2:$P$532,2,0),"TBA")</f>
        <v>TBA</v>
      </c>
      <c r="D1342" s="2" t="s">
        <v>275</v>
      </c>
      <c r="E1342" s="2" t="s">
        <v>32</v>
      </c>
      <c r="F1342" s="3">
        <v>4780000</v>
      </c>
      <c r="G1342" s="3">
        <v>4780000</v>
      </c>
      <c r="H1342" s="4"/>
      <c r="I1342" s="4"/>
      <c r="J1342" s="4"/>
      <c r="K1342" s="4"/>
      <c r="L1342" s="4"/>
      <c r="M1342" s="4"/>
    </row>
    <row r="1343" spans="1:13" ht="15" customHeight="1" x14ac:dyDescent="0.35">
      <c r="A1343" t="str">
        <f t="shared" si="20"/>
        <v>P662HE01C3731</v>
      </c>
      <c r="B1343" t="str">
        <f>IFERROR(VLOOKUP($A1343,'[5]Study Budget Mapping '!$O$2:$P$532,2,0),"TBA")</f>
        <v>TBA</v>
      </c>
      <c r="D1343" s="2" t="s">
        <v>276</v>
      </c>
      <c r="E1343" s="2" t="s">
        <v>13</v>
      </c>
      <c r="F1343" s="3">
        <v>74110000</v>
      </c>
      <c r="G1343" s="3">
        <v>74110000</v>
      </c>
      <c r="H1343" s="4"/>
      <c r="I1343" s="4"/>
      <c r="J1343" s="4"/>
      <c r="K1343" s="4"/>
      <c r="L1343" s="4"/>
      <c r="M1343" s="4"/>
    </row>
    <row r="1344" spans="1:13" ht="15" customHeight="1" x14ac:dyDescent="0.35">
      <c r="A1344" t="str">
        <f t="shared" si="20"/>
        <v>P662HE01C3731</v>
      </c>
      <c r="B1344" t="str">
        <f>IFERROR(VLOOKUP($A1344,'[5]Study Budget Mapping '!$O$2:$P$532,2,0),"TBA")</f>
        <v>TBA</v>
      </c>
      <c r="D1344" s="2" t="s">
        <v>276</v>
      </c>
      <c r="E1344" s="2" t="s">
        <v>14</v>
      </c>
      <c r="F1344" s="3">
        <v>11800000</v>
      </c>
      <c r="G1344" s="3">
        <v>11800000</v>
      </c>
      <c r="H1344" s="4"/>
      <c r="I1344" s="4"/>
      <c r="J1344" s="4"/>
      <c r="K1344" s="4"/>
      <c r="L1344" s="4"/>
      <c r="M1344" s="4"/>
    </row>
    <row r="1345" spans="1:13" ht="15" customHeight="1" x14ac:dyDescent="0.35">
      <c r="A1345" t="str">
        <f t="shared" si="20"/>
        <v>P662HE01C3731</v>
      </c>
      <c r="B1345" t="str">
        <f>IFERROR(VLOOKUP($A1345,'[5]Study Budget Mapping '!$O$2:$P$532,2,0),"TBA")</f>
        <v>TBA</v>
      </c>
      <c r="D1345" s="2" t="s">
        <v>276</v>
      </c>
      <c r="E1345" s="2" t="s">
        <v>19</v>
      </c>
      <c r="F1345" s="3">
        <v>2590000</v>
      </c>
      <c r="G1345" s="3">
        <v>2590000</v>
      </c>
      <c r="H1345" s="4"/>
      <c r="I1345" s="4"/>
      <c r="J1345" s="4"/>
      <c r="K1345" s="4"/>
      <c r="L1345" s="4"/>
      <c r="M1345" s="4"/>
    </row>
    <row r="1346" spans="1:13" ht="15" customHeight="1" x14ac:dyDescent="0.35">
      <c r="A1346" t="str">
        <f t="shared" si="20"/>
        <v>P662HE01C3731</v>
      </c>
      <c r="B1346" t="str">
        <f>IFERROR(VLOOKUP($A1346,'[5]Study Budget Mapping '!$O$2:$P$532,2,0),"TBA")</f>
        <v>TBA</v>
      </c>
      <c r="D1346" s="2" t="s">
        <v>276</v>
      </c>
      <c r="E1346" s="2" t="s">
        <v>20</v>
      </c>
      <c r="F1346" s="3">
        <v>5000000</v>
      </c>
      <c r="G1346" s="3">
        <v>5000000</v>
      </c>
      <c r="H1346" s="4"/>
      <c r="I1346" s="4"/>
      <c r="J1346" s="4"/>
      <c r="K1346" s="4"/>
      <c r="L1346" s="4"/>
      <c r="M1346" s="4"/>
    </row>
    <row r="1347" spans="1:13" ht="15" customHeight="1" x14ac:dyDescent="0.35">
      <c r="A1347" t="str">
        <f t="shared" ref="A1347:A1410" si="21">TRIM(_xlfn.TEXTBEFORE(D1347,"-",1))</f>
        <v>P662HE01C3731</v>
      </c>
      <c r="B1347" t="str">
        <f>IFERROR(VLOOKUP($A1347,'[5]Study Budget Mapping '!$O$2:$P$532,2,0),"TBA")</f>
        <v>TBA</v>
      </c>
      <c r="D1347" s="2" t="s">
        <v>276</v>
      </c>
      <c r="E1347" s="2" t="s">
        <v>31</v>
      </c>
      <c r="F1347" s="3">
        <v>2530000</v>
      </c>
      <c r="G1347" s="3">
        <v>2530000</v>
      </c>
      <c r="H1347" s="4"/>
      <c r="I1347" s="4"/>
      <c r="J1347" s="4"/>
      <c r="K1347" s="4"/>
      <c r="L1347" s="4"/>
      <c r="M1347" s="4"/>
    </row>
    <row r="1348" spans="1:13" ht="15" customHeight="1" x14ac:dyDescent="0.35">
      <c r="A1348" t="str">
        <f t="shared" si="21"/>
        <v>P662HE01C3731</v>
      </c>
      <c r="B1348" t="str">
        <f>IFERROR(VLOOKUP($A1348,'[5]Study Budget Mapping '!$O$2:$P$532,2,0),"TBA")</f>
        <v>TBA</v>
      </c>
      <c r="D1348" s="2" t="s">
        <v>276</v>
      </c>
      <c r="E1348" s="2" t="s">
        <v>21</v>
      </c>
      <c r="F1348" s="3">
        <v>3610000</v>
      </c>
      <c r="G1348" s="3">
        <v>3610000</v>
      </c>
      <c r="H1348" s="4"/>
      <c r="I1348" s="4"/>
      <c r="J1348" s="4"/>
      <c r="K1348" s="4"/>
      <c r="L1348" s="4"/>
      <c r="M1348" s="4"/>
    </row>
    <row r="1349" spans="1:13" ht="15" customHeight="1" x14ac:dyDescent="0.35">
      <c r="A1349" t="str">
        <f t="shared" si="21"/>
        <v>P662HE01C3731</v>
      </c>
      <c r="B1349" t="str">
        <f>IFERROR(VLOOKUP($A1349,'[5]Study Budget Mapping '!$O$2:$P$532,2,0),"TBA")</f>
        <v>TBA</v>
      </c>
      <c r="D1349" s="2" t="s">
        <v>276</v>
      </c>
      <c r="E1349" s="2" t="s">
        <v>15</v>
      </c>
      <c r="F1349" s="3">
        <v>47420000</v>
      </c>
      <c r="G1349" s="3">
        <v>47420000</v>
      </c>
      <c r="H1349" s="4"/>
      <c r="I1349" s="4"/>
      <c r="J1349" s="4"/>
      <c r="K1349" s="4"/>
      <c r="L1349" s="4"/>
      <c r="M1349" s="4"/>
    </row>
    <row r="1350" spans="1:13" ht="15" customHeight="1" x14ac:dyDescent="0.35">
      <c r="A1350" t="str">
        <f t="shared" si="21"/>
        <v>P662HE01C3731</v>
      </c>
      <c r="B1350" t="str">
        <f>IFERROR(VLOOKUP($A1350,'[5]Study Budget Mapping '!$O$2:$P$532,2,0),"TBA")</f>
        <v>TBA</v>
      </c>
      <c r="D1350" s="2" t="s">
        <v>276</v>
      </c>
      <c r="E1350" s="2" t="s">
        <v>22</v>
      </c>
      <c r="F1350" s="3">
        <v>1890000</v>
      </c>
      <c r="G1350" s="3">
        <v>1890000</v>
      </c>
      <c r="H1350" s="4"/>
      <c r="I1350" s="4"/>
      <c r="J1350" s="4"/>
      <c r="K1350" s="4"/>
      <c r="L1350" s="4"/>
      <c r="M1350" s="4"/>
    </row>
    <row r="1351" spans="1:13" ht="15" customHeight="1" x14ac:dyDescent="0.35">
      <c r="A1351" t="str">
        <f t="shared" si="21"/>
        <v>P662HE01C3731</v>
      </c>
      <c r="B1351" t="str">
        <f>IFERROR(VLOOKUP($A1351,'[5]Study Budget Mapping '!$O$2:$P$532,2,0),"TBA")</f>
        <v>TBA</v>
      </c>
      <c r="D1351" s="2" t="s">
        <v>276</v>
      </c>
      <c r="E1351" s="2" t="s">
        <v>16</v>
      </c>
      <c r="F1351" s="3">
        <v>14360000</v>
      </c>
      <c r="G1351" s="3">
        <v>14360000</v>
      </c>
      <c r="H1351" s="4"/>
      <c r="I1351" s="4"/>
      <c r="J1351" s="4"/>
      <c r="K1351" s="4"/>
      <c r="L1351" s="4"/>
      <c r="M1351" s="4"/>
    </row>
    <row r="1352" spans="1:13" ht="15" customHeight="1" x14ac:dyDescent="0.35">
      <c r="A1352" t="str">
        <f t="shared" si="21"/>
        <v>P662HE01C3731</v>
      </c>
      <c r="B1352" t="str">
        <f>IFERROR(VLOOKUP($A1352,'[5]Study Budget Mapping '!$O$2:$P$532,2,0),"TBA")</f>
        <v>TBA</v>
      </c>
      <c r="D1352" s="2" t="s">
        <v>276</v>
      </c>
      <c r="E1352" s="2" t="s">
        <v>17</v>
      </c>
      <c r="F1352" s="3">
        <v>500000</v>
      </c>
      <c r="G1352" s="3">
        <v>500000</v>
      </c>
      <c r="H1352" s="4"/>
      <c r="I1352" s="4"/>
      <c r="J1352" s="4"/>
      <c r="K1352" s="4"/>
      <c r="L1352" s="4"/>
      <c r="M1352" s="4"/>
    </row>
    <row r="1353" spans="1:13" ht="15" customHeight="1" x14ac:dyDescent="0.35">
      <c r="A1353" t="str">
        <f t="shared" si="21"/>
        <v>P662HE01C3731</v>
      </c>
      <c r="B1353" t="str">
        <f>IFERROR(VLOOKUP($A1353,'[5]Study Budget Mapping '!$O$2:$P$532,2,0),"TBA")</f>
        <v>TBA</v>
      </c>
      <c r="D1353" s="2" t="s">
        <v>276</v>
      </c>
      <c r="E1353" s="2" t="s">
        <v>23</v>
      </c>
      <c r="F1353" s="3">
        <v>4380000</v>
      </c>
      <c r="G1353" s="3">
        <v>4380000</v>
      </c>
      <c r="H1353" s="4"/>
      <c r="I1353" s="4"/>
      <c r="J1353" s="4"/>
      <c r="K1353" s="4"/>
      <c r="L1353" s="4"/>
      <c r="M1353" s="4"/>
    </row>
    <row r="1354" spans="1:13" ht="15" customHeight="1" x14ac:dyDescent="0.35">
      <c r="A1354" t="str">
        <f t="shared" si="21"/>
        <v>P662HE01C3731</v>
      </c>
      <c r="B1354" t="str">
        <f>IFERROR(VLOOKUP($A1354,'[5]Study Budget Mapping '!$O$2:$P$532,2,0),"TBA")</f>
        <v>TBA</v>
      </c>
      <c r="D1354" s="2" t="s">
        <v>276</v>
      </c>
      <c r="E1354" s="2" t="s">
        <v>24</v>
      </c>
      <c r="F1354" s="3">
        <v>7070000</v>
      </c>
      <c r="G1354" s="3">
        <v>7070000</v>
      </c>
      <c r="H1354" s="4"/>
      <c r="I1354" s="4"/>
      <c r="J1354" s="4"/>
      <c r="K1354" s="4"/>
      <c r="L1354" s="4"/>
      <c r="M1354" s="4"/>
    </row>
    <row r="1355" spans="1:13" ht="15" customHeight="1" x14ac:dyDescent="0.35">
      <c r="A1355" t="str">
        <f t="shared" si="21"/>
        <v>P662HE01C3731</v>
      </c>
      <c r="B1355" t="str">
        <f>IFERROR(VLOOKUP($A1355,'[5]Study Budget Mapping '!$O$2:$P$532,2,0),"TBA")</f>
        <v>TBA</v>
      </c>
      <c r="D1355" s="2" t="s">
        <v>276</v>
      </c>
      <c r="E1355" s="2" t="s">
        <v>32</v>
      </c>
      <c r="F1355" s="3">
        <v>2300000</v>
      </c>
      <c r="G1355" s="3">
        <v>2300000</v>
      </c>
      <c r="H1355" s="4"/>
      <c r="I1355" s="4"/>
      <c r="J1355" s="4"/>
      <c r="K1355" s="4"/>
      <c r="L1355" s="4"/>
      <c r="M1355" s="4"/>
    </row>
    <row r="1356" spans="1:13" ht="15" customHeight="1" x14ac:dyDescent="0.35">
      <c r="A1356" t="str">
        <f t="shared" si="21"/>
        <v>P662HE01C3732</v>
      </c>
      <c r="B1356" t="str">
        <f>IFERROR(VLOOKUP($A1356,'[5]Study Budget Mapping '!$O$2:$P$532,2,0),"TBA")</f>
        <v>TBA</v>
      </c>
      <c r="D1356" s="2" t="s">
        <v>277</v>
      </c>
      <c r="E1356" s="2" t="s">
        <v>13</v>
      </c>
      <c r="F1356" s="3">
        <v>28420000</v>
      </c>
      <c r="G1356" s="3">
        <v>27730000</v>
      </c>
      <c r="H1356" s="4"/>
      <c r="I1356" s="4"/>
      <c r="J1356" s="4"/>
      <c r="K1356" s="4"/>
      <c r="L1356" s="4"/>
      <c r="M1356" s="4"/>
    </row>
    <row r="1357" spans="1:13" ht="15" customHeight="1" x14ac:dyDescent="0.35">
      <c r="A1357" t="str">
        <f t="shared" si="21"/>
        <v>P662HE01C3732</v>
      </c>
      <c r="B1357" t="str">
        <f>IFERROR(VLOOKUP($A1357,'[5]Study Budget Mapping '!$O$2:$P$532,2,0),"TBA")</f>
        <v>TBA</v>
      </c>
      <c r="D1357" s="2" t="s">
        <v>277</v>
      </c>
      <c r="E1357" s="2" t="s">
        <v>14</v>
      </c>
      <c r="F1357" s="3">
        <v>5060000</v>
      </c>
      <c r="G1357" s="3">
        <v>4810000</v>
      </c>
      <c r="H1357" s="4"/>
      <c r="I1357" s="4"/>
      <c r="J1357" s="4"/>
      <c r="K1357" s="4"/>
      <c r="L1357" s="4"/>
      <c r="M1357" s="4"/>
    </row>
    <row r="1358" spans="1:13" ht="15" customHeight="1" x14ac:dyDescent="0.35">
      <c r="A1358" t="str">
        <f t="shared" si="21"/>
        <v>P662HE01C3732</v>
      </c>
      <c r="B1358" t="str">
        <f>IFERROR(VLOOKUP($A1358,'[5]Study Budget Mapping '!$O$2:$P$532,2,0),"TBA")</f>
        <v>TBA</v>
      </c>
      <c r="D1358" s="2" t="s">
        <v>277</v>
      </c>
      <c r="E1358" s="2" t="s">
        <v>19</v>
      </c>
      <c r="F1358" s="3">
        <v>1110000</v>
      </c>
      <c r="G1358" s="3">
        <v>1460000</v>
      </c>
      <c r="H1358" s="4"/>
      <c r="I1358" s="4"/>
      <c r="J1358" s="4"/>
      <c r="K1358" s="4"/>
      <c r="L1358" s="4"/>
      <c r="M1358" s="4"/>
    </row>
    <row r="1359" spans="1:13" ht="15" customHeight="1" x14ac:dyDescent="0.35">
      <c r="A1359" t="str">
        <f t="shared" si="21"/>
        <v>P662HE01C3732</v>
      </c>
      <c r="B1359" t="str">
        <f>IFERROR(VLOOKUP($A1359,'[5]Study Budget Mapping '!$O$2:$P$532,2,0),"TBA")</f>
        <v>TBA</v>
      </c>
      <c r="D1359" s="2" t="s">
        <v>277</v>
      </c>
      <c r="E1359" s="2" t="s">
        <v>20</v>
      </c>
      <c r="F1359" s="3">
        <v>2300000</v>
      </c>
      <c r="G1359" s="3">
        <v>2500000</v>
      </c>
      <c r="H1359" s="4"/>
      <c r="I1359" s="4"/>
      <c r="J1359" s="4"/>
      <c r="K1359" s="4"/>
      <c r="L1359" s="4"/>
      <c r="M1359" s="4"/>
    </row>
    <row r="1360" spans="1:13" ht="15" customHeight="1" x14ac:dyDescent="0.35">
      <c r="A1360" t="str">
        <f t="shared" si="21"/>
        <v>P662HE01C3732</v>
      </c>
      <c r="B1360" t="str">
        <f>IFERROR(VLOOKUP($A1360,'[5]Study Budget Mapping '!$O$2:$P$532,2,0),"TBA")</f>
        <v>TBA</v>
      </c>
      <c r="D1360" s="2" t="s">
        <v>277</v>
      </c>
      <c r="E1360" s="2" t="s">
        <v>31</v>
      </c>
      <c r="F1360" s="3">
        <v>480000</v>
      </c>
      <c r="G1360" s="3">
        <v>810000</v>
      </c>
      <c r="H1360" s="4"/>
      <c r="I1360" s="4"/>
      <c r="J1360" s="4"/>
      <c r="K1360" s="4"/>
      <c r="L1360" s="4"/>
      <c r="M1360" s="4"/>
    </row>
    <row r="1361" spans="1:13" ht="15" customHeight="1" x14ac:dyDescent="0.35">
      <c r="A1361" t="str">
        <f t="shared" si="21"/>
        <v>P662HE01C3732</v>
      </c>
      <c r="B1361" t="str">
        <f>IFERROR(VLOOKUP($A1361,'[5]Study Budget Mapping '!$O$2:$P$532,2,0),"TBA")</f>
        <v>TBA</v>
      </c>
      <c r="D1361" s="2" t="s">
        <v>277</v>
      </c>
      <c r="E1361" s="2" t="s">
        <v>21</v>
      </c>
      <c r="F1361" s="3">
        <v>2430000</v>
      </c>
      <c r="G1361" s="3">
        <v>2430000</v>
      </c>
      <c r="H1361" s="4"/>
      <c r="I1361" s="4"/>
      <c r="J1361" s="4"/>
      <c r="K1361" s="4"/>
      <c r="L1361" s="4"/>
      <c r="M1361" s="4"/>
    </row>
    <row r="1362" spans="1:13" ht="15" customHeight="1" x14ac:dyDescent="0.35">
      <c r="A1362" t="str">
        <f t="shared" si="21"/>
        <v>P662HE01C3732</v>
      </c>
      <c r="B1362" t="str">
        <f>IFERROR(VLOOKUP($A1362,'[5]Study Budget Mapping '!$O$2:$P$532,2,0),"TBA")</f>
        <v>TBA</v>
      </c>
      <c r="D1362" s="2" t="s">
        <v>277</v>
      </c>
      <c r="E1362" s="2" t="s">
        <v>15</v>
      </c>
      <c r="F1362" s="3">
        <v>19890000</v>
      </c>
      <c r="G1362" s="3">
        <v>22785000</v>
      </c>
      <c r="H1362" s="4"/>
      <c r="I1362" s="4"/>
      <c r="J1362" s="4"/>
      <c r="K1362" s="4"/>
      <c r="L1362" s="4"/>
      <c r="M1362" s="4"/>
    </row>
    <row r="1363" spans="1:13" ht="15" customHeight="1" x14ac:dyDescent="0.35">
      <c r="A1363" t="str">
        <f t="shared" si="21"/>
        <v>P662HE01C3732</v>
      </c>
      <c r="B1363" t="str">
        <f>IFERROR(VLOOKUP($A1363,'[5]Study Budget Mapping '!$O$2:$P$532,2,0),"TBA")</f>
        <v>TBA</v>
      </c>
      <c r="D1363" s="2" t="s">
        <v>277</v>
      </c>
      <c r="E1363" s="2" t="s">
        <v>22</v>
      </c>
      <c r="F1363" s="3">
        <v>2040000</v>
      </c>
      <c r="G1363" s="3">
        <v>740000</v>
      </c>
      <c r="H1363" s="4"/>
      <c r="I1363" s="4"/>
      <c r="J1363" s="4"/>
      <c r="K1363" s="4"/>
      <c r="L1363" s="4"/>
      <c r="M1363" s="4"/>
    </row>
    <row r="1364" spans="1:13" ht="15" customHeight="1" x14ac:dyDescent="0.35">
      <c r="A1364" t="str">
        <f t="shared" si="21"/>
        <v>P662HE01C3732</v>
      </c>
      <c r="B1364" t="str">
        <f>IFERROR(VLOOKUP($A1364,'[5]Study Budget Mapping '!$O$2:$P$532,2,0),"TBA")</f>
        <v>TBA</v>
      </c>
      <c r="D1364" s="2" t="s">
        <v>277</v>
      </c>
      <c r="E1364" s="2" t="s">
        <v>16</v>
      </c>
      <c r="F1364" s="3">
        <v>9190000</v>
      </c>
      <c r="G1364" s="3">
        <v>7025000</v>
      </c>
      <c r="H1364" s="4"/>
      <c r="I1364" s="4"/>
      <c r="J1364" s="4"/>
      <c r="K1364" s="4"/>
      <c r="L1364" s="4"/>
      <c r="M1364" s="4"/>
    </row>
    <row r="1365" spans="1:13" ht="15" customHeight="1" x14ac:dyDescent="0.35">
      <c r="A1365" t="str">
        <f t="shared" si="21"/>
        <v>P662HE01C3732</v>
      </c>
      <c r="B1365" t="str">
        <f>IFERROR(VLOOKUP($A1365,'[5]Study Budget Mapping '!$O$2:$P$532,2,0),"TBA")</f>
        <v>TBA</v>
      </c>
      <c r="D1365" s="2" t="s">
        <v>277</v>
      </c>
      <c r="E1365" s="2" t="s">
        <v>17</v>
      </c>
      <c r="F1365" s="3">
        <v>450000</v>
      </c>
      <c r="G1365" s="3">
        <v>730000</v>
      </c>
      <c r="H1365" s="4"/>
      <c r="I1365" s="4"/>
      <c r="J1365" s="4"/>
      <c r="K1365" s="4"/>
      <c r="L1365" s="4"/>
      <c r="M1365" s="4"/>
    </row>
    <row r="1366" spans="1:13" ht="15" customHeight="1" x14ac:dyDescent="0.35">
      <c r="A1366" t="str">
        <f t="shared" si="21"/>
        <v>P662HE01C3732</v>
      </c>
      <c r="B1366" t="str">
        <f>IFERROR(VLOOKUP($A1366,'[5]Study Budget Mapping '!$O$2:$P$532,2,0),"TBA")</f>
        <v>TBA</v>
      </c>
      <c r="D1366" s="2" t="s">
        <v>277</v>
      </c>
      <c r="E1366" s="2" t="s">
        <v>23</v>
      </c>
      <c r="F1366" s="3">
        <v>4570000</v>
      </c>
      <c r="G1366" s="3">
        <v>5100000</v>
      </c>
      <c r="H1366" s="4"/>
      <c r="I1366" s="4"/>
      <c r="J1366" s="4"/>
      <c r="K1366" s="4"/>
      <c r="L1366" s="4"/>
      <c r="M1366" s="4"/>
    </row>
    <row r="1367" spans="1:13" ht="15" customHeight="1" x14ac:dyDescent="0.35">
      <c r="A1367" t="str">
        <f t="shared" si="21"/>
        <v>P662HE01C3732</v>
      </c>
      <c r="B1367" t="str">
        <f>IFERROR(VLOOKUP($A1367,'[5]Study Budget Mapping '!$O$2:$P$532,2,0),"TBA")</f>
        <v>TBA</v>
      </c>
      <c r="D1367" s="2" t="s">
        <v>277</v>
      </c>
      <c r="E1367" s="2" t="s">
        <v>24</v>
      </c>
      <c r="F1367" s="3">
        <v>5180000</v>
      </c>
      <c r="G1367" s="3">
        <v>6810000</v>
      </c>
      <c r="H1367" s="4"/>
      <c r="I1367" s="4"/>
      <c r="J1367" s="4"/>
      <c r="K1367" s="4"/>
      <c r="L1367" s="4"/>
      <c r="M1367" s="4"/>
    </row>
    <row r="1368" spans="1:13" ht="15" customHeight="1" x14ac:dyDescent="0.35">
      <c r="A1368" t="str">
        <f t="shared" si="21"/>
        <v>P662HE01C3732</v>
      </c>
      <c r="B1368" t="str">
        <f>IFERROR(VLOOKUP($A1368,'[5]Study Budget Mapping '!$O$2:$P$532,2,0),"TBA")</f>
        <v>TBA</v>
      </c>
      <c r="D1368" s="2" t="s">
        <v>277</v>
      </c>
      <c r="E1368" s="2" t="s">
        <v>32</v>
      </c>
      <c r="F1368" s="3">
        <v>900000</v>
      </c>
      <c r="G1368" s="3">
        <v>1600000</v>
      </c>
      <c r="H1368" s="4"/>
      <c r="I1368" s="4"/>
      <c r="J1368" s="4"/>
      <c r="K1368" s="4"/>
      <c r="L1368" s="4"/>
      <c r="M1368" s="4"/>
    </row>
    <row r="1369" spans="1:13" ht="15" customHeight="1" x14ac:dyDescent="0.35">
      <c r="A1369" t="str">
        <f t="shared" si="21"/>
        <v>P662HE01C3733</v>
      </c>
      <c r="B1369" t="str">
        <f>IFERROR(VLOOKUP($A1369,'[5]Study Budget Mapping '!$O$2:$P$532,2,0),"TBA")</f>
        <v>TBA</v>
      </c>
      <c r="D1369" s="2" t="s">
        <v>278</v>
      </c>
      <c r="E1369" s="2" t="s">
        <v>13</v>
      </c>
      <c r="F1369" s="3">
        <v>95350000</v>
      </c>
      <c r="G1369" s="3">
        <v>88800000</v>
      </c>
      <c r="H1369" s="4"/>
      <c r="I1369" s="4"/>
      <c r="J1369" s="4"/>
      <c r="K1369" s="4"/>
      <c r="L1369" s="4"/>
      <c r="M1369" s="4"/>
    </row>
    <row r="1370" spans="1:13" ht="15" customHeight="1" x14ac:dyDescent="0.35">
      <c r="A1370" t="str">
        <f t="shared" si="21"/>
        <v>P662HE01C3733</v>
      </c>
      <c r="B1370" t="str">
        <f>IFERROR(VLOOKUP($A1370,'[5]Study Budget Mapping '!$O$2:$P$532,2,0),"TBA")</f>
        <v>TBA</v>
      </c>
      <c r="D1370" s="2" t="s">
        <v>278</v>
      </c>
      <c r="E1370" s="2" t="s">
        <v>14</v>
      </c>
      <c r="F1370" s="3">
        <v>10950000</v>
      </c>
      <c r="G1370" s="3">
        <v>10565000</v>
      </c>
      <c r="H1370" s="4"/>
      <c r="I1370" s="4"/>
      <c r="J1370" s="4"/>
      <c r="K1370" s="4"/>
      <c r="L1370" s="4"/>
      <c r="M1370" s="4"/>
    </row>
    <row r="1371" spans="1:13" ht="15" customHeight="1" x14ac:dyDescent="0.35">
      <c r="A1371" t="str">
        <f t="shared" si="21"/>
        <v>P662HE01C3733</v>
      </c>
      <c r="B1371" t="str">
        <f>IFERROR(VLOOKUP($A1371,'[5]Study Budget Mapping '!$O$2:$P$532,2,0),"TBA")</f>
        <v>TBA</v>
      </c>
      <c r="D1371" s="2" t="s">
        <v>278</v>
      </c>
      <c r="E1371" s="2" t="s">
        <v>19</v>
      </c>
      <c r="F1371" s="3">
        <v>1840000</v>
      </c>
      <c r="G1371" s="3">
        <v>2480000</v>
      </c>
      <c r="H1371" s="4"/>
      <c r="I1371" s="4"/>
      <c r="J1371" s="4"/>
      <c r="K1371" s="4"/>
      <c r="L1371" s="4"/>
      <c r="M1371" s="4"/>
    </row>
    <row r="1372" spans="1:13" ht="15" customHeight="1" x14ac:dyDescent="0.35">
      <c r="A1372" t="str">
        <f t="shared" si="21"/>
        <v>P662HE01C3733</v>
      </c>
      <c r="B1372" t="str">
        <f>IFERROR(VLOOKUP($A1372,'[5]Study Budget Mapping '!$O$2:$P$532,2,0),"TBA")</f>
        <v>TBA</v>
      </c>
      <c r="D1372" s="2" t="s">
        <v>278</v>
      </c>
      <c r="E1372" s="2" t="s">
        <v>20</v>
      </c>
      <c r="F1372" s="3">
        <v>3370000</v>
      </c>
      <c r="G1372" s="3">
        <v>3370000</v>
      </c>
      <c r="H1372" s="4"/>
      <c r="I1372" s="4"/>
      <c r="J1372" s="4"/>
      <c r="K1372" s="4"/>
      <c r="L1372" s="4"/>
      <c r="M1372" s="4"/>
    </row>
    <row r="1373" spans="1:13" ht="15" customHeight="1" x14ac:dyDescent="0.35">
      <c r="A1373" t="str">
        <f t="shared" si="21"/>
        <v>P662HE01C3733</v>
      </c>
      <c r="B1373" t="str">
        <f>IFERROR(VLOOKUP($A1373,'[5]Study Budget Mapping '!$O$2:$P$532,2,0),"TBA")</f>
        <v>TBA</v>
      </c>
      <c r="D1373" s="2" t="s">
        <v>278</v>
      </c>
      <c r="E1373" s="2" t="s">
        <v>31</v>
      </c>
      <c r="F1373" s="3">
        <v>1930000</v>
      </c>
      <c r="G1373" s="3">
        <v>2800000</v>
      </c>
      <c r="H1373" s="4"/>
      <c r="I1373" s="4"/>
      <c r="J1373" s="4"/>
      <c r="K1373" s="4"/>
      <c r="L1373" s="4"/>
      <c r="M1373" s="4"/>
    </row>
    <row r="1374" spans="1:13" ht="15" customHeight="1" x14ac:dyDescent="0.35">
      <c r="A1374" t="str">
        <f t="shared" si="21"/>
        <v>P662HE01C3733</v>
      </c>
      <c r="B1374" t="str">
        <f>IFERROR(VLOOKUP($A1374,'[5]Study Budget Mapping '!$O$2:$P$532,2,0),"TBA")</f>
        <v>TBA</v>
      </c>
      <c r="D1374" s="2" t="s">
        <v>278</v>
      </c>
      <c r="E1374" s="2" t="s">
        <v>21</v>
      </c>
      <c r="F1374" s="3">
        <v>13810000</v>
      </c>
      <c r="G1374" s="3">
        <v>15200000</v>
      </c>
      <c r="H1374" s="4"/>
      <c r="I1374" s="4"/>
      <c r="J1374" s="4"/>
      <c r="K1374" s="4"/>
      <c r="L1374" s="4"/>
      <c r="M1374" s="4"/>
    </row>
    <row r="1375" spans="1:13" ht="15" customHeight="1" x14ac:dyDescent="0.35">
      <c r="A1375" t="str">
        <f t="shared" si="21"/>
        <v>P662HE01C3733</v>
      </c>
      <c r="B1375" t="str">
        <f>IFERROR(VLOOKUP($A1375,'[5]Study Budget Mapping '!$O$2:$P$532,2,0),"TBA")</f>
        <v>TBA</v>
      </c>
      <c r="D1375" s="2" t="s">
        <v>278</v>
      </c>
      <c r="E1375" s="2" t="s">
        <v>15</v>
      </c>
      <c r="F1375" s="3">
        <v>40570000</v>
      </c>
      <c r="G1375" s="3">
        <v>40700000</v>
      </c>
      <c r="H1375" s="4"/>
      <c r="I1375" s="4"/>
      <c r="J1375" s="4"/>
      <c r="K1375" s="4"/>
      <c r="L1375" s="4"/>
      <c r="M1375" s="4"/>
    </row>
    <row r="1376" spans="1:13" ht="15" customHeight="1" x14ac:dyDescent="0.35">
      <c r="A1376" t="str">
        <f t="shared" si="21"/>
        <v>P662HE01C3733</v>
      </c>
      <c r="B1376" t="str">
        <f>IFERROR(VLOOKUP($A1376,'[5]Study Budget Mapping '!$O$2:$P$532,2,0),"TBA")</f>
        <v>TBA</v>
      </c>
      <c r="D1376" s="2" t="s">
        <v>278</v>
      </c>
      <c r="E1376" s="2" t="s">
        <v>22</v>
      </c>
      <c r="F1376" s="3">
        <v>1320000</v>
      </c>
      <c r="G1376" s="3">
        <v>1320000</v>
      </c>
      <c r="H1376" s="4"/>
      <c r="I1376" s="4"/>
      <c r="J1376" s="4"/>
      <c r="K1376" s="4"/>
      <c r="L1376" s="4"/>
      <c r="M1376" s="4"/>
    </row>
    <row r="1377" spans="1:13" ht="15" customHeight="1" x14ac:dyDescent="0.35">
      <c r="A1377" t="str">
        <f t="shared" si="21"/>
        <v>P662HE01C3733</v>
      </c>
      <c r="B1377" t="str">
        <f>IFERROR(VLOOKUP($A1377,'[5]Study Budget Mapping '!$O$2:$P$532,2,0),"TBA")</f>
        <v>TBA</v>
      </c>
      <c r="D1377" s="2" t="s">
        <v>278</v>
      </c>
      <c r="E1377" s="2" t="s">
        <v>16</v>
      </c>
      <c r="F1377" s="3">
        <v>11920000</v>
      </c>
      <c r="G1377" s="3">
        <v>10712000</v>
      </c>
      <c r="H1377" s="4"/>
      <c r="I1377" s="4"/>
      <c r="J1377" s="4"/>
      <c r="K1377" s="4"/>
      <c r="L1377" s="4"/>
      <c r="M1377" s="4"/>
    </row>
    <row r="1378" spans="1:13" ht="15" customHeight="1" x14ac:dyDescent="0.35">
      <c r="A1378" t="str">
        <f t="shared" si="21"/>
        <v>P662HE01C3733</v>
      </c>
      <c r="B1378" t="str">
        <f>IFERROR(VLOOKUP($A1378,'[5]Study Budget Mapping '!$O$2:$P$532,2,0),"TBA")</f>
        <v>TBA</v>
      </c>
      <c r="D1378" s="2" t="s">
        <v>278</v>
      </c>
      <c r="E1378" s="2" t="s">
        <v>17</v>
      </c>
      <c r="F1378" s="3">
        <v>550000</v>
      </c>
      <c r="G1378" s="3">
        <v>900000</v>
      </c>
      <c r="H1378" s="4"/>
      <c r="I1378" s="4"/>
      <c r="J1378" s="4"/>
      <c r="K1378" s="4"/>
      <c r="L1378" s="4"/>
      <c r="M1378" s="4"/>
    </row>
    <row r="1379" spans="1:13" ht="15" customHeight="1" x14ac:dyDescent="0.35">
      <c r="A1379" t="str">
        <f t="shared" si="21"/>
        <v>P662HE01C3733</v>
      </c>
      <c r="B1379" t="str">
        <f>IFERROR(VLOOKUP($A1379,'[5]Study Budget Mapping '!$O$2:$P$532,2,0),"TBA")</f>
        <v>TBA</v>
      </c>
      <c r="D1379" s="2" t="s">
        <v>278</v>
      </c>
      <c r="E1379" s="2" t="s">
        <v>23</v>
      </c>
      <c r="F1379" s="3">
        <v>4220000</v>
      </c>
      <c r="G1379" s="3">
        <v>4648000</v>
      </c>
      <c r="H1379" s="4"/>
      <c r="I1379" s="4"/>
      <c r="J1379" s="4"/>
      <c r="K1379" s="4"/>
      <c r="L1379" s="4"/>
      <c r="M1379" s="4"/>
    </row>
    <row r="1380" spans="1:13" ht="15" customHeight="1" x14ac:dyDescent="0.35">
      <c r="A1380" t="str">
        <f t="shared" si="21"/>
        <v>P662HE01C3733</v>
      </c>
      <c r="B1380" t="str">
        <f>IFERROR(VLOOKUP($A1380,'[5]Study Budget Mapping '!$O$2:$P$532,2,0),"TBA")</f>
        <v>TBA</v>
      </c>
      <c r="D1380" s="2" t="s">
        <v>278</v>
      </c>
      <c r="E1380" s="2" t="s">
        <v>24</v>
      </c>
      <c r="F1380" s="3">
        <v>5340000</v>
      </c>
      <c r="G1380" s="3">
        <v>9180000</v>
      </c>
      <c r="H1380" s="4"/>
      <c r="I1380" s="4"/>
      <c r="J1380" s="4"/>
      <c r="K1380" s="4"/>
      <c r="L1380" s="4"/>
      <c r="M1380" s="4"/>
    </row>
    <row r="1381" spans="1:13" ht="15" customHeight="1" x14ac:dyDescent="0.35">
      <c r="A1381" t="str">
        <f t="shared" si="21"/>
        <v>P662HE01C3733</v>
      </c>
      <c r="B1381" t="str">
        <f>IFERROR(VLOOKUP($A1381,'[5]Study Budget Mapping '!$O$2:$P$532,2,0),"TBA")</f>
        <v>TBA</v>
      </c>
      <c r="D1381" s="2" t="s">
        <v>278</v>
      </c>
      <c r="E1381" s="2" t="s">
        <v>32</v>
      </c>
      <c r="F1381" s="3">
        <v>2550000</v>
      </c>
      <c r="G1381" s="3">
        <v>3045000</v>
      </c>
      <c r="H1381" s="4"/>
      <c r="I1381" s="4"/>
      <c r="J1381" s="4"/>
      <c r="K1381" s="4"/>
      <c r="L1381" s="4"/>
      <c r="M1381" s="4"/>
    </row>
    <row r="1382" spans="1:13" ht="15" customHeight="1" x14ac:dyDescent="0.35">
      <c r="A1382" t="str">
        <f t="shared" si="21"/>
        <v>P662HE04C3731</v>
      </c>
      <c r="B1382" t="str">
        <f>IFERROR(VLOOKUP($A1382,'[5]Study Budget Mapping '!$O$2:$P$532,2,0),"TBA")</f>
        <v>TBA</v>
      </c>
      <c r="D1382" s="2" t="s">
        <v>279</v>
      </c>
      <c r="E1382" s="2" t="s">
        <v>15</v>
      </c>
      <c r="F1382" s="3">
        <v>15000000</v>
      </c>
      <c r="G1382" s="3">
        <v>15000000</v>
      </c>
      <c r="H1382" s="4"/>
      <c r="I1382" s="4"/>
      <c r="J1382" s="4"/>
      <c r="K1382" s="4"/>
      <c r="L1382" s="4"/>
      <c r="M1382" s="4"/>
    </row>
    <row r="1383" spans="1:13" ht="15" customHeight="1" x14ac:dyDescent="0.35">
      <c r="A1383" t="str">
        <f t="shared" si="21"/>
        <v>P664ID00C1211</v>
      </c>
      <c r="B1383" t="str">
        <f>IFERROR(VLOOKUP($A1383,'[5]Study Budget Mapping '!$O$2:$P$532,2,0),"TBA")</f>
        <v>TBA</v>
      </c>
      <c r="D1383" s="2" t="s">
        <v>280</v>
      </c>
      <c r="E1383" s="2" t="s">
        <v>32</v>
      </c>
      <c r="F1383" s="3">
        <v>615000</v>
      </c>
      <c r="G1383" s="3">
        <v>615000</v>
      </c>
      <c r="H1383" s="4"/>
      <c r="I1383" s="4"/>
      <c r="J1383" s="4"/>
      <c r="K1383" s="4"/>
      <c r="L1383" s="4"/>
      <c r="M1383" s="4"/>
    </row>
    <row r="1384" spans="1:13" ht="15" customHeight="1" x14ac:dyDescent="0.35">
      <c r="A1384" t="str">
        <f t="shared" si="21"/>
        <v>P664ST00C1011</v>
      </c>
      <c r="B1384" t="str">
        <f>IFERROR(VLOOKUP($A1384,'[5]Study Budget Mapping '!$O$2:$P$532,2,0),"TBA")</f>
        <v>TBA</v>
      </c>
      <c r="D1384" s="2" t="s">
        <v>281</v>
      </c>
      <c r="E1384" s="2" t="s">
        <v>13</v>
      </c>
      <c r="F1384" s="3">
        <v>66849396</v>
      </c>
      <c r="G1384" s="3">
        <v>66849396</v>
      </c>
      <c r="H1384" s="4"/>
      <c r="I1384" s="4"/>
      <c r="J1384" s="4"/>
      <c r="K1384" s="4"/>
      <c r="L1384" s="4"/>
      <c r="M1384" s="4"/>
    </row>
    <row r="1385" spans="1:13" ht="15" customHeight="1" x14ac:dyDescent="0.35">
      <c r="A1385" t="str">
        <f t="shared" si="21"/>
        <v>P664ST00C1011</v>
      </c>
      <c r="B1385" t="str">
        <f>IFERROR(VLOOKUP($A1385,'[5]Study Budget Mapping '!$O$2:$P$532,2,0),"TBA")</f>
        <v>TBA</v>
      </c>
      <c r="D1385" s="2" t="s">
        <v>281</v>
      </c>
      <c r="E1385" s="2" t="s">
        <v>14</v>
      </c>
      <c r="F1385" s="3">
        <v>8362844</v>
      </c>
      <c r="G1385" s="3">
        <v>8362844</v>
      </c>
      <c r="H1385" s="4"/>
      <c r="I1385" s="4"/>
      <c r="J1385" s="4"/>
      <c r="K1385" s="4"/>
      <c r="L1385" s="4"/>
      <c r="M1385" s="4"/>
    </row>
    <row r="1386" spans="1:13" ht="15" customHeight="1" x14ac:dyDescent="0.35">
      <c r="A1386" t="str">
        <f t="shared" si="21"/>
        <v>P664ST00C1011</v>
      </c>
      <c r="B1386" t="str">
        <f>IFERROR(VLOOKUP($A1386,'[5]Study Budget Mapping '!$O$2:$P$532,2,0),"TBA")</f>
        <v>TBA</v>
      </c>
      <c r="D1386" s="2" t="s">
        <v>281</v>
      </c>
      <c r="E1386" s="2" t="s">
        <v>19</v>
      </c>
      <c r="F1386" s="3">
        <v>510500</v>
      </c>
      <c r="G1386" s="3">
        <v>510500</v>
      </c>
      <c r="H1386" s="4"/>
      <c r="I1386" s="4"/>
      <c r="J1386" s="4"/>
      <c r="K1386" s="4"/>
      <c r="L1386" s="4"/>
      <c r="M1386" s="4"/>
    </row>
    <row r="1387" spans="1:13" ht="15" customHeight="1" x14ac:dyDescent="0.35">
      <c r="A1387" t="str">
        <f t="shared" si="21"/>
        <v>P664ST00C1011</v>
      </c>
      <c r="B1387" t="str">
        <f>IFERROR(VLOOKUP($A1387,'[5]Study Budget Mapping '!$O$2:$P$532,2,0),"TBA")</f>
        <v>TBA</v>
      </c>
      <c r="D1387" s="2" t="s">
        <v>281</v>
      </c>
      <c r="E1387" s="2" t="s">
        <v>15</v>
      </c>
      <c r="F1387" s="3">
        <v>36409145</v>
      </c>
      <c r="G1387" s="3">
        <v>36409145</v>
      </c>
      <c r="H1387" s="4"/>
      <c r="I1387" s="4"/>
      <c r="J1387" s="4"/>
      <c r="K1387" s="4"/>
      <c r="L1387" s="4"/>
      <c r="M1387" s="4"/>
    </row>
    <row r="1388" spans="1:13" ht="15" customHeight="1" x14ac:dyDescent="0.35">
      <c r="A1388" t="str">
        <f t="shared" si="21"/>
        <v>P664ST00C1011</v>
      </c>
      <c r="B1388" t="str">
        <f>IFERROR(VLOOKUP($A1388,'[5]Study Budget Mapping '!$O$2:$P$532,2,0),"TBA")</f>
        <v>TBA</v>
      </c>
      <c r="D1388" s="2" t="s">
        <v>281</v>
      </c>
      <c r="E1388" s="2" t="s">
        <v>16</v>
      </c>
      <c r="F1388" s="3">
        <v>4077967</v>
      </c>
      <c r="G1388" s="3">
        <v>4077967</v>
      </c>
      <c r="H1388" s="4"/>
      <c r="I1388" s="4"/>
      <c r="J1388" s="4"/>
      <c r="K1388" s="4"/>
      <c r="L1388" s="4"/>
      <c r="M1388" s="4"/>
    </row>
    <row r="1389" spans="1:13" ht="15" customHeight="1" x14ac:dyDescent="0.35">
      <c r="A1389" t="str">
        <f t="shared" si="21"/>
        <v>P664ST00C1011</v>
      </c>
      <c r="B1389" t="str">
        <f>IFERROR(VLOOKUP($A1389,'[5]Study Budget Mapping '!$O$2:$P$532,2,0),"TBA")</f>
        <v>TBA</v>
      </c>
      <c r="D1389" s="2" t="s">
        <v>281</v>
      </c>
      <c r="E1389" s="2" t="s">
        <v>17</v>
      </c>
      <c r="F1389" s="3">
        <v>1109055</v>
      </c>
      <c r="G1389" s="3">
        <v>1109055</v>
      </c>
      <c r="H1389" s="4"/>
      <c r="I1389" s="4"/>
      <c r="J1389" s="4"/>
      <c r="K1389" s="4"/>
      <c r="L1389" s="4"/>
      <c r="M1389" s="4"/>
    </row>
    <row r="1390" spans="1:13" ht="15" customHeight="1" x14ac:dyDescent="0.35">
      <c r="A1390" t="str">
        <f t="shared" si="21"/>
        <v>P664ST00C1011</v>
      </c>
      <c r="B1390" t="str">
        <f>IFERROR(VLOOKUP($A1390,'[5]Study Budget Mapping '!$O$2:$P$532,2,0),"TBA")</f>
        <v>TBA</v>
      </c>
      <c r="D1390" s="2" t="s">
        <v>281</v>
      </c>
      <c r="E1390" s="2" t="s">
        <v>28</v>
      </c>
      <c r="F1390" s="3">
        <v>2676348</v>
      </c>
      <c r="G1390" s="3">
        <v>2676348</v>
      </c>
      <c r="H1390" s="4"/>
      <c r="I1390" s="4"/>
      <c r="J1390" s="4"/>
      <c r="K1390" s="4"/>
      <c r="L1390" s="4"/>
      <c r="M1390" s="4"/>
    </row>
    <row r="1391" spans="1:13" ht="15" customHeight="1" x14ac:dyDescent="0.35">
      <c r="A1391" t="str">
        <f t="shared" si="21"/>
        <v>P664ST00C1121</v>
      </c>
      <c r="B1391" t="str">
        <f>IFERROR(VLOOKUP($A1391,'[5]Study Budget Mapping '!$O$2:$P$532,2,0),"TBA")</f>
        <v>TBA</v>
      </c>
      <c r="D1391" s="2" t="s">
        <v>282</v>
      </c>
      <c r="E1391" s="2" t="s">
        <v>13</v>
      </c>
      <c r="F1391" s="3">
        <v>321629.5</v>
      </c>
      <c r="G1391" s="3">
        <v>10360000</v>
      </c>
      <c r="H1391" s="4"/>
      <c r="I1391" s="4"/>
      <c r="J1391" s="4"/>
      <c r="K1391" s="4"/>
      <c r="L1391" s="4"/>
      <c r="M1391" s="4"/>
    </row>
    <row r="1392" spans="1:13" ht="15" customHeight="1" x14ac:dyDescent="0.35">
      <c r="A1392" t="str">
        <f t="shared" si="21"/>
        <v>P664ST00C1121</v>
      </c>
      <c r="B1392" t="str">
        <f>IFERROR(VLOOKUP($A1392,'[5]Study Budget Mapping '!$O$2:$P$532,2,0),"TBA")</f>
        <v>TBA</v>
      </c>
      <c r="D1392" s="2" t="s">
        <v>282</v>
      </c>
      <c r="E1392" s="2" t="s">
        <v>14</v>
      </c>
      <c r="F1392" s="3">
        <v>207017</v>
      </c>
      <c r="G1392" s="3">
        <v>4430000</v>
      </c>
      <c r="H1392" s="4"/>
      <c r="I1392" s="4"/>
      <c r="J1392" s="4"/>
      <c r="K1392" s="4"/>
      <c r="L1392" s="4"/>
      <c r="M1392" s="4"/>
    </row>
    <row r="1393" spans="1:13" ht="15" customHeight="1" x14ac:dyDescent="0.35">
      <c r="A1393" t="str">
        <f t="shared" si="21"/>
        <v>P664ST00C1121</v>
      </c>
      <c r="B1393" t="str">
        <f>IFERROR(VLOOKUP($A1393,'[5]Study Budget Mapping '!$O$2:$P$532,2,0),"TBA")</f>
        <v>TBA</v>
      </c>
      <c r="D1393" s="2" t="s">
        <v>282</v>
      </c>
      <c r="E1393" s="2" t="s">
        <v>20</v>
      </c>
      <c r="F1393" s="3">
        <v>0</v>
      </c>
      <c r="G1393" s="3">
        <v>1300000</v>
      </c>
      <c r="H1393" s="4"/>
      <c r="I1393" s="4"/>
      <c r="J1393" s="4"/>
      <c r="K1393" s="4"/>
      <c r="L1393" s="4"/>
      <c r="M1393" s="4"/>
    </row>
    <row r="1394" spans="1:13" ht="15" customHeight="1" x14ac:dyDescent="0.35">
      <c r="A1394" t="str">
        <f t="shared" si="21"/>
        <v>P664ST00C1121</v>
      </c>
      <c r="B1394" t="str">
        <f>IFERROR(VLOOKUP($A1394,'[5]Study Budget Mapping '!$O$2:$P$532,2,0),"TBA")</f>
        <v>TBA</v>
      </c>
      <c r="D1394" s="2" t="s">
        <v>282</v>
      </c>
      <c r="E1394" s="2" t="s">
        <v>15</v>
      </c>
      <c r="F1394" s="3">
        <v>2798475.31</v>
      </c>
      <c r="G1394" s="3">
        <v>30600000</v>
      </c>
      <c r="H1394" s="4"/>
      <c r="I1394" s="4"/>
      <c r="J1394" s="4"/>
      <c r="K1394" s="4"/>
      <c r="L1394" s="4"/>
      <c r="M1394" s="4"/>
    </row>
    <row r="1395" spans="1:13" ht="15" customHeight="1" x14ac:dyDescent="0.35">
      <c r="A1395" t="str">
        <f t="shared" si="21"/>
        <v>P664ST00C1121</v>
      </c>
      <c r="B1395" t="str">
        <f>IFERROR(VLOOKUP($A1395,'[5]Study Budget Mapping '!$O$2:$P$532,2,0),"TBA")</f>
        <v>TBA</v>
      </c>
      <c r="D1395" s="2" t="s">
        <v>282</v>
      </c>
      <c r="E1395" s="2" t="s">
        <v>22</v>
      </c>
      <c r="F1395" s="3">
        <v>0</v>
      </c>
      <c r="G1395" s="3">
        <v>2550000</v>
      </c>
      <c r="H1395" s="4"/>
      <c r="I1395" s="4"/>
      <c r="J1395" s="4"/>
      <c r="K1395" s="4"/>
      <c r="L1395" s="4"/>
      <c r="M1395" s="4"/>
    </row>
    <row r="1396" spans="1:13" ht="15" customHeight="1" x14ac:dyDescent="0.35">
      <c r="A1396" t="str">
        <f t="shared" si="21"/>
        <v>P664ST00C1121</v>
      </c>
      <c r="B1396" t="str">
        <f>IFERROR(VLOOKUP($A1396,'[5]Study Budget Mapping '!$O$2:$P$532,2,0),"TBA")</f>
        <v>TBA</v>
      </c>
      <c r="D1396" s="2" t="s">
        <v>282</v>
      </c>
      <c r="E1396" s="2" t="s">
        <v>16</v>
      </c>
      <c r="F1396" s="3">
        <v>99999.13</v>
      </c>
      <c r="G1396" s="3">
        <v>2800000</v>
      </c>
      <c r="H1396" s="4"/>
      <c r="I1396" s="4"/>
      <c r="J1396" s="4"/>
      <c r="K1396" s="4"/>
      <c r="L1396" s="4"/>
      <c r="M1396" s="4"/>
    </row>
    <row r="1397" spans="1:13" ht="15" customHeight="1" x14ac:dyDescent="0.35">
      <c r="A1397" t="str">
        <f t="shared" si="21"/>
        <v>P664ST00C1121</v>
      </c>
      <c r="B1397" t="str">
        <f>IFERROR(VLOOKUP($A1397,'[5]Study Budget Mapping '!$O$2:$P$532,2,0),"TBA")</f>
        <v>TBA</v>
      </c>
      <c r="D1397" s="2" t="s">
        <v>282</v>
      </c>
      <c r="E1397" s="2" t="s">
        <v>17</v>
      </c>
      <c r="F1397" s="3">
        <v>0</v>
      </c>
      <c r="G1397" s="3">
        <v>630000</v>
      </c>
      <c r="H1397" s="4"/>
      <c r="I1397" s="4"/>
      <c r="J1397" s="4"/>
      <c r="K1397" s="4"/>
      <c r="L1397" s="4"/>
      <c r="M1397" s="4"/>
    </row>
    <row r="1398" spans="1:13" ht="15" customHeight="1" x14ac:dyDescent="0.35">
      <c r="A1398" t="str">
        <f t="shared" si="21"/>
        <v>P664ST00C1121</v>
      </c>
      <c r="B1398" t="str">
        <f>IFERROR(VLOOKUP($A1398,'[5]Study Budget Mapping '!$O$2:$P$532,2,0),"TBA")</f>
        <v>TBA</v>
      </c>
      <c r="D1398" s="2" t="s">
        <v>282</v>
      </c>
      <c r="E1398" s="2" t="s">
        <v>23</v>
      </c>
      <c r="F1398" s="3">
        <v>42687</v>
      </c>
      <c r="G1398" s="3">
        <v>0</v>
      </c>
      <c r="H1398" s="4"/>
      <c r="I1398" s="4"/>
      <c r="J1398" s="4"/>
      <c r="K1398" s="4"/>
      <c r="L1398" s="4"/>
      <c r="M1398" s="4"/>
    </row>
    <row r="1399" spans="1:13" ht="15" customHeight="1" x14ac:dyDescent="0.35">
      <c r="A1399" t="str">
        <f t="shared" si="21"/>
        <v>P664ST00C1121</v>
      </c>
      <c r="B1399" t="str">
        <f>IFERROR(VLOOKUP($A1399,'[5]Study Budget Mapping '!$O$2:$P$532,2,0),"TBA")</f>
        <v>TBA</v>
      </c>
      <c r="D1399" s="2" t="s">
        <v>282</v>
      </c>
      <c r="E1399" s="2" t="s">
        <v>24</v>
      </c>
      <c r="F1399" s="3">
        <v>118319</v>
      </c>
      <c r="G1399" s="3">
        <v>1200000</v>
      </c>
      <c r="H1399" s="4"/>
      <c r="I1399" s="4"/>
      <c r="J1399" s="4"/>
      <c r="K1399" s="4"/>
      <c r="L1399" s="4"/>
      <c r="M1399" s="4"/>
    </row>
    <row r="1400" spans="1:13" ht="15" customHeight="1" x14ac:dyDescent="0.35">
      <c r="A1400" t="str">
        <f t="shared" si="21"/>
        <v>P664ST00C1611</v>
      </c>
      <c r="B1400" t="str">
        <f>IFERROR(VLOOKUP($A1400,'[5]Study Budget Mapping '!$O$2:$P$532,2,0),"TBA")</f>
        <v>TBA</v>
      </c>
      <c r="D1400" s="2" t="s">
        <v>283</v>
      </c>
      <c r="E1400" s="2" t="s">
        <v>13</v>
      </c>
      <c r="F1400" s="3">
        <v>12800000</v>
      </c>
      <c r="G1400" s="3">
        <v>12800000</v>
      </c>
      <c r="H1400" s="4"/>
      <c r="I1400" s="4"/>
      <c r="J1400" s="4"/>
      <c r="K1400" s="4"/>
      <c r="L1400" s="4"/>
      <c r="M1400" s="4"/>
    </row>
    <row r="1401" spans="1:13" ht="15" customHeight="1" x14ac:dyDescent="0.35">
      <c r="A1401" t="str">
        <f t="shared" si="21"/>
        <v>P664ST00C1611</v>
      </c>
      <c r="B1401" t="str">
        <f>IFERROR(VLOOKUP($A1401,'[5]Study Budget Mapping '!$O$2:$P$532,2,0),"TBA")</f>
        <v>TBA</v>
      </c>
      <c r="D1401" s="2" t="s">
        <v>283</v>
      </c>
      <c r="E1401" s="2" t="s">
        <v>14</v>
      </c>
      <c r="F1401" s="3">
        <v>1300000</v>
      </c>
      <c r="G1401" s="3">
        <v>1300000</v>
      </c>
      <c r="H1401" s="4"/>
      <c r="I1401" s="4"/>
      <c r="J1401" s="4"/>
      <c r="K1401" s="4"/>
      <c r="L1401" s="4"/>
      <c r="M1401" s="4"/>
    </row>
    <row r="1402" spans="1:13" ht="15" customHeight="1" x14ac:dyDescent="0.35">
      <c r="A1402" t="str">
        <f t="shared" si="21"/>
        <v>P664ST00C1611</v>
      </c>
      <c r="B1402" t="str">
        <f>IFERROR(VLOOKUP($A1402,'[5]Study Budget Mapping '!$O$2:$P$532,2,0),"TBA")</f>
        <v>TBA</v>
      </c>
      <c r="D1402" s="2" t="s">
        <v>283</v>
      </c>
      <c r="E1402" s="2" t="s">
        <v>15</v>
      </c>
      <c r="F1402" s="3">
        <v>8630000</v>
      </c>
      <c r="G1402" s="3">
        <v>8630000</v>
      </c>
      <c r="H1402" s="4"/>
      <c r="I1402" s="4"/>
      <c r="J1402" s="4"/>
      <c r="K1402" s="4"/>
      <c r="L1402" s="4"/>
      <c r="M1402" s="4"/>
    </row>
    <row r="1403" spans="1:13" ht="15" customHeight="1" x14ac:dyDescent="0.35">
      <c r="A1403" t="str">
        <f t="shared" si="21"/>
        <v>P664ST00C1611</v>
      </c>
      <c r="B1403" t="str">
        <f>IFERROR(VLOOKUP($A1403,'[5]Study Budget Mapping '!$O$2:$P$532,2,0),"TBA")</f>
        <v>TBA</v>
      </c>
      <c r="D1403" s="2" t="s">
        <v>283</v>
      </c>
      <c r="E1403" s="2" t="s">
        <v>16</v>
      </c>
      <c r="F1403" s="3">
        <v>1100000</v>
      </c>
      <c r="G1403" s="3">
        <v>1100000</v>
      </c>
      <c r="H1403" s="4"/>
      <c r="I1403" s="4"/>
      <c r="J1403" s="4"/>
      <c r="K1403" s="4"/>
      <c r="L1403" s="4"/>
      <c r="M1403" s="4"/>
    </row>
    <row r="1404" spans="1:13" ht="15" customHeight="1" x14ac:dyDescent="0.35">
      <c r="A1404" t="str">
        <f t="shared" si="21"/>
        <v>P664ST00C1611</v>
      </c>
      <c r="B1404" t="str">
        <f>IFERROR(VLOOKUP($A1404,'[5]Study Budget Mapping '!$O$2:$P$532,2,0),"TBA")</f>
        <v>TBA</v>
      </c>
      <c r="D1404" s="2" t="s">
        <v>283</v>
      </c>
      <c r="E1404" s="2" t="s">
        <v>17</v>
      </c>
      <c r="F1404" s="3">
        <v>400000</v>
      </c>
      <c r="G1404" s="3">
        <v>400000</v>
      </c>
      <c r="H1404" s="4"/>
      <c r="I1404" s="4"/>
      <c r="J1404" s="4"/>
      <c r="K1404" s="4"/>
      <c r="L1404" s="4"/>
      <c r="M1404" s="4"/>
    </row>
    <row r="1405" spans="1:13" ht="15" customHeight="1" x14ac:dyDescent="0.35">
      <c r="A1405" t="str">
        <f t="shared" si="21"/>
        <v>P664ST00C1611</v>
      </c>
      <c r="B1405" t="str">
        <f>IFERROR(VLOOKUP($A1405,'[5]Study Budget Mapping '!$O$2:$P$532,2,0),"TBA")</f>
        <v>TBA</v>
      </c>
      <c r="D1405" s="2" t="s">
        <v>283</v>
      </c>
      <c r="E1405" s="2" t="s">
        <v>24</v>
      </c>
      <c r="F1405" s="3">
        <v>800000</v>
      </c>
      <c r="G1405" s="3">
        <v>800000</v>
      </c>
      <c r="H1405" s="4"/>
      <c r="I1405" s="4"/>
      <c r="J1405" s="4"/>
      <c r="K1405" s="4"/>
      <c r="L1405" s="4"/>
      <c r="M1405" s="4"/>
    </row>
    <row r="1406" spans="1:13" ht="15" customHeight="1" x14ac:dyDescent="0.35">
      <c r="A1406" t="str">
        <f t="shared" si="21"/>
        <v>P664ST01C2411</v>
      </c>
      <c r="B1406" t="str">
        <f>IFERROR(VLOOKUP($A1406,'[5]Study Budget Mapping '!$O$2:$P$532,2,0),"TBA")</f>
        <v>TBA</v>
      </c>
      <c r="D1406" s="2" t="s">
        <v>284</v>
      </c>
      <c r="E1406" s="2" t="s">
        <v>13</v>
      </c>
      <c r="F1406" s="3">
        <v>5520000</v>
      </c>
      <c r="G1406" s="3">
        <v>5520000</v>
      </c>
      <c r="H1406" s="4"/>
      <c r="I1406" s="4"/>
      <c r="J1406" s="4"/>
      <c r="K1406" s="4"/>
      <c r="L1406" s="4"/>
      <c r="M1406" s="4"/>
    </row>
    <row r="1407" spans="1:13" ht="15" customHeight="1" x14ac:dyDescent="0.35">
      <c r="A1407" t="str">
        <f t="shared" si="21"/>
        <v>P664ST01C2411</v>
      </c>
      <c r="B1407" t="str">
        <f>IFERROR(VLOOKUP($A1407,'[5]Study Budget Mapping '!$O$2:$P$532,2,0),"TBA")</f>
        <v>TBA</v>
      </c>
      <c r="D1407" s="2" t="s">
        <v>284</v>
      </c>
      <c r="E1407" s="2" t="s">
        <v>14</v>
      </c>
      <c r="F1407" s="3">
        <v>7070000</v>
      </c>
      <c r="G1407" s="3">
        <v>7070000</v>
      </c>
      <c r="H1407" s="4"/>
      <c r="I1407" s="4"/>
      <c r="J1407" s="4"/>
      <c r="K1407" s="4"/>
      <c r="L1407" s="4"/>
      <c r="M1407" s="4"/>
    </row>
    <row r="1408" spans="1:13" ht="15" customHeight="1" x14ac:dyDescent="0.35">
      <c r="A1408" t="str">
        <f t="shared" si="21"/>
        <v>P664ST01C2411</v>
      </c>
      <c r="B1408" t="str">
        <f>IFERROR(VLOOKUP($A1408,'[5]Study Budget Mapping '!$O$2:$P$532,2,0),"TBA")</f>
        <v>TBA</v>
      </c>
      <c r="D1408" s="2" t="s">
        <v>284</v>
      </c>
      <c r="E1408" s="2" t="s">
        <v>20</v>
      </c>
      <c r="F1408" s="3">
        <v>100000</v>
      </c>
      <c r="G1408" s="3">
        <v>100000</v>
      </c>
      <c r="H1408" s="4"/>
      <c r="I1408" s="4"/>
      <c r="J1408" s="4"/>
      <c r="K1408" s="4"/>
      <c r="L1408" s="4"/>
      <c r="M1408" s="4"/>
    </row>
    <row r="1409" spans="1:13" ht="15" customHeight="1" x14ac:dyDescent="0.35">
      <c r="A1409" t="str">
        <f t="shared" si="21"/>
        <v>P664ST01C2411</v>
      </c>
      <c r="B1409" t="str">
        <f>IFERROR(VLOOKUP($A1409,'[5]Study Budget Mapping '!$O$2:$P$532,2,0),"TBA")</f>
        <v>TBA</v>
      </c>
      <c r="D1409" s="2" t="s">
        <v>284</v>
      </c>
      <c r="E1409" s="2" t="s">
        <v>15</v>
      </c>
      <c r="F1409" s="3">
        <v>890000</v>
      </c>
      <c r="G1409" s="3">
        <v>890000</v>
      </c>
      <c r="H1409" s="4"/>
      <c r="I1409" s="4"/>
      <c r="J1409" s="4"/>
      <c r="K1409" s="4"/>
      <c r="L1409" s="4"/>
      <c r="M1409" s="4"/>
    </row>
    <row r="1410" spans="1:13" ht="15" customHeight="1" x14ac:dyDescent="0.35">
      <c r="A1410" t="str">
        <f t="shared" si="21"/>
        <v>P664ST01C2411</v>
      </c>
      <c r="B1410" t="str">
        <f>IFERROR(VLOOKUP($A1410,'[5]Study Budget Mapping '!$O$2:$P$532,2,0),"TBA")</f>
        <v>TBA</v>
      </c>
      <c r="D1410" s="2" t="s">
        <v>284</v>
      </c>
      <c r="E1410" s="2" t="s">
        <v>16</v>
      </c>
      <c r="F1410" s="3">
        <v>100000</v>
      </c>
      <c r="G1410" s="3">
        <v>100000</v>
      </c>
      <c r="H1410" s="4"/>
      <c r="I1410" s="4"/>
      <c r="J1410" s="4"/>
      <c r="K1410" s="4"/>
      <c r="L1410" s="4"/>
      <c r="M1410" s="4"/>
    </row>
    <row r="1411" spans="1:13" ht="15" customHeight="1" x14ac:dyDescent="0.35">
      <c r="A1411" t="str">
        <f t="shared" ref="A1411:A1474" si="22">TRIM(_xlfn.TEXTBEFORE(D1411,"-",1))</f>
        <v>P664ST01C2411</v>
      </c>
      <c r="B1411" t="str">
        <f>IFERROR(VLOOKUP($A1411,'[5]Study Budget Mapping '!$O$2:$P$532,2,0),"TBA")</f>
        <v>TBA</v>
      </c>
      <c r="D1411" s="2" t="s">
        <v>284</v>
      </c>
      <c r="E1411" s="2" t="s">
        <v>17</v>
      </c>
      <c r="F1411" s="3">
        <v>340000</v>
      </c>
      <c r="G1411" s="3">
        <v>340000</v>
      </c>
      <c r="H1411" s="4"/>
      <c r="I1411" s="4"/>
      <c r="J1411" s="4"/>
      <c r="K1411" s="4"/>
      <c r="L1411" s="4"/>
      <c r="M1411" s="4"/>
    </row>
    <row r="1412" spans="1:13" ht="15" customHeight="1" x14ac:dyDescent="0.35">
      <c r="A1412" t="str">
        <f t="shared" si="22"/>
        <v>P664ST01C2411</v>
      </c>
      <c r="B1412" t="str">
        <f>IFERROR(VLOOKUP($A1412,'[5]Study Budget Mapping '!$O$2:$P$532,2,0),"TBA")</f>
        <v>TBA</v>
      </c>
      <c r="D1412" s="2" t="s">
        <v>284</v>
      </c>
      <c r="E1412" s="2" t="s">
        <v>24</v>
      </c>
      <c r="F1412" s="3">
        <v>30000</v>
      </c>
      <c r="G1412" s="3">
        <v>30000</v>
      </c>
      <c r="H1412" s="4"/>
      <c r="I1412" s="4"/>
      <c r="J1412" s="4"/>
      <c r="K1412" s="4"/>
      <c r="L1412" s="4"/>
      <c r="M1412" s="4"/>
    </row>
    <row r="1413" spans="1:13" ht="15" customHeight="1" x14ac:dyDescent="0.35">
      <c r="A1413" t="str">
        <f t="shared" si="22"/>
        <v>P664ST01C2431</v>
      </c>
      <c r="B1413" t="str">
        <f>IFERROR(VLOOKUP($A1413,'[5]Study Budget Mapping '!$O$2:$P$532,2,0),"TBA")</f>
        <v>TBA</v>
      </c>
      <c r="D1413" s="2" t="s">
        <v>285</v>
      </c>
      <c r="E1413" s="2" t="s">
        <v>13</v>
      </c>
      <c r="F1413" s="3">
        <v>7000000</v>
      </c>
      <c r="G1413" s="3">
        <v>1300000</v>
      </c>
      <c r="H1413" s="4"/>
      <c r="I1413" s="4"/>
      <c r="J1413" s="4"/>
      <c r="K1413" s="4"/>
      <c r="L1413" s="4"/>
      <c r="M1413" s="4"/>
    </row>
    <row r="1414" spans="1:13" ht="15" customHeight="1" x14ac:dyDescent="0.35">
      <c r="A1414" t="str">
        <f t="shared" si="22"/>
        <v>P664ST01C2431</v>
      </c>
      <c r="B1414" t="str">
        <f>IFERROR(VLOOKUP($A1414,'[5]Study Budget Mapping '!$O$2:$P$532,2,0),"TBA")</f>
        <v>TBA</v>
      </c>
      <c r="D1414" s="2" t="s">
        <v>285</v>
      </c>
      <c r="E1414" s="2" t="s">
        <v>14</v>
      </c>
      <c r="F1414" s="3">
        <v>1200000</v>
      </c>
      <c r="G1414" s="3">
        <v>424574</v>
      </c>
      <c r="H1414" s="4"/>
      <c r="I1414" s="4"/>
      <c r="J1414" s="4"/>
      <c r="K1414" s="4"/>
      <c r="L1414" s="4"/>
      <c r="M1414" s="4"/>
    </row>
    <row r="1415" spans="1:13" ht="15" customHeight="1" x14ac:dyDescent="0.35">
      <c r="A1415" t="str">
        <f t="shared" si="22"/>
        <v>P664ST01C2431</v>
      </c>
      <c r="B1415" t="str">
        <f>IFERROR(VLOOKUP($A1415,'[5]Study Budget Mapping '!$O$2:$P$532,2,0),"TBA")</f>
        <v>TBA</v>
      </c>
      <c r="D1415" s="2" t="s">
        <v>285</v>
      </c>
      <c r="E1415" s="2" t="s">
        <v>19</v>
      </c>
      <c r="F1415" s="3">
        <v>75162</v>
      </c>
      <c r="G1415" s="3">
        <v>316936</v>
      </c>
      <c r="H1415" s="4"/>
      <c r="I1415" s="4"/>
      <c r="J1415" s="4"/>
      <c r="K1415" s="4"/>
      <c r="L1415" s="4"/>
      <c r="M1415" s="4"/>
    </row>
    <row r="1416" spans="1:13" ht="15" customHeight="1" x14ac:dyDescent="0.35">
      <c r="A1416" t="str">
        <f t="shared" si="22"/>
        <v>P664ST01C2431</v>
      </c>
      <c r="B1416" t="str">
        <f>IFERROR(VLOOKUP($A1416,'[5]Study Budget Mapping '!$O$2:$P$532,2,0),"TBA")</f>
        <v>TBA</v>
      </c>
      <c r="D1416" s="2" t="s">
        <v>285</v>
      </c>
      <c r="E1416" s="2" t="s">
        <v>20</v>
      </c>
      <c r="F1416" s="3">
        <v>3100000</v>
      </c>
      <c r="G1416" s="3">
        <v>835779</v>
      </c>
      <c r="H1416" s="4"/>
      <c r="I1416" s="4"/>
      <c r="J1416" s="4"/>
      <c r="K1416" s="4"/>
      <c r="L1416" s="4"/>
      <c r="M1416" s="4"/>
    </row>
    <row r="1417" spans="1:13" ht="15" customHeight="1" x14ac:dyDescent="0.35">
      <c r="A1417" t="str">
        <f t="shared" si="22"/>
        <v>P664ST01C2431</v>
      </c>
      <c r="B1417" t="str">
        <f>IFERROR(VLOOKUP($A1417,'[5]Study Budget Mapping '!$O$2:$P$532,2,0),"TBA")</f>
        <v>TBA</v>
      </c>
      <c r="D1417" s="2" t="s">
        <v>285</v>
      </c>
      <c r="E1417" s="2" t="s">
        <v>31</v>
      </c>
      <c r="F1417" s="3">
        <v>600000</v>
      </c>
      <c r="G1417" s="3">
        <v>0</v>
      </c>
      <c r="H1417" s="4"/>
      <c r="I1417" s="4"/>
      <c r="J1417" s="4"/>
      <c r="K1417" s="4"/>
      <c r="L1417" s="4"/>
      <c r="M1417" s="4"/>
    </row>
    <row r="1418" spans="1:13" ht="15" customHeight="1" x14ac:dyDescent="0.35">
      <c r="A1418" t="str">
        <f t="shared" si="22"/>
        <v>P664ST01C2431</v>
      </c>
      <c r="B1418" t="str">
        <f>IFERROR(VLOOKUP($A1418,'[5]Study Budget Mapping '!$O$2:$P$532,2,0),"TBA")</f>
        <v>TBA</v>
      </c>
      <c r="D1418" s="2" t="s">
        <v>285</v>
      </c>
      <c r="E1418" s="2" t="s">
        <v>15</v>
      </c>
      <c r="F1418" s="3">
        <v>14800000</v>
      </c>
      <c r="G1418" s="3">
        <v>10322000</v>
      </c>
      <c r="H1418" s="4"/>
      <c r="I1418" s="4"/>
      <c r="J1418" s="4"/>
      <c r="K1418" s="4"/>
      <c r="L1418" s="4"/>
      <c r="M1418" s="4"/>
    </row>
    <row r="1419" spans="1:13" ht="15" customHeight="1" x14ac:dyDescent="0.35">
      <c r="A1419" t="str">
        <f t="shared" si="22"/>
        <v>P664ST01C2431</v>
      </c>
      <c r="B1419" t="str">
        <f>IFERROR(VLOOKUP($A1419,'[5]Study Budget Mapping '!$O$2:$P$532,2,0),"TBA")</f>
        <v>TBA</v>
      </c>
      <c r="D1419" s="2" t="s">
        <v>285</v>
      </c>
      <c r="E1419" s="2" t="s">
        <v>16</v>
      </c>
      <c r="F1419" s="3">
        <v>2600000</v>
      </c>
      <c r="G1419" s="3">
        <v>1130000</v>
      </c>
      <c r="H1419" s="4"/>
      <c r="I1419" s="4"/>
      <c r="J1419" s="4"/>
      <c r="K1419" s="4"/>
      <c r="L1419" s="4"/>
      <c r="M1419" s="4"/>
    </row>
    <row r="1420" spans="1:13" ht="15" customHeight="1" x14ac:dyDescent="0.35">
      <c r="A1420" t="str">
        <f t="shared" si="22"/>
        <v>P664ST01C2431</v>
      </c>
      <c r="B1420" t="str">
        <f>IFERROR(VLOOKUP($A1420,'[5]Study Budget Mapping '!$O$2:$P$532,2,0),"TBA")</f>
        <v>TBA</v>
      </c>
      <c r="D1420" s="2" t="s">
        <v>285</v>
      </c>
      <c r="E1420" s="2" t="s">
        <v>17</v>
      </c>
      <c r="F1420" s="3">
        <v>500000</v>
      </c>
      <c r="G1420" s="3">
        <v>356586</v>
      </c>
      <c r="H1420" s="4"/>
      <c r="I1420" s="4"/>
      <c r="J1420" s="4"/>
      <c r="K1420" s="4"/>
      <c r="L1420" s="4"/>
      <c r="M1420" s="4"/>
    </row>
    <row r="1421" spans="1:13" ht="15" customHeight="1" x14ac:dyDescent="0.35">
      <c r="A1421" t="str">
        <f t="shared" si="22"/>
        <v>P664ST01C2431</v>
      </c>
      <c r="B1421" t="str">
        <f>IFERROR(VLOOKUP($A1421,'[5]Study Budget Mapping '!$O$2:$P$532,2,0),"TBA")</f>
        <v>TBA</v>
      </c>
      <c r="D1421" s="2" t="s">
        <v>285</v>
      </c>
      <c r="E1421" s="2" t="s">
        <v>24</v>
      </c>
      <c r="F1421" s="3">
        <v>2300000</v>
      </c>
      <c r="G1421" s="3">
        <v>478055</v>
      </c>
      <c r="H1421" s="4"/>
      <c r="I1421" s="4"/>
      <c r="J1421" s="4"/>
      <c r="K1421" s="4"/>
      <c r="L1421" s="4"/>
      <c r="M1421" s="4"/>
    </row>
    <row r="1422" spans="1:13" ht="15" customHeight="1" x14ac:dyDescent="0.35">
      <c r="A1422" t="str">
        <f t="shared" si="22"/>
        <v>P664ST01C3731</v>
      </c>
      <c r="B1422" t="str">
        <f>IFERROR(VLOOKUP($A1422,'[5]Study Budget Mapping '!$O$2:$P$532,2,0),"TBA")</f>
        <v>TBA</v>
      </c>
      <c r="D1422" s="2" t="s">
        <v>286</v>
      </c>
      <c r="E1422" s="2" t="s">
        <v>13</v>
      </c>
      <c r="F1422" s="3">
        <v>21085959.620464802</v>
      </c>
      <c r="G1422" s="3">
        <v>18000000</v>
      </c>
      <c r="H1422" s="4"/>
      <c r="I1422" s="4"/>
      <c r="J1422" s="4"/>
      <c r="K1422" s="4"/>
      <c r="L1422" s="4"/>
      <c r="M1422" s="4"/>
    </row>
    <row r="1423" spans="1:13" ht="15" customHeight="1" x14ac:dyDescent="0.35">
      <c r="A1423" t="str">
        <f t="shared" si="22"/>
        <v>P664ST01C3731</v>
      </c>
      <c r="B1423" t="str">
        <f>IFERROR(VLOOKUP($A1423,'[5]Study Budget Mapping '!$O$2:$P$532,2,0),"TBA")</f>
        <v>TBA</v>
      </c>
      <c r="D1423" s="2" t="s">
        <v>286</v>
      </c>
      <c r="E1423" s="2" t="s">
        <v>14</v>
      </c>
      <c r="F1423" s="3">
        <v>5264693.24</v>
      </c>
      <c r="G1423" s="3">
        <v>16600000</v>
      </c>
      <c r="H1423" s="4"/>
      <c r="I1423" s="4"/>
      <c r="J1423" s="4"/>
      <c r="K1423" s="4"/>
      <c r="L1423" s="4"/>
      <c r="M1423" s="4"/>
    </row>
    <row r="1424" spans="1:13" ht="15" customHeight="1" x14ac:dyDescent="0.35">
      <c r="A1424" t="str">
        <f t="shared" si="22"/>
        <v>P664ST01C3731</v>
      </c>
      <c r="B1424" t="str">
        <f>IFERROR(VLOOKUP($A1424,'[5]Study Budget Mapping '!$O$2:$P$532,2,0),"TBA")</f>
        <v>TBA</v>
      </c>
      <c r="D1424" s="2" t="s">
        <v>286</v>
      </c>
      <c r="E1424" s="2" t="s">
        <v>19</v>
      </c>
      <c r="F1424" s="3">
        <v>3697076</v>
      </c>
      <c r="G1424" s="3">
        <v>602464.15019042604</v>
      </c>
      <c r="H1424" s="4"/>
      <c r="I1424" s="4"/>
      <c r="J1424" s="4"/>
      <c r="K1424" s="4"/>
      <c r="L1424" s="4"/>
      <c r="M1424" s="4"/>
    </row>
    <row r="1425" spans="1:13" ht="15" customHeight="1" x14ac:dyDescent="0.35">
      <c r="A1425" t="str">
        <f t="shared" si="22"/>
        <v>P664ST01C3731</v>
      </c>
      <c r="B1425" t="str">
        <f>IFERROR(VLOOKUP($A1425,'[5]Study Budget Mapping '!$O$2:$P$532,2,0),"TBA")</f>
        <v>TBA</v>
      </c>
      <c r="D1425" s="2" t="s">
        <v>286</v>
      </c>
      <c r="E1425" s="2" t="s">
        <v>20</v>
      </c>
      <c r="F1425" s="3">
        <v>1959606</v>
      </c>
      <c r="G1425" s="3">
        <v>3073000</v>
      </c>
      <c r="H1425" s="4"/>
      <c r="I1425" s="4"/>
      <c r="J1425" s="4"/>
      <c r="K1425" s="4"/>
      <c r="L1425" s="4"/>
      <c r="M1425" s="4"/>
    </row>
    <row r="1426" spans="1:13" ht="15" customHeight="1" x14ac:dyDescent="0.35">
      <c r="A1426" t="str">
        <f t="shared" si="22"/>
        <v>P664ST01C3731</v>
      </c>
      <c r="B1426" t="str">
        <f>IFERROR(VLOOKUP($A1426,'[5]Study Budget Mapping '!$O$2:$P$532,2,0),"TBA")</f>
        <v>TBA</v>
      </c>
      <c r="D1426" s="2" t="s">
        <v>286</v>
      </c>
      <c r="E1426" s="2" t="s">
        <v>15</v>
      </c>
      <c r="F1426" s="3">
        <v>34954954.094945699</v>
      </c>
      <c r="G1426" s="3">
        <v>58694029.640000001</v>
      </c>
      <c r="H1426" s="4"/>
      <c r="I1426" s="4"/>
      <c r="J1426" s="4"/>
      <c r="K1426" s="4"/>
      <c r="L1426" s="4"/>
      <c r="M1426" s="4"/>
    </row>
    <row r="1427" spans="1:13" ht="15" customHeight="1" x14ac:dyDescent="0.35">
      <c r="A1427" t="str">
        <f t="shared" si="22"/>
        <v>P664ST01C3731</v>
      </c>
      <c r="B1427" t="str">
        <f>IFERROR(VLOOKUP($A1427,'[5]Study Budget Mapping '!$O$2:$P$532,2,0),"TBA")</f>
        <v>TBA</v>
      </c>
      <c r="D1427" s="2" t="s">
        <v>286</v>
      </c>
      <c r="E1427" s="2" t="s">
        <v>16</v>
      </c>
      <c r="F1427" s="3">
        <v>5639907.5599999996</v>
      </c>
      <c r="G1427" s="3">
        <v>18322423.510000002</v>
      </c>
      <c r="H1427" s="4"/>
      <c r="I1427" s="4"/>
      <c r="J1427" s="4"/>
      <c r="K1427" s="4"/>
      <c r="L1427" s="4"/>
      <c r="M1427" s="4"/>
    </row>
    <row r="1428" spans="1:13" ht="15" customHeight="1" x14ac:dyDescent="0.35">
      <c r="A1428" t="str">
        <f t="shared" si="22"/>
        <v>P664ST01C3731</v>
      </c>
      <c r="B1428" t="str">
        <f>IFERROR(VLOOKUP($A1428,'[5]Study Budget Mapping '!$O$2:$P$532,2,0),"TBA")</f>
        <v>TBA</v>
      </c>
      <c r="D1428" s="2" t="s">
        <v>286</v>
      </c>
      <c r="E1428" s="2" t="s">
        <v>17</v>
      </c>
      <c r="F1428" s="3">
        <v>537552</v>
      </c>
      <c r="G1428" s="3">
        <v>1200000</v>
      </c>
      <c r="H1428" s="4"/>
      <c r="I1428" s="4"/>
      <c r="J1428" s="4"/>
      <c r="K1428" s="4"/>
      <c r="L1428" s="4"/>
      <c r="M1428" s="4"/>
    </row>
    <row r="1429" spans="1:13" ht="15" customHeight="1" x14ac:dyDescent="0.35">
      <c r="A1429" t="str">
        <f t="shared" si="22"/>
        <v>P664ST01C3731</v>
      </c>
      <c r="B1429" t="str">
        <f>IFERROR(VLOOKUP($A1429,'[5]Study Budget Mapping '!$O$2:$P$532,2,0),"TBA")</f>
        <v>TBA</v>
      </c>
      <c r="D1429" s="2" t="s">
        <v>286</v>
      </c>
      <c r="E1429" s="2" t="s">
        <v>23</v>
      </c>
      <c r="F1429" s="3">
        <v>0</v>
      </c>
      <c r="G1429" s="3">
        <v>3470000</v>
      </c>
      <c r="H1429" s="4"/>
      <c r="I1429" s="4"/>
      <c r="J1429" s="4"/>
      <c r="K1429" s="4"/>
      <c r="L1429" s="4"/>
      <c r="M1429" s="4"/>
    </row>
    <row r="1430" spans="1:13" ht="15" customHeight="1" x14ac:dyDescent="0.35">
      <c r="A1430" t="str">
        <f t="shared" si="22"/>
        <v>P664ST01C3731</v>
      </c>
      <c r="B1430" t="str">
        <f>IFERROR(VLOOKUP($A1430,'[5]Study Budget Mapping '!$O$2:$P$532,2,0),"TBA")</f>
        <v>TBA</v>
      </c>
      <c r="D1430" s="2" t="s">
        <v>286</v>
      </c>
      <c r="E1430" s="2" t="s">
        <v>24</v>
      </c>
      <c r="F1430" s="3">
        <v>8076569.2000000002</v>
      </c>
      <c r="G1430" s="3">
        <v>12200000</v>
      </c>
      <c r="H1430" s="4"/>
      <c r="I1430" s="4"/>
      <c r="J1430" s="4"/>
      <c r="K1430" s="4"/>
      <c r="L1430" s="4"/>
      <c r="M1430" s="4"/>
    </row>
    <row r="1431" spans="1:13" ht="15" customHeight="1" x14ac:dyDescent="0.35">
      <c r="A1431" t="str">
        <f t="shared" si="22"/>
        <v>P664ST01C3731</v>
      </c>
      <c r="B1431" t="str">
        <f>IFERROR(VLOOKUP($A1431,'[5]Study Budget Mapping '!$O$2:$P$532,2,0),"TBA")</f>
        <v>TBA</v>
      </c>
      <c r="D1431" s="2" t="s">
        <v>286</v>
      </c>
      <c r="E1431" s="2" t="s">
        <v>32</v>
      </c>
      <c r="F1431" s="3">
        <v>0</v>
      </c>
      <c r="G1431" s="3">
        <v>7200000</v>
      </c>
      <c r="H1431" s="4"/>
      <c r="I1431" s="4"/>
      <c r="J1431" s="4"/>
      <c r="K1431" s="4"/>
      <c r="L1431" s="4"/>
      <c r="M1431" s="4"/>
    </row>
    <row r="1432" spans="1:13" ht="15" customHeight="1" x14ac:dyDescent="0.35">
      <c r="A1432" t="str">
        <f t="shared" si="22"/>
        <v>P664ST01C3831</v>
      </c>
      <c r="B1432" t="str">
        <f>IFERROR(VLOOKUP($A1432,'[5]Study Budget Mapping '!$O$2:$P$532,2,0),"TBA")</f>
        <v>TBA</v>
      </c>
      <c r="D1432" s="2" t="s">
        <v>287</v>
      </c>
      <c r="E1432" s="2" t="s">
        <v>13</v>
      </c>
      <c r="F1432" s="3">
        <v>60170000</v>
      </c>
      <c r="G1432" s="3">
        <v>910000</v>
      </c>
      <c r="H1432" s="4"/>
      <c r="I1432" s="4"/>
      <c r="J1432" s="4"/>
      <c r="K1432" s="4"/>
      <c r="L1432" s="4"/>
      <c r="M1432" s="4"/>
    </row>
    <row r="1433" spans="1:13" ht="15" customHeight="1" x14ac:dyDescent="0.35">
      <c r="A1433" t="str">
        <f t="shared" si="22"/>
        <v>P664ST01C3831</v>
      </c>
      <c r="B1433" t="str">
        <f>IFERROR(VLOOKUP($A1433,'[5]Study Budget Mapping '!$O$2:$P$532,2,0),"TBA")</f>
        <v>TBA</v>
      </c>
      <c r="D1433" s="2" t="s">
        <v>287</v>
      </c>
      <c r="E1433" s="2" t="s">
        <v>14</v>
      </c>
      <c r="F1433" s="3">
        <v>14400000</v>
      </c>
      <c r="G1433" s="3">
        <v>527000</v>
      </c>
      <c r="H1433" s="4"/>
      <c r="I1433" s="4"/>
      <c r="J1433" s="4"/>
      <c r="K1433" s="4"/>
      <c r="L1433" s="4"/>
      <c r="M1433" s="4"/>
    </row>
    <row r="1434" spans="1:13" ht="15" customHeight="1" x14ac:dyDescent="0.35">
      <c r="A1434" t="str">
        <f t="shared" si="22"/>
        <v>P664ST01C3831</v>
      </c>
      <c r="B1434" t="str">
        <f>IFERROR(VLOOKUP($A1434,'[5]Study Budget Mapping '!$O$2:$P$532,2,0),"TBA")</f>
        <v>TBA</v>
      </c>
      <c r="D1434" s="2" t="s">
        <v>287</v>
      </c>
      <c r="E1434" s="2" t="s">
        <v>19</v>
      </c>
      <c r="F1434" s="3">
        <v>2250000</v>
      </c>
      <c r="G1434" s="3">
        <v>138000</v>
      </c>
      <c r="H1434" s="4"/>
      <c r="I1434" s="4"/>
      <c r="J1434" s="4"/>
      <c r="K1434" s="4"/>
      <c r="L1434" s="4"/>
      <c r="M1434" s="4"/>
    </row>
    <row r="1435" spans="1:13" ht="15" customHeight="1" x14ac:dyDescent="0.35">
      <c r="A1435" t="str">
        <f t="shared" si="22"/>
        <v>P664ST01C3831</v>
      </c>
      <c r="B1435" t="str">
        <f>IFERROR(VLOOKUP($A1435,'[5]Study Budget Mapping '!$O$2:$P$532,2,0),"TBA")</f>
        <v>TBA</v>
      </c>
      <c r="D1435" s="2" t="s">
        <v>287</v>
      </c>
      <c r="E1435" s="2" t="s">
        <v>20</v>
      </c>
      <c r="F1435" s="3">
        <v>2330000</v>
      </c>
      <c r="G1435" s="3">
        <v>269000</v>
      </c>
      <c r="H1435" s="4"/>
      <c r="I1435" s="4"/>
      <c r="J1435" s="4"/>
      <c r="K1435" s="4"/>
      <c r="L1435" s="4"/>
      <c r="M1435" s="4"/>
    </row>
    <row r="1436" spans="1:13" ht="15" customHeight="1" x14ac:dyDescent="0.35">
      <c r="A1436" t="str">
        <f t="shared" si="22"/>
        <v>P664ST01C3831</v>
      </c>
      <c r="B1436" t="str">
        <f>IFERROR(VLOOKUP($A1436,'[5]Study Budget Mapping '!$O$2:$P$532,2,0),"TBA")</f>
        <v>TBA</v>
      </c>
      <c r="D1436" s="2" t="s">
        <v>287</v>
      </c>
      <c r="E1436" s="2" t="s">
        <v>15</v>
      </c>
      <c r="F1436" s="3">
        <v>44610000</v>
      </c>
      <c r="G1436" s="3">
        <v>10544000</v>
      </c>
      <c r="H1436" s="4"/>
      <c r="I1436" s="4"/>
      <c r="J1436" s="4"/>
      <c r="K1436" s="4"/>
      <c r="L1436" s="4"/>
      <c r="M1436" s="4"/>
    </row>
    <row r="1437" spans="1:13" ht="15" customHeight="1" x14ac:dyDescent="0.35">
      <c r="A1437" t="str">
        <f t="shared" si="22"/>
        <v>P664ST01C3831</v>
      </c>
      <c r="B1437" t="str">
        <f>IFERROR(VLOOKUP($A1437,'[5]Study Budget Mapping '!$O$2:$P$532,2,0),"TBA")</f>
        <v>TBA</v>
      </c>
      <c r="D1437" s="2" t="s">
        <v>287</v>
      </c>
      <c r="E1437" s="2" t="s">
        <v>22</v>
      </c>
      <c r="F1437" s="3">
        <v>0</v>
      </c>
      <c r="G1437" s="3">
        <v>640000</v>
      </c>
      <c r="H1437" s="4"/>
      <c r="I1437" s="4"/>
      <c r="J1437" s="4"/>
      <c r="K1437" s="4"/>
      <c r="L1437" s="4"/>
      <c r="M1437" s="4"/>
    </row>
    <row r="1438" spans="1:13" ht="15" customHeight="1" x14ac:dyDescent="0.35">
      <c r="A1438" t="str">
        <f t="shared" si="22"/>
        <v>P664ST01C3831</v>
      </c>
      <c r="B1438" t="str">
        <f>IFERROR(VLOOKUP($A1438,'[5]Study Budget Mapping '!$O$2:$P$532,2,0),"TBA")</f>
        <v>TBA</v>
      </c>
      <c r="D1438" s="2" t="s">
        <v>287</v>
      </c>
      <c r="E1438" s="2" t="s">
        <v>16</v>
      </c>
      <c r="F1438" s="3">
        <v>4810000</v>
      </c>
      <c r="G1438" s="3">
        <v>988000</v>
      </c>
      <c r="H1438" s="4"/>
      <c r="I1438" s="4"/>
      <c r="J1438" s="4"/>
      <c r="K1438" s="4"/>
      <c r="L1438" s="4"/>
      <c r="M1438" s="4"/>
    </row>
    <row r="1439" spans="1:13" ht="15" customHeight="1" x14ac:dyDescent="0.35">
      <c r="A1439" t="str">
        <f t="shared" si="22"/>
        <v>P664ST01C3831</v>
      </c>
      <c r="B1439" t="str">
        <f>IFERROR(VLOOKUP($A1439,'[5]Study Budget Mapping '!$O$2:$P$532,2,0),"TBA")</f>
        <v>TBA</v>
      </c>
      <c r="D1439" s="2" t="s">
        <v>287</v>
      </c>
      <c r="E1439" s="2" t="s">
        <v>17</v>
      </c>
      <c r="F1439" s="3">
        <v>570000</v>
      </c>
      <c r="G1439" s="3">
        <v>321000</v>
      </c>
      <c r="H1439" s="4"/>
      <c r="I1439" s="4"/>
      <c r="J1439" s="4"/>
      <c r="K1439" s="4"/>
      <c r="L1439" s="4"/>
      <c r="M1439" s="4"/>
    </row>
    <row r="1440" spans="1:13" ht="15" customHeight="1" x14ac:dyDescent="0.35">
      <c r="A1440" t="str">
        <f t="shared" si="22"/>
        <v>P664ST01C3831</v>
      </c>
      <c r="B1440" t="str">
        <f>IFERROR(VLOOKUP($A1440,'[5]Study Budget Mapping '!$O$2:$P$532,2,0),"TBA")</f>
        <v>TBA</v>
      </c>
      <c r="D1440" s="2" t="s">
        <v>287</v>
      </c>
      <c r="E1440" s="2" t="s">
        <v>23</v>
      </c>
      <c r="F1440" s="3">
        <v>1900000</v>
      </c>
      <c r="G1440" s="3">
        <v>0</v>
      </c>
      <c r="H1440" s="4"/>
      <c r="I1440" s="4"/>
      <c r="J1440" s="4"/>
      <c r="K1440" s="4"/>
      <c r="L1440" s="4"/>
      <c r="M1440" s="4"/>
    </row>
    <row r="1441" spans="1:13" ht="15" customHeight="1" x14ac:dyDescent="0.35">
      <c r="A1441" t="str">
        <f t="shared" si="22"/>
        <v>P664ST01C3831</v>
      </c>
      <c r="B1441" t="str">
        <f>IFERROR(VLOOKUP($A1441,'[5]Study Budget Mapping '!$O$2:$P$532,2,0),"TBA")</f>
        <v>TBA</v>
      </c>
      <c r="D1441" s="2" t="s">
        <v>287</v>
      </c>
      <c r="E1441" s="2" t="s">
        <v>24</v>
      </c>
      <c r="F1441" s="3">
        <v>16370000</v>
      </c>
      <c r="G1441" s="3">
        <v>409000</v>
      </c>
      <c r="H1441" s="4"/>
      <c r="I1441" s="4"/>
      <c r="J1441" s="4"/>
      <c r="K1441" s="4"/>
      <c r="L1441" s="4"/>
      <c r="M1441" s="4"/>
    </row>
    <row r="1442" spans="1:13" ht="15" customHeight="1" x14ac:dyDescent="0.35">
      <c r="A1442" t="str">
        <f t="shared" si="22"/>
        <v>P664ST01C3832</v>
      </c>
      <c r="B1442" t="str">
        <f>IFERROR(VLOOKUP($A1442,'[5]Study Budget Mapping '!$O$2:$P$532,2,0),"TBA")</f>
        <v>TBA</v>
      </c>
      <c r="D1442" s="2" t="s">
        <v>288</v>
      </c>
      <c r="E1442" s="2" t="s">
        <v>13</v>
      </c>
      <c r="F1442" s="3">
        <v>40170000</v>
      </c>
      <c r="G1442" s="3">
        <v>27100000</v>
      </c>
      <c r="H1442" s="4"/>
      <c r="I1442" s="4"/>
      <c r="J1442" s="4"/>
      <c r="K1442" s="4"/>
      <c r="L1442" s="4"/>
      <c r="M1442" s="4"/>
    </row>
    <row r="1443" spans="1:13" ht="15" customHeight="1" x14ac:dyDescent="0.35">
      <c r="A1443" t="str">
        <f t="shared" si="22"/>
        <v>P664ST01C3832</v>
      </c>
      <c r="B1443" t="str">
        <f>IFERROR(VLOOKUP($A1443,'[5]Study Budget Mapping '!$O$2:$P$532,2,0),"TBA")</f>
        <v>TBA</v>
      </c>
      <c r="D1443" s="2" t="s">
        <v>288</v>
      </c>
      <c r="E1443" s="2" t="s">
        <v>14</v>
      </c>
      <c r="F1443" s="3">
        <v>7980000</v>
      </c>
      <c r="G1443" s="3">
        <v>10400000</v>
      </c>
      <c r="H1443" s="4"/>
      <c r="I1443" s="4"/>
      <c r="J1443" s="4"/>
      <c r="K1443" s="4"/>
      <c r="L1443" s="4"/>
      <c r="M1443" s="4"/>
    </row>
    <row r="1444" spans="1:13" ht="15" customHeight="1" x14ac:dyDescent="0.35">
      <c r="A1444" t="str">
        <f t="shared" si="22"/>
        <v>P664ST01C3832</v>
      </c>
      <c r="B1444" t="str">
        <f>IFERROR(VLOOKUP($A1444,'[5]Study Budget Mapping '!$O$2:$P$532,2,0),"TBA")</f>
        <v>TBA</v>
      </c>
      <c r="D1444" s="2" t="s">
        <v>288</v>
      </c>
      <c r="E1444" s="2" t="s">
        <v>19</v>
      </c>
      <c r="F1444" s="3">
        <v>2876300</v>
      </c>
      <c r="G1444" s="3">
        <v>31033.599999999999</v>
      </c>
      <c r="H1444" s="4"/>
      <c r="I1444" s="4"/>
      <c r="J1444" s="4"/>
      <c r="K1444" s="4"/>
      <c r="L1444" s="4"/>
      <c r="M1444" s="4"/>
    </row>
    <row r="1445" spans="1:13" ht="15" customHeight="1" x14ac:dyDescent="0.35">
      <c r="A1445" t="str">
        <f t="shared" si="22"/>
        <v>P664ST01C3832</v>
      </c>
      <c r="B1445" t="str">
        <f>IFERROR(VLOOKUP($A1445,'[5]Study Budget Mapping '!$O$2:$P$532,2,0),"TBA")</f>
        <v>TBA</v>
      </c>
      <c r="D1445" s="2" t="s">
        <v>288</v>
      </c>
      <c r="E1445" s="2" t="s">
        <v>20</v>
      </c>
      <c r="F1445" s="3">
        <v>2340000</v>
      </c>
      <c r="G1445" s="3">
        <v>3100000</v>
      </c>
      <c r="H1445" s="4"/>
      <c r="I1445" s="4"/>
      <c r="J1445" s="4"/>
      <c r="K1445" s="4"/>
      <c r="L1445" s="4"/>
      <c r="M1445" s="4"/>
    </row>
    <row r="1446" spans="1:13" ht="15" customHeight="1" x14ac:dyDescent="0.35">
      <c r="A1446" t="str">
        <f t="shared" si="22"/>
        <v>P664ST01C3832</v>
      </c>
      <c r="B1446" t="str">
        <f>IFERROR(VLOOKUP($A1446,'[5]Study Budget Mapping '!$O$2:$P$532,2,0),"TBA")</f>
        <v>TBA</v>
      </c>
      <c r="D1446" s="2" t="s">
        <v>288</v>
      </c>
      <c r="E1446" s="2" t="s">
        <v>15</v>
      </c>
      <c r="F1446" s="3">
        <v>43660000</v>
      </c>
      <c r="G1446" s="3">
        <v>45842235</v>
      </c>
      <c r="H1446" s="4"/>
      <c r="I1446" s="4"/>
      <c r="J1446" s="4"/>
      <c r="K1446" s="4"/>
      <c r="L1446" s="4"/>
      <c r="M1446" s="4"/>
    </row>
    <row r="1447" spans="1:13" ht="15" customHeight="1" x14ac:dyDescent="0.35">
      <c r="A1447" t="str">
        <f t="shared" si="22"/>
        <v>P664ST01C3832</v>
      </c>
      <c r="B1447" t="str">
        <f>IFERROR(VLOOKUP($A1447,'[5]Study Budget Mapping '!$O$2:$P$532,2,0),"TBA")</f>
        <v>TBA</v>
      </c>
      <c r="D1447" s="2" t="s">
        <v>288</v>
      </c>
      <c r="E1447" s="2" t="s">
        <v>16</v>
      </c>
      <c r="F1447" s="3">
        <v>7988100</v>
      </c>
      <c r="G1447" s="3">
        <v>8116838</v>
      </c>
      <c r="H1447" s="4"/>
      <c r="I1447" s="4"/>
      <c r="J1447" s="4"/>
      <c r="K1447" s="4"/>
      <c r="L1447" s="4"/>
      <c r="M1447" s="4"/>
    </row>
    <row r="1448" spans="1:13" ht="15" customHeight="1" x14ac:dyDescent="0.35">
      <c r="A1448" t="str">
        <f t="shared" si="22"/>
        <v>P664ST01C3832</v>
      </c>
      <c r="B1448" t="str">
        <f>IFERROR(VLOOKUP($A1448,'[5]Study Budget Mapping '!$O$2:$P$532,2,0),"TBA")</f>
        <v>TBA</v>
      </c>
      <c r="D1448" s="2" t="s">
        <v>288</v>
      </c>
      <c r="E1448" s="2" t="s">
        <v>17</v>
      </c>
      <c r="F1448" s="3">
        <v>430000</v>
      </c>
      <c r="G1448" s="3">
        <v>780000</v>
      </c>
      <c r="H1448" s="4"/>
      <c r="I1448" s="4"/>
      <c r="J1448" s="4"/>
      <c r="K1448" s="4"/>
      <c r="L1448" s="4"/>
      <c r="M1448" s="4"/>
    </row>
    <row r="1449" spans="1:13" ht="15" customHeight="1" x14ac:dyDescent="0.35">
      <c r="A1449" t="str">
        <f t="shared" si="22"/>
        <v>P664ST01C3832</v>
      </c>
      <c r="B1449" t="str">
        <f>IFERROR(VLOOKUP($A1449,'[5]Study Budget Mapping '!$O$2:$P$532,2,0),"TBA")</f>
        <v>TBA</v>
      </c>
      <c r="D1449" s="2" t="s">
        <v>288</v>
      </c>
      <c r="E1449" s="2" t="s">
        <v>23</v>
      </c>
      <c r="F1449" s="3">
        <v>1900000</v>
      </c>
      <c r="G1449" s="3">
        <v>5150400</v>
      </c>
      <c r="H1449" s="4"/>
      <c r="I1449" s="4"/>
      <c r="J1449" s="4"/>
      <c r="K1449" s="4"/>
      <c r="L1449" s="4"/>
      <c r="M1449" s="4"/>
    </row>
    <row r="1450" spans="1:13" ht="15" customHeight="1" x14ac:dyDescent="0.35">
      <c r="A1450" t="str">
        <f t="shared" si="22"/>
        <v>P664ST01C3832</v>
      </c>
      <c r="B1450" t="str">
        <f>IFERROR(VLOOKUP($A1450,'[5]Study Budget Mapping '!$O$2:$P$532,2,0),"TBA")</f>
        <v>TBA</v>
      </c>
      <c r="D1450" s="2" t="s">
        <v>288</v>
      </c>
      <c r="E1450" s="2" t="s">
        <v>24</v>
      </c>
      <c r="F1450" s="3">
        <v>22010000</v>
      </c>
      <c r="G1450" s="3">
        <v>6847937.3200000003</v>
      </c>
      <c r="H1450" s="4"/>
      <c r="I1450" s="4"/>
      <c r="J1450" s="4"/>
      <c r="K1450" s="4"/>
      <c r="L1450" s="4"/>
      <c r="M1450" s="4"/>
    </row>
    <row r="1451" spans="1:13" ht="15" customHeight="1" x14ac:dyDescent="0.35">
      <c r="A1451" t="str">
        <f t="shared" si="22"/>
        <v>P664ST01C3832</v>
      </c>
      <c r="B1451" t="str">
        <f>IFERROR(VLOOKUP($A1451,'[5]Study Budget Mapping '!$O$2:$P$532,2,0),"TBA")</f>
        <v>TBA</v>
      </c>
      <c r="D1451" s="2" t="s">
        <v>288</v>
      </c>
      <c r="E1451" s="2" t="s">
        <v>32</v>
      </c>
      <c r="F1451" s="3">
        <v>0</v>
      </c>
      <c r="G1451" s="3">
        <v>250000</v>
      </c>
      <c r="H1451" s="4"/>
      <c r="I1451" s="4"/>
      <c r="J1451" s="4"/>
      <c r="K1451" s="4"/>
      <c r="L1451" s="4"/>
      <c r="M1451" s="4"/>
    </row>
    <row r="1452" spans="1:13" ht="15" customHeight="1" x14ac:dyDescent="0.35">
      <c r="A1452" t="str">
        <f t="shared" si="22"/>
        <v>P664ST05C2421</v>
      </c>
      <c r="B1452" t="str">
        <f>IFERROR(VLOOKUP($A1452,'[5]Study Budget Mapping '!$O$2:$P$532,2,0),"TBA")</f>
        <v>TBA</v>
      </c>
      <c r="D1452" s="2" t="s">
        <v>289</v>
      </c>
      <c r="E1452" s="2" t="s">
        <v>13</v>
      </c>
      <c r="F1452" s="3">
        <v>10190000</v>
      </c>
      <c r="G1452" s="3">
        <v>10190000</v>
      </c>
      <c r="H1452" s="4"/>
      <c r="I1452" s="4"/>
      <c r="J1452" s="4"/>
      <c r="K1452" s="4"/>
      <c r="L1452" s="4"/>
      <c r="M1452" s="4"/>
    </row>
    <row r="1453" spans="1:13" ht="15" customHeight="1" x14ac:dyDescent="0.35">
      <c r="A1453" t="str">
        <f t="shared" si="22"/>
        <v>P664ST05C2421</v>
      </c>
      <c r="B1453" t="str">
        <f>IFERROR(VLOOKUP($A1453,'[5]Study Budget Mapping '!$O$2:$P$532,2,0),"TBA")</f>
        <v>TBA</v>
      </c>
      <c r="D1453" s="2" t="s">
        <v>289</v>
      </c>
      <c r="E1453" s="2" t="s">
        <v>19</v>
      </c>
      <c r="F1453" s="3">
        <v>2400000</v>
      </c>
      <c r="G1453" s="3">
        <v>2400000</v>
      </c>
      <c r="H1453" s="4"/>
      <c r="I1453" s="4"/>
      <c r="J1453" s="4"/>
      <c r="K1453" s="4"/>
      <c r="L1453" s="4"/>
      <c r="M1453" s="4"/>
    </row>
    <row r="1454" spans="1:13" ht="15" customHeight="1" x14ac:dyDescent="0.35">
      <c r="A1454" t="str">
        <f t="shared" si="22"/>
        <v>P664ST05C2421</v>
      </c>
      <c r="B1454" t="str">
        <f>IFERROR(VLOOKUP($A1454,'[5]Study Budget Mapping '!$O$2:$P$532,2,0),"TBA")</f>
        <v>TBA</v>
      </c>
      <c r="D1454" s="2" t="s">
        <v>289</v>
      </c>
      <c r="E1454" s="2" t="s">
        <v>15</v>
      </c>
      <c r="F1454" s="3">
        <v>3210000</v>
      </c>
      <c r="G1454" s="3">
        <v>3210000</v>
      </c>
      <c r="H1454" s="4"/>
      <c r="I1454" s="4"/>
      <c r="J1454" s="4"/>
      <c r="K1454" s="4"/>
      <c r="L1454" s="4"/>
      <c r="M1454" s="4"/>
    </row>
    <row r="1455" spans="1:13" ht="15" customHeight="1" x14ac:dyDescent="0.35">
      <c r="A1455" t="str">
        <f t="shared" si="22"/>
        <v>P664ST05C2421</v>
      </c>
      <c r="B1455" t="str">
        <f>IFERROR(VLOOKUP($A1455,'[5]Study Budget Mapping '!$O$2:$P$532,2,0),"TBA")</f>
        <v>TBA</v>
      </c>
      <c r="D1455" s="2" t="s">
        <v>289</v>
      </c>
      <c r="E1455" s="2" t="s">
        <v>16</v>
      </c>
      <c r="F1455" s="3">
        <v>391000</v>
      </c>
      <c r="G1455" s="3">
        <v>391000</v>
      </c>
      <c r="H1455" s="4"/>
      <c r="I1455" s="4"/>
      <c r="J1455" s="4"/>
      <c r="K1455" s="4"/>
      <c r="L1455" s="4"/>
      <c r="M1455" s="4"/>
    </row>
    <row r="1456" spans="1:13" ht="15" customHeight="1" x14ac:dyDescent="0.35">
      <c r="A1456" t="str">
        <f t="shared" si="22"/>
        <v>P664ST05C2421</v>
      </c>
      <c r="B1456" t="str">
        <f>IFERROR(VLOOKUP($A1456,'[5]Study Budget Mapping '!$O$2:$P$532,2,0),"TBA")</f>
        <v>TBA</v>
      </c>
      <c r="D1456" s="2" t="s">
        <v>289</v>
      </c>
      <c r="E1456" s="2" t="s">
        <v>17</v>
      </c>
      <c r="F1456" s="3">
        <v>260000</v>
      </c>
      <c r="G1456" s="3">
        <v>260000</v>
      </c>
      <c r="H1456" s="4"/>
      <c r="I1456" s="4"/>
      <c r="J1456" s="4"/>
      <c r="K1456" s="4"/>
      <c r="L1456" s="4"/>
      <c r="M1456" s="4"/>
    </row>
    <row r="1457" spans="1:13" ht="15" customHeight="1" x14ac:dyDescent="0.35">
      <c r="A1457" t="str">
        <f t="shared" si="22"/>
        <v>P664ST05C2421</v>
      </c>
      <c r="B1457" t="str">
        <f>IFERROR(VLOOKUP($A1457,'[5]Study Budget Mapping '!$O$2:$P$532,2,0),"TBA")</f>
        <v>TBA</v>
      </c>
      <c r="D1457" s="2" t="s">
        <v>289</v>
      </c>
      <c r="E1457" s="2" t="s">
        <v>23</v>
      </c>
      <c r="F1457" s="3">
        <v>20000</v>
      </c>
      <c r="G1457" s="3">
        <v>20000</v>
      </c>
      <c r="H1457" s="4"/>
      <c r="I1457" s="4"/>
      <c r="J1457" s="4"/>
      <c r="K1457" s="4"/>
      <c r="L1457" s="4"/>
      <c r="M1457" s="4"/>
    </row>
    <row r="1458" spans="1:13" ht="15" customHeight="1" x14ac:dyDescent="0.35">
      <c r="A1458" t="str">
        <f t="shared" si="22"/>
        <v>P664ST05C2421</v>
      </c>
      <c r="B1458" t="str">
        <f>IFERROR(VLOOKUP($A1458,'[5]Study Budget Mapping '!$O$2:$P$532,2,0),"TBA")</f>
        <v>TBA</v>
      </c>
      <c r="D1458" s="2" t="s">
        <v>289</v>
      </c>
      <c r="E1458" s="2" t="s">
        <v>24</v>
      </c>
      <c r="F1458" s="3">
        <v>200000</v>
      </c>
      <c r="G1458" s="3">
        <v>200000</v>
      </c>
      <c r="H1458" s="4"/>
      <c r="I1458" s="4"/>
      <c r="J1458" s="4"/>
      <c r="K1458" s="4"/>
      <c r="L1458" s="4"/>
      <c r="M1458" s="4"/>
    </row>
    <row r="1459" spans="1:13" ht="15" customHeight="1" x14ac:dyDescent="0.35">
      <c r="A1459" t="str">
        <f t="shared" si="22"/>
        <v>P664ST06C1511</v>
      </c>
      <c r="B1459" t="str">
        <f>IFERROR(VLOOKUP($A1459,'[5]Study Budget Mapping '!$O$2:$P$532,2,0),"TBA")</f>
        <v>TBA</v>
      </c>
      <c r="D1459" s="2" t="s">
        <v>290</v>
      </c>
      <c r="E1459" s="2" t="s">
        <v>13</v>
      </c>
      <c r="F1459" s="3">
        <v>1800000</v>
      </c>
      <c r="G1459" s="3">
        <v>6485000</v>
      </c>
      <c r="H1459" s="4"/>
      <c r="I1459" s="4"/>
      <c r="J1459" s="4"/>
      <c r="K1459" s="4"/>
      <c r="L1459" s="4"/>
      <c r="M1459" s="4"/>
    </row>
    <row r="1460" spans="1:13" ht="15" customHeight="1" x14ac:dyDescent="0.35">
      <c r="A1460" t="str">
        <f t="shared" si="22"/>
        <v>P664ST06C1511</v>
      </c>
      <c r="B1460" t="str">
        <f>IFERROR(VLOOKUP($A1460,'[5]Study Budget Mapping '!$O$2:$P$532,2,0),"TBA")</f>
        <v>TBA</v>
      </c>
      <c r="D1460" s="2" t="s">
        <v>290</v>
      </c>
      <c r="E1460" s="2" t="s">
        <v>14</v>
      </c>
      <c r="F1460" s="3">
        <v>186000</v>
      </c>
      <c r="G1460" s="3">
        <v>1370000</v>
      </c>
      <c r="H1460" s="4"/>
      <c r="I1460" s="4"/>
      <c r="J1460" s="4"/>
      <c r="K1460" s="4"/>
      <c r="L1460" s="4"/>
      <c r="M1460" s="4"/>
    </row>
    <row r="1461" spans="1:13" ht="15" customHeight="1" x14ac:dyDescent="0.35">
      <c r="A1461" t="str">
        <f t="shared" si="22"/>
        <v>P664ST06C1511</v>
      </c>
      <c r="B1461" t="str">
        <f>IFERROR(VLOOKUP($A1461,'[5]Study Budget Mapping '!$O$2:$P$532,2,0),"TBA")</f>
        <v>TBA</v>
      </c>
      <c r="D1461" s="2" t="s">
        <v>290</v>
      </c>
      <c r="E1461" s="2" t="s">
        <v>20</v>
      </c>
      <c r="F1461" s="3">
        <v>120000</v>
      </c>
      <c r="G1461" s="3">
        <v>510000</v>
      </c>
      <c r="H1461" s="4"/>
      <c r="I1461" s="4"/>
      <c r="J1461" s="4"/>
      <c r="K1461" s="4"/>
      <c r="L1461" s="4"/>
      <c r="M1461" s="4"/>
    </row>
    <row r="1462" spans="1:13" ht="15" customHeight="1" x14ac:dyDescent="0.35">
      <c r="A1462" t="str">
        <f t="shared" si="22"/>
        <v>P664ST06C1511</v>
      </c>
      <c r="B1462" t="str">
        <f>IFERROR(VLOOKUP($A1462,'[5]Study Budget Mapping '!$O$2:$P$532,2,0),"TBA")</f>
        <v>TBA</v>
      </c>
      <c r="D1462" s="2" t="s">
        <v>290</v>
      </c>
      <c r="E1462" s="2" t="s">
        <v>15</v>
      </c>
      <c r="F1462" s="3">
        <v>2050000</v>
      </c>
      <c r="G1462" s="3">
        <v>8150000</v>
      </c>
      <c r="H1462" s="4"/>
      <c r="I1462" s="4"/>
      <c r="J1462" s="4"/>
      <c r="K1462" s="4"/>
      <c r="L1462" s="4"/>
      <c r="M1462" s="4"/>
    </row>
    <row r="1463" spans="1:13" ht="15" customHeight="1" x14ac:dyDescent="0.35">
      <c r="A1463" t="str">
        <f t="shared" si="22"/>
        <v>P664ST06C1511</v>
      </c>
      <c r="B1463" t="str">
        <f>IFERROR(VLOOKUP($A1463,'[5]Study Budget Mapping '!$O$2:$P$532,2,0),"TBA")</f>
        <v>TBA</v>
      </c>
      <c r="D1463" s="2" t="s">
        <v>290</v>
      </c>
      <c r="E1463" s="2" t="s">
        <v>22</v>
      </c>
      <c r="F1463" s="3">
        <v>0</v>
      </c>
      <c r="G1463" s="3">
        <v>1323909</v>
      </c>
      <c r="H1463" s="4"/>
      <c r="I1463" s="4"/>
      <c r="J1463" s="4"/>
      <c r="K1463" s="4"/>
      <c r="L1463" s="4"/>
      <c r="M1463" s="4"/>
    </row>
    <row r="1464" spans="1:13" ht="15" customHeight="1" x14ac:dyDescent="0.35">
      <c r="A1464" t="str">
        <f t="shared" si="22"/>
        <v>P664ST06C1511</v>
      </c>
      <c r="B1464" t="str">
        <f>IFERROR(VLOOKUP($A1464,'[5]Study Budget Mapping '!$O$2:$P$532,2,0),"TBA")</f>
        <v>TBA</v>
      </c>
      <c r="D1464" s="2" t="s">
        <v>290</v>
      </c>
      <c r="E1464" s="2" t="s">
        <v>16</v>
      </c>
      <c r="F1464" s="3">
        <v>230000</v>
      </c>
      <c r="G1464" s="3">
        <v>700000</v>
      </c>
      <c r="H1464" s="4"/>
      <c r="I1464" s="4"/>
      <c r="J1464" s="4"/>
      <c r="K1464" s="4"/>
      <c r="L1464" s="4"/>
      <c r="M1464" s="4"/>
    </row>
    <row r="1465" spans="1:13" ht="15" customHeight="1" x14ac:dyDescent="0.35">
      <c r="A1465" t="str">
        <f t="shared" si="22"/>
        <v>P664ST06C1511</v>
      </c>
      <c r="B1465" t="str">
        <f>IFERROR(VLOOKUP($A1465,'[5]Study Budget Mapping '!$O$2:$P$532,2,0),"TBA")</f>
        <v>TBA</v>
      </c>
      <c r="D1465" s="2" t="s">
        <v>290</v>
      </c>
      <c r="E1465" s="2" t="s">
        <v>17</v>
      </c>
      <c r="F1465" s="3">
        <v>160000</v>
      </c>
      <c r="G1465" s="3">
        <v>380000</v>
      </c>
      <c r="H1465" s="4"/>
      <c r="I1465" s="4"/>
      <c r="J1465" s="4"/>
      <c r="K1465" s="4"/>
      <c r="L1465" s="4"/>
      <c r="M1465" s="4"/>
    </row>
    <row r="1466" spans="1:13" ht="15" customHeight="1" x14ac:dyDescent="0.35">
      <c r="A1466" t="str">
        <f t="shared" si="22"/>
        <v>P664ST06C1511</v>
      </c>
      <c r="B1466" t="str">
        <f>IFERROR(VLOOKUP($A1466,'[5]Study Budget Mapping '!$O$2:$P$532,2,0),"TBA")</f>
        <v>TBA</v>
      </c>
      <c r="D1466" s="2" t="s">
        <v>290</v>
      </c>
      <c r="E1466" s="2" t="s">
        <v>24</v>
      </c>
      <c r="F1466" s="3">
        <v>30000</v>
      </c>
      <c r="G1466" s="3">
        <v>400000</v>
      </c>
      <c r="H1466" s="4"/>
      <c r="I1466" s="4"/>
      <c r="J1466" s="4"/>
      <c r="K1466" s="4"/>
      <c r="L1466" s="4"/>
      <c r="M1466" s="4"/>
    </row>
    <row r="1467" spans="1:13" ht="15" customHeight="1" x14ac:dyDescent="0.35">
      <c r="A1467" t="str">
        <f t="shared" si="22"/>
        <v>P664ST06C1511</v>
      </c>
      <c r="B1467" t="str">
        <f>IFERROR(VLOOKUP($A1467,'[5]Study Budget Mapping '!$O$2:$P$532,2,0),"TBA")</f>
        <v>TBA</v>
      </c>
      <c r="D1467" s="2" t="s">
        <v>290</v>
      </c>
      <c r="E1467" s="2" t="s">
        <v>32</v>
      </c>
      <c r="F1467" s="3">
        <v>0</v>
      </c>
      <c r="G1467" s="3">
        <v>300000</v>
      </c>
      <c r="H1467" s="4"/>
      <c r="I1467" s="4"/>
      <c r="J1467" s="4"/>
      <c r="K1467" s="4"/>
      <c r="L1467" s="4"/>
      <c r="M1467" s="4"/>
    </row>
    <row r="1468" spans="1:13" ht="15" customHeight="1" x14ac:dyDescent="0.35">
      <c r="A1468" t="str">
        <f t="shared" si="22"/>
        <v>P664ST06C2431</v>
      </c>
      <c r="B1468" t="str">
        <f>IFERROR(VLOOKUP($A1468,'[5]Study Budget Mapping '!$O$2:$P$532,2,0),"TBA")</f>
        <v>TBA</v>
      </c>
      <c r="D1468" s="2" t="s">
        <v>291</v>
      </c>
      <c r="E1468" s="2" t="s">
        <v>13</v>
      </c>
      <c r="F1468" s="3">
        <v>9166505</v>
      </c>
      <c r="G1468" s="3">
        <v>30911630.011703301</v>
      </c>
      <c r="H1468" s="4"/>
      <c r="I1468" s="4"/>
      <c r="J1468" s="4"/>
      <c r="K1468" s="4"/>
      <c r="L1468" s="4"/>
      <c r="M1468" s="4"/>
    </row>
    <row r="1469" spans="1:13" ht="15" customHeight="1" x14ac:dyDescent="0.35">
      <c r="A1469" t="str">
        <f t="shared" si="22"/>
        <v>P664ST06C2431</v>
      </c>
      <c r="B1469" t="str">
        <f>IFERROR(VLOOKUP($A1469,'[5]Study Budget Mapping '!$O$2:$P$532,2,0),"TBA")</f>
        <v>TBA</v>
      </c>
      <c r="D1469" s="2" t="s">
        <v>291</v>
      </c>
      <c r="E1469" s="2" t="s">
        <v>14</v>
      </c>
      <c r="F1469" s="3">
        <v>1184547</v>
      </c>
      <c r="G1469" s="3">
        <v>5410000</v>
      </c>
      <c r="H1469" s="4"/>
      <c r="I1469" s="4"/>
      <c r="J1469" s="4"/>
      <c r="K1469" s="4"/>
      <c r="L1469" s="4"/>
      <c r="M1469" s="4"/>
    </row>
    <row r="1470" spans="1:13" ht="15" customHeight="1" x14ac:dyDescent="0.35">
      <c r="A1470" t="str">
        <f t="shared" si="22"/>
        <v>P664ST06C2431</v>
      </c>
      <c r="B1470" t="str">
        <f>IFERROR(VLOOKUP($A1470,'[5]Study Budget Mapping '!$O$2:$P$532,2,0),"TBA")</f>
        <v>TBA</v>
      </c>
      <c r="D1470" s="2" t="s">
        <v>291</v>
      </c>
      <c r="E1470" s="2" t="s">
        <v>19</v>
      </c>
      <c r="F1470" s="3">
        <v>0</v>
      </c>
      <c r="G1470" s="3">
        <v>318567</v>
      </c>
      <c r="H1470" s="4"/>
      <c r="I1470" s="4"/>
      <c r="J1470" s="4"/>
      <c r="K1470" s="4"/>
      <c r="L1470" s="4"/>
      <c r="M1470" s="4"/>
    </row>
    <row r="1471" spans="1:13" ht="15" customHeight="1" x14ac:dyDescent="0.35">
      <c r="A1471" t="str">
        <f t="shared" si="22"/>
        <v>P664ST06C2431</v>
      </c>
      <c r="B1471" t="str">
        <f>IFERROR(VLOOKUP($A1471,'[5]Study Budget Mapping '!$O$2:$P$532,2,0),"TBA")</f>
        <v>TBA</v>
      </c>
      <c r="D1471" s="2" t="s">
        <v>291</v>
      </c>
      <c r="E1471" s="2" t="s">
        <v>20</v>
      </c>
      <c r="F1471" s="3">
        <v>1435725</v>
      </c>
      <c r="G1471" s="3">
        <v>9480000</v>
      </c>
      <c r="H1471" s="4"/>
      <c r="I1471" s="4"/>
      <c r="J1471" s="4"/>
      <c r="K1471" s="4"/>
      <c r="L1471" s="4"/>
      <c r="M1471" s="4"/>
    </row>
    <row r="1472" spans="1:13" ht="15" customHeight="1" x14ac:dyDescent="0.35">
      <c r="A1472" t="str">
        <f t="shared" si="22"/>
        <v>P664ST06C2431</v>
      </c>
      <c r="B1472" t="str">
        <f>IFERROR(VLOOKUP($A1472,'[5]Study Budget Mapping '!$O$2:$P$532,2,0),"TBA")</f>
        <v>TBA</v>
      </c>
      <c r="D1472" s="2" t="s">
        <v>291</v>
      </c>
      <c r="E1472" s="2" t="s">
        <v>15</v>
      </c>
      <c r="F1472" s="3">
        <v>10491033</v>
      </c>
      <c r="G1472" s="3">
        <v>41160000</v>
      </c>
      <c r="H1472" s="4"/>
      <c r="I1472" s="4"/>
      <c r="J1472" s="4"/>
      <c r="K1472" s="4"/>
      <c r="L1472" s="4"/>
      <c r="M1472" s="4"/>
    </row>
    <row r="1473" spans="1:13" ht="15" customHeight="1" x14ac:dyDescent="0.35">
      <c r="A1473" t="str">
        <f t="shared" si="22"/>
        <v>P664ST06C2431</v>
      </c>
      <c r="B1473" t="str">
        <f>IFERROR(VLOOKUP($A1473,'[5]Study Budget Mapping '!$O$2:$P$532,2,0),"TBA")</f>
        <v>TBA</v>
      </c>
      <c r="D1473" s="2" t="s">
        <v>291</v>
      </c>
      <c r="E1473" s="2" t="s">
        <v>16</v>
      </c>
      <c r="F1473" s="3">
        <v>966865</v>
      </c>
      <c r="G1473" s="3">
        <v>3800000</v>
      </c>
      <c r="H1473" s="4"/>
      <c r="I1473" s="4"/>
      <c r="J1473" s="4"/>
      <c r="K1473" s="4"/>
      <c r="L1473" s="4"/>
      <c r="M1473" s="4"/>
    </row>
    <row r="1474" spans="1:13" ht="15" customHeight="1" x14ac:dyDescent="0.35">
      <c r="A1474" t="str">
        <f t="shared" si="22"/>
        <v>P664ST06C2431</v>
      </c>
      <c r="B1474" t="str">
        <f>IFERROR(VLOOKUP($A1474,'[5]Study Budget Mapping '!$O$2:$P$532,2,0),"TBA")</f>
        <v>TBA</v>
      </c>
      <c r="D1474" s="2" t="s">
        <v>291</v>
      </c>
      <c r="E1474" s="2" t="s">
        <v>17</v>
      </c>
      <c r="F1474" s="3">
        <v>223700</v>
      </c>
      <c r="G1474" s="3">
        <v>490000</v>
      </c>
      <c r="H1474" s="4"/>
      <c r="I1474" s="4"/>
      <c r="J1474" s="4"/>
      <c r="K1474" s="4"/>
      <c r="L1474" s="4"/>
      <c r="M1474" s="4"/>
    </row>
    <row r="1475" spans="1:13" ht="15" customHeight="1" x14ac:dyDescent="0.35">
      <c r="A1475" t="str">
        <f t="shared" ref="A1475:A1538" si="23">TRIM(_xlfn.TEXTBEFORE(D1475,"-",1))</f>
        <v>P664ST06C2431</v>
      </c>
      <c r="B1475" t="str">
        <f>IFERROR(VLOOKUP($A1475,'[5]Study Budget Mapping '!$O$2:$P$532,2,0),"TBA")</f>
        <v>TBA</v>
      </c>
      <c r="D1475" s="2" t="s">
        <v>291</v>
      </c>
      <c r="E1475" s="2" t="s">
        <v>23</v>
      </c>
      <c r="F1475" s="3">
        <v>450844</v>
      </c>
      <c r="G1475" s="3">
        <v>5639</v>
      </c>
      <c r="H1475" s="4"/>
      <c r="I1475" s="4"/>
      <c r="J1475" s="4"/>
      <c r="K1475" s="4"/>
      <c r="L1475" s="4"/>
      <c r="M1475" s="4"/>
    </row>
    <row r="1476" spans="1:13" ht="15" customHeight="1" x14ac:dyDescent="0.35">
      <c r="A1476" t="str">
        <f t="shared" si="23"/>
        <v>P664ST06C2431</v>
      </c>
      <c r="B1476" t="str">
        <f>IFERROR(VLOOKUP($A1476,'[5]Study Budget Mapping '!$O$2:$P$532,2,0),"TBA")</f>
        <v>TBA</v>
      </c>
      <c r="D1476" s="2" t="s">
        <v>291</v>
      </c>
      <c r="E1476" s="2" t="s">
        <v>24</v>
      </c>
      <c r="F1476" s="3">
        <v>0</v>
      </c>
      <c r="G1476" s="3">
        <v>3230000</v>
      </c>
      <c r="H1476" s="4"/>
      <c r="I1476" s="4"/>
      <c r="J1476" s="4"/>
      <c r="K1476" s="4"/>
      <c r="L1476" s="4"/>
      <c r="M1476" s="4"/>
    </row>
    <row r="1477" spans="1:13" ht="15" customHeight="1" x14ac:dyDescent="0.35">
      <c r="A1477" t="str">
        <f t="shared" si="23"/>
        <v>P664ST06C2431</v>
      </c>
      <c r="B1477" t="str">
        <f>IFERROR(VLOOKUP($A1477,'[5]Study Budget Mapping '!$O$2:$P$532,2,0),"TBA")</f>
        <v>TBA</v>
      </c>
      <c r="D1477" s="2" t="s">
        <v>291</v>
      </c>
      <c r="E1477" s="2" t="s">
        <v>32</v>
      </c>
      <c r="F1477" s="3">
        <v>0</v>
      </c>
      <c r="G1477" s="3">
        <v>1590000</v>
      </c>
      <c r="H1477" s="4"/>
      <c r="I1477" s="4"/>
      <c r="J1477" s="4"/>
      <c r="K1477" s="4"/>
      <c r="L1477" s="4"/>
      <c r="M1477" s="4"/>
    </row>
    <row r="1478" spans="1:13" ht="15" customHeight="1" x14ac:dyDescent="0.35">
      <c r="A1478" t="str">
        <f t="shared" si="23"/>
        <v>P664ST06C2432</v>
      </c>
      <c r="B1478" t="str">
        <f>IFERROR(VLOOKUP($A1478,'[5]Study Budget Mapping '!$O$2:$P$532,2,0),"TBA")</f>
        <v>TBA</v>
      </c>
      <c r="D1478" s="2" t="s">
        <v>292</v>
      </c>
      <c r="E1478" s="2" t="s">
        <v>13</v>
      </c>
      <c r="F1478" s="3">
        <v>5500000</v>
      </c>
      <c r="G1478" s="3">
        <v>5500000</v>
      </c>
      <c r="H1478" s="4"/>
      <c r="I1478" s="4"/>
      <c r="J1478" s="4"/>
      <c r="K1478" s="4"/>
      <c r="L1478" s="4"/>
      <c r="M1478" s="4"/>
    </row>
    <row r="1479" spans="1:13" ht="15" customHeight="1" x14ac:dyDescent="0.35">
      <c r="A1479" t="str">
        <f t="shared" si="23"/>
        <v>P664ST06C2432</v>
      </c>
      <c r="B1479" t="str">
        <f>IFERROR(VLOOKUP($A1479,'[5]Study Budget Mapping '!$O$2:$P$532,2,0),"TBA")</f>
        <v>TBA</v>
      </c>
      <c r="D1479" s="2" t="s">
        <v>292</v>
      </c>
      <c r="E1479" s="2" t="s">
        <v>14</v>
      </c>
      <c r="F1479" s="3">
        <v>1600000</v>
      </c>
      <c r="G1479" s="3">
        <v>1600000</v>
      </c>
      <c r="H1479" s="4"/>
      <c r="I1479" s="4"/>
      <c r="J1479" s="4"/>
      <c r="K1479" s="4"/>
      <c r="L1479" s="4"/>
      <c r="M1479" s="4"/>
    </row>
    <row r="1480" spans="1:13" ht="15" customHeight="1" x14ac:dyDescent="0.35">
      <c r="A1480" t="str">
        <f t="shared" si="23"/>
        <v>P664ST06C2432</v>
      </c>
      <c r="B1480" t="str">
        <f>IFERROR(VLOOKUP($A1480,'[5]Study Budget Mapping '!$O$2:$P$532,2,0),"TBA")</f>
        <v>TBA</v>
      </c>
      <c r="D1480" s="2" t="s">
        <v>292</v>
      </c>
      <c r="E1480" s="2" t="s">
        <v>19</v>
      </c>
      <c r="F1480" s="3">
        <v>400000</v>
      </c>
      <c r="G1480" s="3">
        <v>400000</v>
      </c>
      <c r="H1480" s="4"/>
      <c r="I1480" s="4"/>
      <c r="J1480" s="4"/>
      <c r="K1480" s="4"/>
      <c r="L1480" s="4"/>
      <c r="M1480" s="4"/>
    </row>
    <row r="1481" spans="1:13" ht="15" customHeight="1" x14ac:dyDescent="0.35">
      <c r="A1481" t="str">
        <f t="shared" si="23"/>
        <v>P664ST06C2432</v>
      </c>
      <c r="B1481" t="str">
        <f>IFERROR(VLOOKUP($A1481,'[5]Study Budget Mapping '!$O$2:$P$532,2,0),"TBA")</f>
        <v>TBA</v>
      </c>
      <c r="D1481" s="2" t="s">
        <v>292</v>
      </c>
      <c r="E1481" s="2" t="s">
        <v>20</v>
      </c>
      <c r="F1481" s="3">
        <v>1200000</v>
      </c>
      <c r="G1481" s="3">
        <v>1200000</v>
      </c>
      <c r="H1481" s="4"/>
      <c r="I1481" s="4"/>
      <c r="J1481" s="4"/>
      <c r="K1481" s="4"/>
      <c r="L1481" s="4"/>
      <c r="M1481" s="4"/>
    </row>
    <row r="1482" spans="1:13" ht="15" customHeight="1" x14ac:dyDescent="0.35">
      <c r="A1482" t="str">
        <f t="shared" si="23"/>
        <v>P664ST06C2432</v>
      </c>
      <c r="B1482" t="str">
        <f>IFERROR(VLOOKUP($A1482,'[5]Study Budget Mapping '!$O$2:$P$532,2,0),"TBA")</f>
        <v>TBA</v>
      </c>
      <c r="D1482" s="2" t="s">
        <v>292</v>
      </c>
      <c r="E1482" s="2" t="s">
        <v>15</v>
      </c>
      <c r="F1482" s="3">
        <v>8700000</v>
      </c>
      <c r="G1482" s="3">
        <v>8700000</v>
      </c>
      <c r="H1482" s="4"/>
      <c r="I1482" s="4"/>
      <c r="J1482" s="4"/>
      <c r="K1482" s="4"/>
      <c r="L1482" s="4"/>
      <c r="M1482" s="4"/>
    </row>
    <row r="1483" spans="1:13" ht="15" customHeight="1" x14ac:dyDescent="0.35">
      <c r="A1483" t="str">
        <f t="shared" si="23"/>
        <v>P664ST06C2432</v>
      </c>
      <c r="B1483" t="str">
        <f>IFERROR(VLOOKUP($A1483,'[5]Study Budget Mapping '!$O$2:$P$532,2,0),"TBA")</f>
        <v>TBA</v>
      </c>
      <c r="D1483" s="2" t="s">
        <v>292</v>
      </c>
      <c r="E1483" s="2" t="s">
        <v>16</v>
      </c>
      <c r="F1483" s="3">
        <v>1000000</v>
      </c>
      <c r="G1483" s="3">
        <v>1000000</v>
      </c>
      <c r="H1483" s="4"/>
      <c r="I1483" s="4"/>
      <c r="J1483" s="4"/>
      <c r="K1483" s="4"/>
      <c r="L1483" s="4"/>
      <c r="M1483" s="4"/>
    </row>
    <row r="1484" spans="1:13" ht="15" customHeight="1" x14ac:dyDescent="0.35">
      <c r="A1484" t="str">
        <f t="shared" si="23"/>
        <v>P664ST06C2432</v>
      </c>
      <c r="B1484" t="str">
        <f>IFERROR(VLOOKUP($A1484,'[5]Study Budget Mapping '!$O$2:$P$532,2,0),"TBA")</f>
        <v>TBA</v>
      </c>
      <c r="D1484" s="2" t="s">
        <v>292</v>
      </c>
      <c r="E1484" s="2" t="s">
        <v>17</v>
      </c>
      <c r="F1484" s="3">
        <v>400000</v>
      </c>
      <c r="G1484" s="3">
        <v>400000</v>
      </c>
      <c r="H1484" s="4"/>
      <c r="I1484" s="4"/>
      <c r="J1484" s="4"/>
      <c r="K1484" s="4"/>
      <c r="L1484" s="4"/>
      <c r="M1484" s="4"/>
    </row>
    <row r="1485" spans="1:13" ht="15" customHeight="1" x14ac:dyDescent="0.35">
      <c r="A1485" t="str">
        <f t="shared" si="23"/>
        <v>P664ST06C2432</v>
      </c>
      <c r="B1485" t="str">
        <f>IFERROR(VLOOKUP($A1485,'[5]Study Budget Mapping '!$O$2:$P$532,2,0),"TBA")</f>
        <v>TBA</v>
      </c>
      <c r="D1485" s="2" t="s">
        <v>292</v>
      </c>
      <c r="E1485" s="2" t="s">
        <v>24</v>
      </c>
      <c r="F1485" s="3">
        <v>300000</v>
      </c>
      <c r="G1485" s="3">
        <v>300000</v>
      </c>
      <c r="H1485" s="4"/>
      <c r="I1485" s="4"/>
      <c r="J1485" s="4"/>
      <c r="K1485" s="4"/>
      <c r="L1485" s="4"/>
      <c r="M1485" s="4"/>
    </row>
    <row r="1486" spans="1:13" ht="15" customHeight="1" x14ac:dyDescent="0.35">
      <c r="A1486" t="str">
        <f t="shared" si="23"/>
        <v>P664ST06C2432</v>
      </c>
      <c r="B1486" t="str">
        <f>IFERROR(VLOOKUP($A1486,'[5]Study Budget Mapping '!$O$2:$P$532,2,0),"TBA")</f>
        <v>TBA</v>
      </c>
      <c r="D1486" s="2" t="s">
        <v>292</v>
      </c>
      <c r="E1486" s="2" t="s">
        <v>32</v>
      </c>
      <c r="F1486" s="3">
        <v>700000</v>
      </c>
      <c r="G1486" s="3">
        <v>700000</v>
      </c>
      <c r="H1486" s="4"/>
      <c r="I1486" s="4"/>
      <c r="J1486" s="4"/>
      <c r="K1486" s="4"/>
      <c r="L1486" s="4"/>
      <c r="M1486" s="4"/>
    </row>
    <row r="1487" spans="1:13" ht="15" customHeight="1" x14ac:dyDescent="0.35">
      <c r="A1487" t="str">
        <f t="shared" si="23"/>
        <v>P664ST06C3831</v>
      </c>
      <c r="B1487" t="str">
        <f>IFERROR(VLOOKUP($A1487,'[5]Study Budget Mapping '!$O$2:$P$532,2,0),"TBA")</f>
        <v>TBA</v>
      </c>
      <c r="D1487" s="2" t="s">
        <v>293</v>
      </c>
      <c r="E1487" s="2" t="s">
        <v>13</v>
      </c>
      <c r="F1487" s="3">
        <v>36500000</v>
      </c>
      <c r="G1487" s="3">
        <v>40680000</v>
      </c>
      <c r="H1487" s="4"/>
      <c r="I1487" s="4"/>
      <c r="J1487" s="4"/>
      <c r="K1487" s="4"/>
      <c r="L1487" s="4"/>
      <c r="M1487" s="4"/>
    </row>
    <row r="1488" spans="1:13" ht="15" customHeight="1" x14ac:dyDescent="0.35">
      <c r="A1488" t="str">
        <f t="shared" si="23"/>
        <v>P664ST06C3831</v>
      </c>
      <c r="B1488" t="str">
        <f>IFERROR(VLOOKUP($A1488,'[5]Study Budget Mapping '!$O$2:$P$532,2,0),"TBA")</f>
        <v>TBA</v>
      </c>
      <c r="D1488" s="2" t="s">
        <v>293</v>
      </c>
      <c r="E1488" s="2" t="s">
        <v>14</v>
      </c>
      <c r="F1488" s="3">
        <v>2400000</v>
      </c>
      <c r="G1488" s="3">
        <v>2900000</v>
      </c>
      <c r="H1488" s="4"/>
      <c r="I1488" s="4"/>
      <c r="J1488" s="4"/>
      <c r="K1488" s="4"/>
      <c r="L1488" s="4"/>
      <c r="M1488" s="4"/>
    </row>
    <row r="1489" spans="1:13" ht="15" customHeight="1" x14ac:dyDescent="0.35">
      <c r="A1489" t="str">
        <f t="shared" si="23"/>
        <v>P664ST06C3831</v>
      </c>
      <c r="B1489" t="str">
        <f>IFERROR(VLOOKUP($A1489,'[5]Study Budget Mapping '!$O$2:$P$532,2,0),"TBA")</f>
        <v>TBA</v>
      </c>
      <c r="D1489" s="2" t="s">
        <v>293</v>
      </c>
      <c r="E1489" s="2" t="s">
        <v>19</v>
      </c>
      <c r="F1489" s="3">
        <v>1720000</v>
      </c>
      <c r="G1489" s="3">
        <v>2470000</v>
      </c>
      <c r="H1489" s="4"/>
      <c r="I1489" s="4"/>
      <c r="J1489" s="4"/>
      <c r="K1489" s="4"/>
      <c r="L1489" s="4"/>
      <c r="M1489" s="4"/>
    </row>
    <row r="1490" spans="1:13" ht="15" customHeight="1" x14ac:dyDescent="0.35">
      <c r="A1490" t="str">
        <f t="shared" si="23"/>
        <v>P664ST06C3831</v>
      </c>
      <c r="B1490" t="str">
        <f>IFERROR(VLOOKUP($A1490,'[5]Study Budget Mapping '!$O$2:$P$532,2,0),"TBA")</f>
        <v>TBA</v>
      </c>
      <c r="D1490" s="2" t="s">
        <v>293</v>
      </c>
      <c r="E1490" s="2" t="s">
        <v>20</v>
      </c>
      <c r="F1490" s="3">
        <v>1580000</v>
      </c>
      <c r="G1490" s="3">
        <v>1780000</v>
      </c>
      <c r="H1490" s="4"/>
      <c r="I1490" s="4"/>
      <c r="J1490" s="4"/>
      <c r="K1490" s="4"/>
      <c r="L1490" s="4"/>
      <c r="M1490" s="4"/>
    </row>
    <row r="1491" spans="1:13" ht="15" customHeight="1" x14ac:dyDescent="0.35">
      <c r="A1491" t="str">
        <f t="shared" si="23"/>
        <v>P664ST06C3831</v>
      </c>
      <c r="B1491" t="str">
        <f>IFERROR(VLOOKUP($A1491,'[5]Study Budget Mapping '!$O$2:$P$532,2,0),"TBA")</f>
        <v>TBA</v>
      </c>
      <c r="D1491" s="2" t="s">
        <v>293</v>
      </c>
      <c r="E1491" s="2" t="s">
        <v>15</v>
      </c>
      <c r="F1491" s="3">
        <v>35700000</v>
      </c>
      <c r="G1491" s="3">
        <v>43400000</v>
      </c>
      <c r="H1491" s="4"/>
      <c r="I1491" s="4"/>
      <c r="J1491" s="4"/>
      <c r="K1491" s="4"/>
      <c r="L1491" s="4"/>
      <c r="M1491" s="4"/>
    </row>
    <row r="1492" spans="1:13" ht="15" customHeight="1" x14ac:dyDescent="0.35">
      <c r="A1492" t="str">
        <f t="shared" si="23"/>
        <v>P664ST06C3831</v>
      </c>
      <c r="B1492" t="str">
        <f>IFERROR(VLOOKUP($A1492,'[5]Study Budget Mapping '!$O$2:$P$532,2,0),"TBA")</f>
        <v>TBA</v>
      </c>
      <c r="D1492" s="2" t="s">
        <v>293</v>
      </c>
      <c r="E1492" s="2" t="s">
        <v>22</v>
      </c>
      <c r="F1492" s="3">
        <v>0</v>
      </c>
      <c r="G1492" s="3">
        <v>2090000</v>
      </c>
      <c r="H1492" s="4"/>
      <c r="I1492" s="4"/>
      <c r="J1492" s="4"/>
      <c r="K1492" s="4"/>
      <c r="L1492" s="4"/>
      <c r="M1492" s="4"/>
    </row>
    <row r="1493" spans="1:13" ht="15" customHeight="1" x14ac:dyDescent="0.35">
      <c r="A1493" t="str">
        <f t="shared" si="23"/>
        <v>P664ST06C3831</v>
      </c>
      <c r="B1493" t="str">
        <f>IFERROR(VLOOKUP($A1493,'[5]Study Budget Mapping '!$O$2:$P$532,2,0),"TBA")</f>
        <v>TBA</v>
      </c>
      <c r="D1493" s="2" t="s">
        <v>293</v>
      </c>
      <c r="E1493" s="2" t="s">
        <v>16</v>
      </c>
      <c r="F1493" s="3">
        <v>5210000</v>
      </c>
      <c r="G1493" s="3">
        <v>6830000</v>
      </c>
      <c r="H1493" s="4"/>
      <c r="I1493" s="4"/>
      <c r="J1493" s="4"/>
      <c r="K1493" s="4"/>
      <c r="L1493" s="4"/>
      <c r="M1493" s="4"/>
    </row>
    <row r="1494" spans="1:13" ht="15" customHeight="1" x14ac:dyDescent="0.35">
      <c r="A1494" t="str">
        <f t="shared" si="23"/>
        <v>P664ST06C3831</v>
      </c>
      <c r="B1494" t="str">
        <f>IFERROR(VLOOKUP($A1494,'[5]Study Budget Mapping '!$O$2:$P$532,2,0),"TBA")</f>
        <v>TBA</v>
      </c>
      <c r="D1494" s="2" t="s">
        <v>293</v>
      </c>
      <c r="E1494" s="2" t="s">
        <v>17</v>
      </c>
      <c r="F1494" s="3">
        <v>470000</v>
      </c>
      <c r="G1494" s="3">
        <v>680000</v>
      </c>
      <c r="H1494" s="4"/>
      <c r="I1494" s="4"/>
      <c r="J1494" s="4"/>
      <c r="K1494" s="4"/>
      <c r="L1494" s="4"/>
      <c r="M1494" s="4"/>
    </row>
    <row r="1495" spans="1:13" ht="15" customHeight="1" x14ac:dyDescent="0.35">
      <c r="A1495" t="str">
        <f t="shared" si="23"/>
        <v>P664ST06C3831</v>
      </c>
      <c r="B1495" t="str">
        <f>IFERROR(VLOOKUP($A1495,'[5]Study Budget Mapping '!$O$2:$P$532,2,0),"TBA")</f>
        <v>TBA</v>
      </c>
      <c r="D1495" s="2" t="s">
        <v>293</v>
      </c>
      <c r="E1495" s="2" t="s">
        <v>23</v>
      </c>
      <c r="F1495" s="3">
        <v>470000</v>
      </c>
      <c r="G1495" s="3">
        <v>1460000</v>
      </c>
      <c r="H1495" s="4"/>
      <c r="I1495" s="4"/>
      <c r="J1495" s="4"/>
      <c r="K1495" s="4"/>
      <c r="L1495" s="4"/>
      <c r="M1495" s="4"/>
    </row>
    <row r="1496" spans="1:13" ht="15" customHeight="1" x14ac:dyDescent="0.35">
      <c r="A1496" t="str">
        <f t="shared" si="23"/>
        <v>P664ST06C3831</v>
      </c>
      <c r="B1496" t="str">
        <f>IFERROR(VLOOKUP($A1496,'[5]Study Budget Mapping '!$O$2:$P$532,2,0),"TBA")</f>
        <v>TBA</v>
      </c>
      <c r="D1496" s="2" t="s">
        <v>293</v>
      </c>
      <c r="E1496" s="2" t="s">
        <v>24</v>
      </c>
      <c r="F1496" s="3">
        <v>4920000</v>
      </c>
      <c r="G1496" s="3">
        <v>7030000</v>
      </c>
      <c r="H1496" s="4"/>
      <c r="I1496" s="4"/>
      <c r="J1496" s="4"/>
      <c r="K1496" s="4"/>
      <c r="L1496" s="4"/>
      <c r="M1496" s="4"/>
    </row>
    <row r="1497" spans="1:13" ht="15" customHeight="1" x14ac:dyDescent="0.35">
      <c r="A1497" t="str">
        <f t="shared" si="23"/>
        <v>P664ST06C4701</v>
      </c>
      <c r="B1497" t="str">
        <f>IFERROR(VLOOKUP($A1497,'[5]Study Budget Mapping '!$O$2:$P$532,2,0),"TBA")</f>
        <v>TBA</v>
      </c>
      <c r="D1497" s="2" t="s">
        <v>294</v>
      </c>
      <c r="E1497" s="2" t="s">
        <v>13</v>
      </c>
      <c r="F1497" s="3">
        <v>3660000</v>
      </c>
      <c r="G1497" s="3">
        <v>3660000</v>
      </c>
      <c r="H1497" s="4"/>
      <c r="I1497" s="4"/>
      <c r="J1497" s="4"/>
      <c r="K1497" s="4"/>
      <c r="L1497" s="4"/>
      <c r="M1497" s="4"/>
    </row>
    <row r="1498" spans="1:13" ht="15" customHeight="1" x14ac:dyDescent="0.35">
      <c r="A1498" t="str">
        <f t="shared" si="23"/>
        <v>P664ST06C4701</v>
      </c>
      <c r="B1498" t="str">
        <f>IFERROR(VLOOKUP($A1498,'[5]Study Budget Mapping '!$O$2:$P$532,2,0),"TBA")</f>
        <v>TBA</v>
      </c>
      <c r="D1498" s="2" t="s">
        <v>294</v>
      </c>
      <c r="E1498" s="2" t="s">
        <v>14</v>
      </c>
      <c r="F1498" s="3">
        <v>390000</v>
      </c>
      <c r="G1498" s="3">
        <v>470000</v>
      </c>
      <c r="H1498" s="4"/>
      <c r="I1498" s="4"/>
      <c r="J1498" s="4"/>
      <c r="K1498" s="4"/>
      <c r="L1498" s="4"/>
      <c r="M1498" s="4"/>
    </row>
    <row r="1499" spans="1:13" ht="15" customHeight="1" x14ac:dyDescent="0.35">
      <c r="A1499" t="str">
        <f t="shared" si="23"/>
        <v>P664ST06C4701</v>
      </c>
      <c r="B1499" t="str">
        <f>IFERROR(VLOOKUP($A1499,'[5]Study Budget Mapping '!$O$2:$P$532,2,0),"TBA")</f>
        <v>TBA</v>
      </c>
      <c r="D1499" s="2" t="s">
        <v>294</v>
      </c>
      <c r="E1499" s="2" t="s">
        <v>19</v>
      </c>
      <c r="F1499" s="3">
        <v>1076000</v>
      </c>
      <c r="G1499" s="3">
        <v>1716000</v>
      </c>
      <c r="H1499" s="4"/>
      <c r="I1499" s="4"/>
      <c r="J1499" s="4"/>
      <c r="K1499" s="4"/>
      <c r="L1499" s="4"/>
      <c r="M1499" s="4"/>
    </row>
    <row r="1500" spans="1:13" ht="15" customHeight="1" x14ac:dyDescent="0.35">
      <c r="A1500" t="str">
        <f t="shared" si="23"/>
        <v>P664ST06C4701</v>
      </c>
      <c r="B1500" t="str">
        <f>IFERROR(VLOOKUP($A1500,'[5]Study Budget Mapping '!$O$2:$P$532,2,0),"TBA")</f>
        <v>TBA</v>
      </c>
      <c r="D1500" s="2" t="s">
        <v>294</v>
      </c>
      <c r="E1500" s="2" t="s">
        <v>15</v>
      </c>
      <c r="F1500" s="3">
        <v>8040000</v>
      </c>
      <c r="G1500" s="3">
        <v>7840000</v>
      </c>
      <c r="H1500" s="4"/>
      <c r="I1500" s="4"/>
      <c r="J1500" s="4"/>
      <c r="K1500" s="4"/>
      <c r="L1500" s="4"/>
      <c r="M1500" s="4"/>
    </row>
    <row r="1501" spans="1:13" ht="15" customHeight="1" x14ac:dyDescent="0.35">
      <c r="A1501" t="str">
        <f t="shared" si="23"/>
        <v>P664ST06C4702</v>
      </c>
      <c r="B1501" t="str">
        <f>IFERROR(VLOOKUP($A1501,'[5]Study Budget Mapping '!$O$2:$P$532,2,0),"TBA")</f>
        <v>TBA</v>
      </c>
      <c r="D1501" s="2" t="s">
        <v>295</v>
      </c>
      <c r="E1501" s="2" t="s">
        <v>15</v>
      </c>
      <c r="F1501" s="3">
        <v>5000000</v>
      </c>
      <c r="G1501" s="3">
        <v>5000000</v>
      </c>
      <c r="H1501" s="4"/>
      <c r="I1501" s="4"/>
      <c r="J1501" s="4"/>
      <c r="K1501" s="4"/>
      <c r="L1501" s="4"/>
      <c r="M1501" s="4"/>
    </row>
    <row r="1502" spans="1:13" ht="15" customHeight="1" x14ac:dyDescent="0.35">
      <c r="A1502" t="str">
        <f t="shared" si="23"/>
        <v>P664ST06C6131</v>
      </c>
      <c r="B1502" t="str">
        <f>IFERROR(VLOOKUP($A1502,'[5]Study Budget Mapping '!$O$2:$P$532,2,0),"TBA")</f>
        <v>TBA</v>
      </c>
      <c r="D1502" s="2" t="s">
        <v>296</v>
      </c>
      <c r="E1502" s="2" t="s">
        <v>13</v>
      </c>
      <c r="F1502" s="3">
        <v>2300000</v>
      </c>
      <c r="G1502" s="3">
        <v>2300000</v>
      </c>
      <c r="H1502" s="4"/>
      <c r="I1502" s="4"/>
      <c r="J1502" s="4"/>
      <c r="K1502" s="4"/>
      <c r="L1502" s="4"/>
      <c r="M1502" s="4"/>
    </row>
    <row r="1503" spans="1:13" ht="15" customHeight="1" x14ac:dyDescent="0.35">
      <c r="A1503" t="str">
        <f t="shared" si="23"/>
        <v>P664ST06C6131</v>
      </c>
      <c r="B1503" t="str">
        <f>IFERROR(VLOOKUP($A1503,'[5]Study Budget Mapping '!$O$2:$P$532,2,0),"TBA")</f>
        <v>TBA</v>
      </c>
      <c r="D1503" s="2" t="s">
        <v>296</v>
      </c>
      <c r="E1503" s="2" t="s">
        <v>14</v>
      </c>
      <c r="F1503" s="3">
        <v>1140000</v>
      </c>
      <c r="G1503" s="3">
        <v>1140000</v>
      </c>
      <c r="H1503" s="4"/>
      <c r="I1503" s="4"/>
      <c r="J1503" s="4"/>
      <c r="K1503" s="4"/>
      <c r="L1503" s="4"/>
      <c r="M1503" s="4"/>
    </row>
    <row r="1504" spans="1:13" ht="15" customHeight="1" x14ac:dyDescent="0.35">
      <c r="A1504" t="str">
        <f t="shared" si="23"/>
        <v>P664ST06C6131</v>
      </c>
      <c r="B1504" t="str">
        <f>IFERROR(VLOOKUP($A1504,'[5]Study Budget Mapping '!$O$2:$P$532,2,0),"TBA")</f>
        <v>TBA</v>
      </c>
      <c r="D1504" s="2" t="s">
        <v>296</v>
      </c>
      <c r="E1504" s="2" t="s">
        <v>20</v>
      </c>
      <c r="F1504" s="3">
        <v>420000</v>
      </c>
      <c r="G1504" s="3">
        <v>420000</v>
      </c>
      <c r="H1504" s="4"/>
      <c r="I1504" s="4"/>
      <c r="J1504" s="4"/>
      <c r="K1504" s="4"/>
      <c r="L1504" s="4"/>
      <c r="M1504" s="4"/>
    </row>
    <row r="1505" spans="1:13" ht="15" customHeight="1" x14ac:dyDescent="0.35">
      <c r="A1505" t="str">
        <f t="shared" si="23"/>
        <v>P664ST06C6131</v>
      </c>
      <c r="B1505" t="str">
        <f>IFERROR(VLOOKUP($A1505,'[5]Study Budget Mapping '!$O$2:$P$532,2,0),"TBA")</f>
        <v>TBA</v>
      </c>
      <c r="D1505" s="2" t="s">
        <v>296</v>
      </c>
      <c r="E1505" s="2" t="s">
        <v>15</v>
      </c>
      <c r="F1505" s="3">
        <v>4600000</v>
      </c>
      <c r="G1505" s="3">
        <v>4600000</v>
      </c>
      <c r="H1505" s="4"/>
      <c r="I1505" s="4"/>
      <c r="J1505" s="4"/>
      <c r="K1505" s="4"/>
      <c r="L1505" s="4"/>
      <c r="M1505" s="4"/>
    </row>
    <row r="1506" spans="1:13" ht="15" customHeight="1" x14ac:dyDescent="0.35">
      <c r="A1506" t="str">
        <f t="shared" si="23"/>
        <v>P664ST06C6131</v>
      </c>
      <c r="B1506" t="str">
        <f>IFERROR(VLOOKUP($A1506,'[5]Study Budget Mapping '!$O$2:$P$532,2,0),"TBA")</f>
        <v>TBA</v>
      </c>
      <c r="D1506" s="2" t="s">
        <v>296</v>
      </c>
      <c r="E1506" s="2" t="s">
        <v>16</v>
      </c>
      <c r="F1506" s="3">
        <v>600000</v>
      </c>
      <c r="G1506" s="3">
        <v>600000</v>
      </c>
      <c r="H1506" s="4"/>
      <c r="I1506" s="4"/>
      <c r="J1506" s="4"/>
      <c r="K1506" s="4"/>
      <c r="L1506" s="4"/>
      <c r="M1506" s="4"/>
    </row>
    <row r="1507" spans="1:13" ht="15" customHeight="1" x14ac:dyDescent="0.35">
      <c r="A1507" t="str">
        <f t="shared" si="23"/>
        <v>P664ST06C6131</v>
      </c>
      <c r="B1507" t="str">
        <f>IFERROR(VLOOKUP($A1507,'[5]Study Budget Mapping '!$O$2:$P$532,2,0),"TBA")</f>
        <v>TBA</v>
      </c>
      <c r="D1507" s="2" t="s">
        <v>296</v>
      </c>
      <c r="E1507" s="2" t="s">
        <v>24</v>
      </c>
      <c r="F1507" s="3">
        <v>520000</v>
      </c>
      <c r="G1507" s="3">
        <v>520000</v>
      </c>
      <c r="H1507" s="4"/>
      <c r="I1507" s="4"/>
      <c r="J1507" s="4"/>
      <c r="K1507" s="4"/>
      <c r="L1507" s="4"/>
      <c r="M1507" s="4"/>
    </row>
    <row r="1508" spans="1:13" ht="15" customHeight="1" x14ac:dyDescent="0.35">
      <c r="A1508" t="str">
        <f t="shared" si="23"/>
        <v>P664ST08C2631</v>
      </c>
      <c r="B1508" t="str">
        <f>IFERROR(VLOOKUP($A1508,'[5]Study Budget Mapping '!$O$2:$P$532,2,0),"TBA")</f>
        <v>TBA</v>
      </c>
      <c r="D1508" s="2" t="s">
        <v>297</v>
      </c>
      <c r="E1508" s="2" t="s">
        <v>13</v>
      </c>
      <c r="F1508" s="3">
        <v>9600000</v>
      </c>
      <c r="G1508" s="3">
        <v>9600000</v>
      </c>
      <c r="H1508" s="4"/>
      <c r="I1508" s="4"/>
      <c r="J1508" s="4"/>
      <c r="K1508" s="4"/>
      <c r="L1508" s="4"/>
      <c r="M1508" s="4"/>
    </row>
    <row r="1509" spans="1:13" ht="15" customHeight="1" x14ac:dyDescent="0.35">
      <c r="A1509" t="str">
        <f t="shared" si="23"/>
        <v>P664ST08C2631</v>
      </c>
      <c r="B1509" t="str">
        <f>IFERROR(VLOOKUP($A1509,'[5]Study Budget Mapping '!$O$2:$P$532,2,0),"TBA")</f>
        <v>TBA</v>
      </c>
      <c r="D1509" s="2" t="s">
        <v>297</v>
      </c>
      <c r="E1509" s="2" t="s">
        <v>14</v>
      </c>
      <c r="F1509" s="3">
        <v>3400000</v>
      </c>
      <c r="G1509" s="3">
        <v>3400000</v>
      </c>
      <c r="H1509" s="4"/>
      <c r="I1509" s="4"/>
      <c r="J1509" s="4"/>
      <c r="K1509" s="4"/>
      <c r="L1509" s="4"/>
      <c r="M1509" s="4"/>
    </row>
    <row r="1510" spans="1:13" ht="15" customHeight="1" x14ac:dyDescent="0.35">
      <c r="A1510" t="str">
        <f t="shared" si="23"/>
        <v>P664ST08C2631</v>
      </c>
      <c r="B1510" t="str">
        <f>IFERROR(VLOOKUP($A1510,'[5]Study Budget Mapping '!$O$2:$P$532,2,0),"TBA")</f>
        <v>TBA</v>
      </c>
      <c r="D1510" s="2" t="s">
        <v>297</v>
      </c>
      <c r="E1510" s="2" t="s">
        <v>19</v>
      </c>
      <c r="F1510" s="3">
        <v>2157745</v>
      </c>
      <c r="G1510" s="3">
        <v>2157745</v>
      </c>
      <c r="H1510" s="4"/>
      <c r="I1510" s="4"/>
      <c r="J1510" s="4"/>
      <c r="K1510" s="4"/>
      <c r="L1510" s="4"/>
      <c r="M1510" s="4"/>
    </row>
    <row r="1511" spans="1:13" ht="15" customHeight="1" x14ac:dyDescent="0.35">
      <c r="A1511" t="str">
        <f t="shared" si="23"/>
        <v>P664ST08C2631</v>
      </c>
      <c r="B1511" t="str">
        <f>IFERROR(VLOOKUP($A1511,'[5]Study Budget Mapping '!$O$2:$P$532,2,0),"TBA")</f>
        <v>TBA</v>
      </c>
      <c r="D1511" s="2" t="s">
        <v>297</v>
      </c>
      <c r="E1511" s="2" t="s">
        <v>20</v>
      </c>
      <c r="F1511" s="3">
        <v>2050000</v>
      </c>
      <c r="G1511" s="3">
        <v>2050000</v>
      </c>
      <c r="H1511" s="4"/>
      <c r="I1511" s="4"/>
      <c r="J1511" s="4"/>
      <c r="K1511" s="4"/>
      <c r="L1511" s="4"/>
      <c r="M1511" s="4"/>
    </row>
    <row r="1512" spans="1:13" ht="15" customHeight="1" x14ac:dyDescent="0.35">
      <c r="A1512" t="str">
        <f t="shared" si="23"/>
        <v>P664ST08C2631</v>
      </c>
      <c r="B1512" t="str">
        <f>IFERROR(VLOOKUP($A1512,'[5]Study Budget Mapping '!$O$2:$P$532,2,0),"TBA")</f>
        <v>TBA</v>
      </c>
      <c r="D1512" s="2" t="s">
        <v>297</v>
      </c>
      <c r="E1512" s="2" t="s">
        <v>15</v>
      </c>
      <c r="F1512" s="3">
        <v>22000000</v>
      </c>
      <c r="G1512" s="3">
        <v>22000000</v>
      </c>
      <c r="H1512" s="4"/>
      <c r="I1512" s="4"/>
      <c r="J1512" s="4"/>
      <c r="K1512" s="4"/>
      <c r="L1512" s="4"/>
      <c r="M1512" s="4"/>
    </row>
    <row r="1513" spans="1:13" ht="15" customHeight="1" x14ac:dyDescent="0.35">
      <c r="A1513" t="str">
        <f t="shared" si="23"/>
        <v>P664ST08C2631</v>
      </c>
      <c r="B1513" t="str">
        <f>IFERROR(VLOOKUP($A1513,'[5]Study Budget Mapping '!$O$2:$P$532,2,0),"TBA")</f>
        <v>TBA</v>
      </c>
      <c r="D1513" s="2" t="s">
        <v>297</v>
      </c>
      <c r="E1513" s="2" t="s">
        <v>16</v>
      </c>
      <c r="F1513" s="3">
        <v>3100000</v>
      </c>
      <c r="G1513" s="3">
        <v>3100000</v>
      </c>
      <c r="H1513" s="4"/>
      <c r="I1513" s="4"/>
      <c r="J1513" s="4"/>
      <c r="K1513" s="4"/>
      <c r="L1513" s="4"/>
      <c r="M1513" s="4"/>
    </row>
    <row r="1514" spans="1:13" ht="15" customHeight="1" x14ac:dyDescent="0.35">
      <c r="A1514" t="str">
        <f t="shared" si="23"/>
        <v>P664ST08C2631</v>
      </c>
      <c r="B1514" t="str">
        <f>IFERROR(VLOOKUP($A1514,'[5]Study Budget Mapping '!$O$2:$P$532,2,0),"TBA")</f>
        <v>TBA</v>
      </c>
      <c r="D1514" s="2" t="s">
        <v>297</v>
      </c>
      <c r="E1514" s="2" t="s">
        <v>17</v>
      </c>
      <c r="F1514" s="3">
        <v>510000</v>
      </c>
      <c r="G1514" s="3">
        <v>510000</v>
      </c>
      <c r="H1514" s="4"/>
      <c r="I1514" s="4"/>
      <c r="J1514" s="4"/>
      <c r="K1514" s="4"/>
      <c r="L1514" s="4"/>
      <c r="M1514" s="4"/>
    </row>
    <row r="1515" spans="1:13" ht="15" customHeight="1" x14ac:dyDescent="0.35">
      <c r="A1515" t="str">
        <f t="shared" si="23"/>
        <v>P664ST08C2631</v>
      </c>
      <c r="B1515" t="str">
        <f>IFERROR(VLOOKUP($A1515,'[5]Study Budget Mapping '!$O$2:$P$532,2,0),"TBA")</f>
        <v>TBA</v>
      </c>
      <c r="D1515" s="2" t="s">
        <v>297</v>
      </c>
      <c r="E1515" s="2" t="s">
        <v>23</v>
      </c>
      <c r="F1515" s="3">
        <v>370000</v>
      </c>
      <c r="G1515" s="3">
        <v>370000</v>
      </c>
      <c r="H1515" s="4"/>
      <c r="I1515" s="4"/>
      <c r="J1515" s="4"/>
      <c r="K1515" s="4"/>
      <c r="L1515" s="4"/>
      <c r="M1515" s="4"/>
    </row>
    <row r="1516" spans="1:13" ht="15" customHeight="1" x14ac:dyDescent="0.35">
      <c r="A1516" t="str">
        <f t="shared" si="23"/>
        <v>P664ST08C2631</v>
      </c>
      <c r="B1516" t="str">
        <f>IFERROR(VLOOKUP($A1516,'[5]Study Budget Mapping '!$O$2:$P$532,2,0),"TBA")</f>
        <v>TBA</v>
      </c>
      <c r="D1516" s="2" t="s">
        <v>297</v>
      </c>
      <c r="E1516" s="2" t="s">
        <v>24</v>
      </c>
      <c r="F1516" s="3">
        <v>1740000</v>
      </c>
      <c r="G1516" s="3">
        <v>1740000</v>
      </c>
      <c r="H1516" s="4"/>
      <c r="I1516" s="4"/>
      <c r="J1516" s="4"/>
      <c r="K1516" s="4"/>
      <c r="L1516" s="4"/>
      <c r="M1516" s="4"/>
    </row>
    <row r="1517" spans="1:13" ht="15" customHeight="1" x14ac:dyDescent="0.35">
      <c r="A1517" t="str">
        <f t="shared" si="23"/>
        <v>P664ST09C5603</v>
      </c>
      <c r="B1517" t="str">
        <f>IFERROR(VLOOKUP($A1517,'[5]Study Budget Mapping '!$O$2:$P$532,2,0),"TBA")</f>
        <v>TBA</v>
      </c>
      <c r="D1517" s="2" t="s">
        <v>298</v>
      </c>
      <c r="E1517" s="2" t="s">
        <v>13</v>
      </c>
      <c r="F1517" s="3">
        <v>4795359</v>
      </c>
      <c r="G1517" s="3">
        <v>4795359</v>
      </c>
      <c r="H1517" s="4"/>
      <c r="I1517" s="4"/>
      <c r="J1517" s="4"/>
      <c r="K1517" s="4"/>
      <c r="L1517" s="4"/>
      <c r="M1517" s="4"/>
    </row>
    <row r="1518" spans="1:13" ht="15" customHeight="1" x14ac:dyDescent="0.35">
      <c r="A1518" t="str">
        <f t="shared" si="23"/>
        <v>P664ST09C5603</v>
      </c>
      <c r="B1518" t="str">
        <f>IFERROR(VLOOKUP($A1518,'[5]Study Budget Mapping '!$O$2:$P$532,2,0),"TBA")</f>
        <v>TBA</v>
      </c>
      <c r="D1518" s="2" t="s">
        <v>298</v>
      </c>
      <c r="E1518" s="2" t="s">
        <v>14</v>
      </c>
      <c r="F1518" s="3">
        <v>1170000</v>
      </c>
      <c r="G1518" s="3">
        <v>1170000</v>
      </c>
      <c r="H1518" s="4"/>
      <c r="I1518" s="4"/>
      <c r="J1518" s="4"/>
      <c r="K1518" s="4"/>
      <c r="L1518" s="4"/>
      <c r="M1518" s="4"/>
    </row>
    <row r="1519" spans="1:13" ht="15" customHeight="1" x14ac:dyDescent="0.35">
      <c r="A1519" t="str">
        <f t="shared" si="23"/>
        <v>P664ST09C5603</v>
      </c>
      <c r="B1519" t="str">
        <f>IFERROR(VLOOKUP($A1519,'[5]Study Budget Mapping '!$O$2:$P$532,2,0),"TBA")</f>
        <v>TBA</v>
      </c>
      <c r="D1519" s="2" t="s">
        <v>298</v>
      </c>
      <c r="E1519" s="2" t="s">
        <v>19</v>
      </c>
      <c r="F1519" s="3">
        <v>3057000</v>
      </c>
      <c r="G1519" s="3">
        <v>3057000</v>
      </c>
      <c r="H1519" s="4"/>
      <c r="I1519" s="4"/>
      <c r="J1519" s="4"/>
      <c r="K1519" s="4"/>
      <c r="L1519" s="4"/>
      <c r="M1519" s="4"/>
    </row>
    <row r="1520" spans="1:13" ht="15" customHeight="1" x14ac:dyDescent="0.35">
      <c r="A1520" t="str">
        <f t="shared" si="23"/>
        <v>P664ST09C5603</v>
      </c>
      <c r="B1520" t="str">
        <f>IFERROR(VLOOKUP($A1520,'[5]Study Budget Mapping '!$O$2:$P$532,2,0),"TBA")</f>
        <v>TBA</v>
      </c>
      <c r="D1520" s="2" t="s">
        <v>298</v>
      </c>
      <c r="E1520" s="2" t="s">
        <v>15</v>
      </c>
      <c r="F1520" s="3">
        <v>4660000</v>
      </c>
      <c r="G1520" s="3">
        <v>4660000</v>
      </c>
      <c r="H1520" s="4"/>
      <c r="I1520" s="4"/>
      <c r="J1520" s="4"/>
      <c r="K1520" s="4"/>
      <c r="L1520" s="4"/>
      <c r="M1520" s="4"/>
    </row>
    <row r="1521" spans="1:13" ht="15" customHeight="1" x14ac:dyDescent="0.35">
      <c r="A1521" t="str">
        <f t="shared" si="23"/>
        <v>P664ST09C5603</v>
      </c>
      <c r="B1521" t="str">
        <f>IFERROR(VLOOKUP($A1521,'[5]Study Budget Mapping '!$O$2:$P$532,2,0),"TBA")</f>
        <v>TBA</v>
      </c>
      <c r="D1521" s="2" t="s">
        <v>298</v>
      </c>
      <c r="E1521" s="2" t="s">
        <v>16</v>
      </c>
      <c r="F1521" s="3">
        <v>590000</v>
      </c>
      <c r="G1521" s="3">
        <v>590000</v>
      </c>
      <c r="H1521" s="4"/>
      <c r="I1521" s="4"/>
      <c r="J1521" s="4"/>
      <c r="K1521" s="4"/>
      <c r="L1521" s="4"/>
      <c r="M1521" s="4"/>
    </row>
    <row r="1522" spans="1:13" ht="15" customHeight="1" x14ac:dyDescent="0.35">
      <c r="A1522" t="str">
        <f t="shared" si="23"/>
        <v>P664ST09C5603</v>
      </c>
      <c r="B1522" t="str">
        <f>IFERROR(VLOOKUP($A1522,'[5]Study Budget Mapping '!$O$2:$P$532,2,0),"TBA")</f>
        <v>TBA</v>
      </c>
      <c r="D1522" s="2" t="s">
        <v>298</v>
      </c>
      <c r="E1522" s="2" t="s">
        <v>17</v>
      </c>
      <c r="F1522" s="3">
        <v>230000</v>
      </c>
      <c r="G1522" s="3">
        <v>230000</v>
      </c>
      <c r="H1522" s="4"/>
      <c r="I1522" s="4"/>
      <c r="J1522" s="4"/>
      <c r="K1522" s="4"/>
      <c r="L1522" s="4"/>
      <c r="M1522" s="4"/>
    </row>
    <row r="1523" spans="1:13" ht="15" customHeight="1" x14ac:dyDescent="0.35">
      <c r="A1523" t="str">
        <f t="shared" si="23"/>
        <v>P664ST09C5603</v>
      </c>
      <c r="B1523" t="str">
        <f>IFERROR(VLOOKUP($A1523,'[5]Study Budget Mapping '!$O$2:$P$532,2,0),"TBA")</f>
        <v>TBA</v>
      </c>
      <c r="D1523" s="2" t="s">
        <v>298</v>
      </c>
      <c r="E1523" s="2" t="s">
        <v>23</v>
      </c>
      <c r="F1523" s="3">
        <v>410000</v>
      </c>
      <c r="G1523" s="3">
        <v>410000</v>
      </c>
      <c r="H1523" s="4"/>
      <c r="I1523" s="4"/>
      <c r="J1523" s="4"/>
      <c r="K1523" s="4"/>
      <c r="L1523" s="4"/>
      <c r="M1523" s="4"/>
    </row>
    <row r="1524" spans="1:13" ht="15" customHeight="1" x14ac:dyDescent="0.35">
      <c r="A1524" t="str">
        <f t="shared" si="23"/>
        <v>P664ST09C5603</v>
      </c>
      <c r="B1524" t="str">
        <f>IFERROR(VLOOKUP($A1524,'[5]Study Budget Mapping '!$O$2:$P$532,2,0),"TBA")</f>
        <v>TBA</v>
      </c>
      <c r="D1524" s="2" t="s">
        <v>298</v>
      </c>
      <c r="E1524" s="2" t="s">
        <v>24</v>
      </c>
      <c r="F1524" s="3">
        <v>380000</v>
      </c>
      <c r="G1524" s="3">
        <v>380000</v>
      </c>
      <c r="H1524" s="4"/>
      <c r="I1524" s="4"/>
      <c r="J1524" s="4"/>
      <c r="K1524" s="4"/>
      <c r="L1524" s="4"/>
      <c r="M1524" s="4"/>
    </row>
    <row r="1525" spans="1:13" ht="15" customHeight="1" x14ac:dyDescent="0.35">
      <c r="A1525" t="str">
        <f t="shared" si="23"/>
        <v>P664ST09C6131</v>
      </c>
      <c r="B1525" t="str">
        <f>IFERROR(VLOOKUP($A1525,'[5]Study Budget Mapping '!$O$2:$P$532,2,0),"TBA")</f>
        <v>TBA</v>
      </c>
      <c r="D1525" s="2" t="s">
        <v>299</v>
      </c>
      <c r="E1525" s="2" t="s">
        <v>13</v>
      </c>
      <c r="F1525" s="3">
        <v>1081114</v>
      </c>
      <c r="G1525" s="3">
        <v>960000</v>
      </c>
      <c r="H1525" s="4"/>
      <c r="I1525" s="4"/>
      <c r="J1525" s="4"/>
      <c r="K1525" s="4"/>
      <c r="L1525" s="4"/>
      <c r="M1525" s="4"/>
    </row>
    <row r="1526" spans="1:13" ht="15" customHeight="1" x14ac:dyDescent="0.35">
      <c r="A1526" t="str">
        <f t="shared" si="23"/>
        <v>P664ST09C6131</v>
      </c>
      <c r="B1526" t="str">
        <f>IFERROR(VLOOKUP($A1526,'[5]Study Budget Mapping '!$O$2:$P$532,2,0),"TBA")</f>
        <v>TBA</v>
      </c>
      <c r="D1526" s="2" t="s">
        <v>299</v>
      </c>
      <c r="E1526" s="2" t="s">
        <v>14</v>
      </c>
      <c r="F1526" s="3">
        <v>356350</v>
      </c>
      <c r="G1526" s="3">
        <v>670000</v>
      </c>
      <c r="H1526" s="4"/>
      <c r="I1526" s="4"/>
      <c r="J1526" s="4"/>
      <c r="K1526" s="4"/>
      <c r="L1526" s="4"/>
      <c r="M1526" s="4"/>
    </row>
    <row r="1527" spans="1:13" ht="15" customHeight="1" x14ac:dyDescent="0.35">
      <c r="A1527" t="str">
        <f t="shared" si="23"/>
        <v>P664ST09C6131</v>
      </c>
      <c r="B1527" t="str">
        <f>IFERROR(VLOOKUP($A1527,'[5]Study Budget Mapping '!$O$2:$P$532,2,0),"TBA")</f>
        <v>TBA</v>
      </c>
      <c r="D1527" s="2" t="s">
        <v>299</v>
      </c>
      <c r="E1527" s="2" t="s">
        <v>19</v>
      </c>
      <c r="F1527" s="3">
        <v>29584</v>
      </c>
      <c r="G1527" s="3">
        <v>30000</v>
      </c>
      <c r="H1527" s="4"/>
      <c r="I1527" s="4"/>
      <c r="J1527" s="4"/>
      <c r="K1527" s="4"/>
      <c r="L1527" s="4"/>
      <c r="M1527" s="4"/>
    </row>
    <row r="1528" spans="1:13" ht="15" customHeight="1" x14ac:dyDescent="0.35">
      <c r="A1528" t="str">
        <f t="shared" si="23"/>
        <v>P664ST09C6131</v>
      </c>
      <c r="B1528" t="str">
        <f>IFERROR(VLOOKUP($A1528,'[5]Study Budget Mapping '!$O$2:$P$532,2,0),"TBA")</f>
        <v>TBA</v>
      </c>
      <c r="D1528" s="2" t="s">
        <v>299</v>
      </c>
      <c r="E1528" s="2" t="s">
        <v>20</v>
      </c>
      <c r="F1528" s="3">
        <v>281374</v>
      </c>
      <c r="G1528" s="3">
        <v>460000</v>
      </c>
      <c r="H1528" s="4"/>
      <c r="I1528" s="4"/>
      <c r="J1528" s="4"/>
      <c r="K1528" s="4"/>
      <c r="L1528" s="4"/>
      <c r="M1528" s="4"/>
    </row>
    <row r="1529" spans="1:13" ht="15" customHeight="1" x14ac:dyDescent="0.35">
      <c r="A1529" t="str">
        <f t="shared" si="23"/>
        <v>P664ST09C6131</v>
      </c>
      <c r="B1529" t="str">
        <f>IFERROR(VLOOKUP($A1529,'[5]Study Budget Mapping '!$O$2:$P$532,2,0),"TBA")</f>
        <v>TBA</v>
      </c>
      <c r="D1529" s="2" t="s">
        <v>299</v>
      </c>
      <c r="E1529" s="2" t="s">
        <v>15</v>
      </c>
      <c r="F1529" s="3">
        <v>2849608</v>
      </c>
      <c r="G1529" s="3">
        <v>4390000</v>
      </c>
      <c r="H1529" s="4"/>
      <c r="I1529" s="4"/>
      <c r="J1529" s="4"/>
      <c r="K1529" s="4"/>
      <c r="L1529" s="4"/>
      <c r="M1529" s="4"/>
    </row>
    <row r="1530" spans="1:13" ht="15" customHeight="1" x14ac:dyDescent="0.35">
      <c r="A1530" t="str">
        <f t="shared" si="23"/>
        <v>P664ST09C6131</v>
      </c>
      <c r="B1530" t="str">
        <f>IFERROR(VLOOKUP($A1530,'[5]Study Budget Mapping '!$O$2:$P$532,2,0),"TBA")</f>
        <v>TBA</v>
      </c>
      <c r="D1530" s="2" t="s">
        <v>299</v>
      </c>
      <c r="E1530" s="2" t="s">
        <v>16</v>
      </c>
      <c r="F1530" s="3">
        <v>351151</v>
      </c>
      <c r="G1530" s="3">
        <v>400000</v>
      </c>
      <c r="H1530" s="4"/>
      <c r="I1530" s="4"/>
      <c r="J1530" s="4"/>
      <c r="K1530" s="4"/>
      <c r="L1530" s="4"/>
      <c r="M1530" s="4"/>
    </row>
    <row r="1531" spans="1:13" ht="15" customHeight="1" x14ac:dyDescent="0.35">
      <c r="A1531" t="str">
        <f t="shared" si="23"/>
        <v>P664ST09C6131</v>
      </c>
      <c r="B1531" t="str">
        <f>IFERROR(VLOOKUP($A1531,'[5]Study Budget Mapping '!$O$2:$P$532,2,0),"TBA")</f>
        <v>TBA</v>
      </c>
      <c r="D1531" s="2" t="s">
        <v>299</v>
      </c>
      <c r="E1531" s="2" t="s">
        <v>24</v>
      </c>
      <c r="F1531" s="3">
        <v>195000</v>
      </c>
      <c r="G1531" s="3">
        <v>210000</v>
      </c>
      <c r="H1531" s="4"/>
      <c r="I1531" s="4"/>
      <c r="J1531" s="4"/>
      <c r="K1531" s="4"/>
      <c r="L1531" s="4"/>
      <c r="M1531" s="4"/>
    </row>
    <row r="1532" spans="1:13" ht="15" customHeight="1" x14ac:dyDescent="0.35">
      <c r="A1532" t="str">
        <f t="shared" si="23"/>
        <v>P664ST10C2632</v>
      </c>
      <c r="B1532" t="str">
        <f>IFERROR(VLOOKUP($A1532,'[5]Study Budget Mapping '!$O$2:$P$532,2,0),"TBA")</f>
        <v>TBA</v>
      </c>
      <c r="D1532" s="2" t="s">
        <v>300</v>
      </c>
      <c r="E1532" s="2" t="s">
        <v>13</v>
      </c>
      <c r="F1532" s="3">
        <v>7210000</v>
      </c>
      <c r="G1532" s="3">
        <v>7210000</v>
      </c>
      <c r="H1532" s="4"/>
      <c r="I1532" s="4"/>
      <c r="J1532" s="4"/>
      <c r="K1532" s="4"/>
      <c r="L1532" s="4"/>
      <c r="M1532" s="4"/>
    </row>
    <row r="1533" spans="1:13" ht="15" customHeight="1" x14ac:dyDescent="0.35">
      <c r="A1533" t="str">
        <f t="shared" si="23"/>
        <v>P664ST10C2632</v>
      </c>
      <c r="B1533" t="str">
        <f>IFERROR(VLOOKUP($A1533,'[5]Study Budget Mapping '!$O$2:$P$532,2,0),"TBA")</f>
        <v>TBA</v>
      </c>
      <c r="D1533" s="2" t="s">
        <v>300</v>
      </c>
      <c r="E1533" s="2" t="s">
        <v>14</v>
      </c>
      <c r="F1533" s="3">
        <v>1430000</v>
      </c>
      <c r="G1533" s="3">
        <v>1430000</v>
      </c>
      <c r="H1533" s="4"/>
      <c r="I1533" s="4"/>
      <c r="J1533" s="4"/>
      <c r="K1533" s="4"/>
      <c r="L1533" s="4"/>
      <c r="M1533" s="4"/>
    </row>
    <row r="1534" spans="1:13" ht="15" customHeight="1" x14ac:dyDescent="0.35">
      <c r="A1534" t="str">
        <f t="shared" si="23"/>
        <v>P664ST10C2632</v>
      </c>
      <c r="B1534" t="str">
        <f>IFERROR(VLOOKUP($A1534,'[5]Study Budget Mapping '!$O$2:$P$532,2,0),"TBA")</f>
        <v>TBA</v>
      </c>
      <c r="D1534" s="2" t="s">
        <v>300</v>
      </c>
      <c r="E1534" s="2" t="s">
        <v>19</v>
      </c>
      <c r="F1534" s="3">
        <v>160000</v>
      </c>
      <c r="G1534" s="3">
        <v>160000</v>
      </c>
      <c r="H1534" s="4"/>
      <c r="I1534" s="4"/>
      <c r="J1534" s="4"/>
      <c r="K1534" s="4"/>
      <c r="L1534" s="4"/>
      <c r="M1534" s="4"/>
    </row>
    <row r="1535" spans="1:13" ht="15" customHeight="1" x14ac:dyDescent="0.35">
      <c r="A1535" t="str">
        <f t="shared" si="23"/>
        <v>P664ST10C2632</v>
      </c>
      <c r="B1535" t="str">
        <f>IFERROR(VLOOKUP($A1535,'[5]Study Budget Mapping '!$O$2:$P$532,2,0),"TBA")</f>
        <v>TBA</v>
      </c>
      <c r="D1535" s="2" t="s">
        <v>300</v>
      </c>
      <c r="E1535" s="2" t="s">
        <v>20</v>
      </c>
      <c r="F1535" s="3">
        <v>440000</v>
      </c>
      <c r="G1535" s="3">
        <v>440000</v>
      </c>
      <c r="H1535" s="4"/>
      <c r="I1535" s="4"/>
      <c r="J1535" s="4"/>
      <c r="K1535" s="4"/>
      <c r="L1535" s="4"/>
      <c r="M1535" s="4"/>
    </row>
    <row r="1536" spans="1:13" ht="15" customHeight="1" x14ac:dyDescent="0.35">
      <c r="A1536" t="str">
        <f t="shared" si="23"/>
        <v>P664ST10C2632</v>
      </c>
      <c r="B1536" t="str">
        <f>IFERROR(VLOOKUP($A1536,'[5]Study Budget Mapping '!$O$2:$P$532,2,0),"TBA")</f>
        <v>TBA</v>
      </c>
      <c r="D1536" s="2" t="s">
        <v>300</v>
      </c>
      <c r="E1536" s="2" t="s">
        <v>15</v>
      </c>
      <c r="F1536" s="3">
        <v>7680000</v>
      </c>
      <c r="G1536" s="3">
        <v>7680000</v>
      </c>
      <c r="H1536" s="4"/>
      <c r="I1536" s="4"/>
      <c r="J1536" s="4"/>
      <c r="K1536" s="4"/>
      <c r="L1536" s="4"/>
      <c r="M1536" s="4"/>
    </row>
    <row r="1537" spans="1:13" ht="15" customHeight="1" x14ac:dyDescent="0.35">
      <c r="A1537" t="str">
        <f t="shared" si="23"/>
        <v>P664ST10C2632</v>
      </c>
      <c r="B1537" t="str">
        <f>IFERROR(VLOOKUP($A1537,'[5]Study Budget Mapping '!$O$2:$P$532,2,0),"TBA")</f>
        <v>TBA</v>
      </c>
      <c r="D1537" s="2" t="s">
        <v>300</v>
      </c>
      <c r="E1537" s="2" t="s">
        <v>16</v>
      </c>
      <c r="F1537" s="3">
        <v>790000</v>
      </c>
      <c r="G1537" s="3">
        <v>790000</v>
      </c>
      <c r="H1537" s="4"/>
      <c r="I1537" s="4"/>
      <c r="J1537" s="4"/>
      <c r="K1537" s="4"/>
      <c r="L1537" s="4"/>
      <c r="M1537" s="4"/>
    </row>
    <row r="1538" spans="1:13" ht="15" customHeight="1" x14ac:dyDescent="0.35">
      <c r="A1538" t="str">
        <f t="shared" si="23"/>
        <v>P664ST10C2632</v>
      </c>
      <c r="B1538" t="str">
        <f>IFERROR(VLOOKUP($A1538,'[5]Study Budget Mapping '!$O$2:$P$532,2,0),"TBA")</f>
        <v>TBA</v>
      </c>
      <c r="D1538" s="2" t="s">
        <v>300</v>
      </c>
      <c r="E1538" s="2" t="s">
        <v>17</v>
      </c>
      <c r="F1538" s="3">
        <v>311000</v>
      </c>
      <c r="G1538" s="3">
        <v>311000</v>
      </c>
      <c r="H1538" s="4"/>
      <c r="I1538" s="4"/>
      <c r="J1538" s="4"/>
      <c r="K1538" s="4"/>
      <c r="L1538" s="4"/>
      <c r="M1538" s="4"/>
    </row>
    <row r="1539" spans="1:13" ht="15" customHeight="1" x14ac:dyDescent="0.35">
      <c r="A1539" t="str">
        <f t="shared" ref="A1539:A1602" si="24">TRIM(_xlfn.TEXTBEFORE(D1539,"-",1))</f>
        <v>P664ST10C2632</v>
      </c>
      <c r="B1539" t="str">
        <f>IFERROR(VLOOKUP($A1539,'[5]Study Budget Mapping '!$O$2:$P$532,2,0),"TBA")</f>
        <v>TBA</v>
      </c>
      <c r="D1539" s="2" t="s">
        <v>300</v>
      </c>
      <c r="E1539" s="2" t="s">
        <v>24</v>
      </c>
      <c r="F1539" s="3">
        <v>1730000</v>
      </c>
      <c r="G1539" s="3">
        <v>1730000</v>
      </c>
      <c r="H1539" s="4"/>
      <c r="I1539" s="4"/>
      <c r="J1539" s="4"/>
      <c r="K1539" s="4"/>
      <c r="L1539" s="4"/>
      <c r="M1539" s="4"/>
    </row>
    <row r="1540" spans="1:13" ht="15" customHeight="1" x14ac:dyDescent="0.35">
      <c r="A1540" t="str">
        <f t="shared" si="24"/>
        <v>P664ST10C2632</v>
      </c>
      <c r="B1540" t="str">
        <f>IFERROR(VLOOKUP($A1540,'[5]Study Budget Mapping '!$O$2:$P$532,2,0),"TBA")</f>
        <v>TBA</v>
      </c>
      <c r="D1540" s="2" t="s">
        <v>300</v>
      </c>
      <c r="E1540" s="2" t="s">
        <v>32</v>
      </c>
      <c r="F1540" s="3">
        <v>230000</v>
      </c>
      <c r="G1540" s="3">
        <v>230000</v>
      </c>
      <c r="H1540" s="4"/>
      <c r="I1540" s="4"/>
      <c r="J1540" s="4"/>
      <c r="K1540" s="4"/>
      <c r="L1540" s="4"/>
      <c r="M1540" s="4"/>
    </row>
    <row r="1541" spans="1:13" ht="15" customHeight="1" x14ac:dyDescent="0.35">
      <c r="A1541" t="str">
        <f t="shared" si="24"/>
        <v>P664ST10C3831</v>
      </c>
      <c r="B1541" t="str">
        <f>IFERROR(VLOOKUP($A1541,'[5]Study Budget Mapping '!$O$2:$P$532,2,0),"TBA")</f>
        <v>TBA</v>
      </c>
      <c r="D1541" s="2" t="s">
        <v>301</v>
      </c>
      <c r="E1541" s="2" t="s">
        <v>13</v>
      </c>
      <c r="F1541" s="3">
        <v>33961898</v>
      </c>
      <c r="G1541" s="3">
        <v>41840000</v>
      </c>
      <c r="H1541" s="4"/>
      <c r="I1541" s="4"/>
      <c r="J1541" s="4"/>
      <c r="K1541" s="4"/>
      <c r="L1541" s="4"/>
      <c r="M1541" s="4"/>
    </row>
    <row r="1542" spans="1:13" ht="15" customHeight="1" x14ac:dyDescent="0.35">
      <c r="A1542" t="str">
        <f t="shared" si="24"/>
        <v>P664ST10C3831</v>
      </c>
      <c r="B1542" t="str">
        <f>IFERROR(VLOOKUP($A1542,'[5]Study Budget Mapping '!$O$2:$P$532,2,0),"TBA")</f>
        <v>TBA</v>
      </c>
      <c r="D1542" s="2" t="s">
        <v>301</v>
      </c>
      <c r="E1542" s="2" t="s">
        <v>14</v>
      </c>
      <c r="F1542" s="3">
        <v>2353330</v>
      </c>
      <c r="G1542" s="3">
        <v>3850000</v>
      </c>
      <c r="H1542" s="4"/>
      <c r="I1542" s="4"/>
      <c r="J1542" s="4"/>
      <c r="K1542" s="4"/>
      <c r="L1542" s="4"/>
      <c r="M1542" s="4"/>
    </row>
    <row r="1543" spans="1:13" ht="15" customHeight="1" x14ac:dyDescent="0.35">
      <c r="A1543" t="str">
        <f t="shared" si="24"/>
        <v>P664ST10C3831</v>
      </c>
      <c r="B1543" t="str">
        <f>IFERROR(VLOOKUP($A1543,'[5]Study Budget Mapping '!$O$2:$P$532,2,0),"TBA")</f>
        <v>TBA</v>
      </c>
      <c r="D1543" s="2" t="s">
        <v>301</v>
      </c>
      <c r="E1543" s="2" t="s">
        <v>19</v>
      </c>
      <c r="F1543" s="3">
        <v>1813813</v>
      </c>
      <c r="G1543" s="3">
        <v>30000</v>
      </c>
      <c r="H1543" s="4"/>
      <c r="I1543" s="4"/>
      <c r="J1543" s="4"/>
      <c r="K1543" s="4"/>
      <c r="L1543" s="4"/>
      <c r="M1543" s="4"/>
    </row>
    <row r="1544" spans="1:13" ht="15" customHeight="1" x14ac:dyDescent="0.35">
      <c r="A1544" t="str">
        <f t="shared" si="24"/>
        <v>P664ST10C3831</v>
      </c>
      <c r="B1544" t="str">
        <f>IFERROR(VLOOKUP($A1544,'[5]Study Budget Mapping '!$O$2:$P$532,2,0),"TBA")</f>
        <v>TBA</v>
      </c>
      <c r="D1544" s="2" t="s">
        <v>301</v>
      </c>
      <c r="E1544" s="2" t="s">
        <v>20</v>
      </c>
      <c r="F1544" s="3">
        <v>446443</v>
      </c>
      <c r="G1544" s="3">
        <v>2150000</v>
      </c>
      <c r="H1544" s="4"/>
      <c r="I1544" s="4"/>
      <c r="J1544" s="4"/>
      <c r="K1544" s="4"/>
      <c r="L1544" s="4"/>
      <c r="M1544" s="4"/>
    </row>
    <row r="1545" spans="1:13" ht="15" customHeight="1" x14ac:dyDescent="0.35">
      <c r="A1545" t="str">
        <f t="shared" si="24"/>
        <v>P664ST10C3831</v>
      </c>
      <c r="B1545" t="str">
        <f>IFERROR(VLOOKUP($A1545,'[5]Study Budget Mapping '!$O$2:$P$532,2,0),"TBA")</f>
        <v>TBA</v>
      </c>
      <c r="D1545" s="2" t="s">
        <v>301</v>
      </c>
      <c r="E1545" s="2" t="s">
        <v>15</v>
      </c>
      <c r="F1545" s="3">
        <v>22557077</v>
      </c>
      <c r="G1545" s="3">
        <v>36660000</v>
      </c>
      <c r="H1545" s="4"/>
      <c r="I1545" s="4"/>
      <c r="J1545" s="4"/>
      <c r="K1545" s="4"/>
      <c r="L1545" s="4"/>
      <c r="M1545" s="4"/>
    </row>
    <row r="1546" spans="1:13" ht="15" customHeight="1" x14ac:dyDescent="0.35">
      <c r="A1546" t="str">
        <f t="shared" si="24"/>
        <v>P664ST10C3831</v>
      </c>
      <c r="B1546" t="str">
        <f>IFERROR(VLOOKUP($A1546,'[5]Study Budget Mapping '!$O$2:$P$532,2,0),"TBA")</f>
        <v>TBA</v>
      </c>
      <c r="D1546" s="2" t="s">
        <v>301</v>
      </c>
      <c r="E1546" s="2" t="s">
        <v>16</v>
      </c>
      <c r="F1546" s="3">
        <v>3854031</v>
      </c>
      <c r="G1546" s="3">
        <v>7130000</v>
      </c>
      <c r="H1546" s="4"/>
      <c r="I1546" s="4"/>
      <c r="J1546" s="4"/>
      <c r="K1546" s="4"/>
      <c r="L1546" s="4"/>
      <c r="M1546" s="4"/>
    </row>
    <row r="1547" spans="1:13" ht="15" customHeight="1" x14ac:dyDescent="0.35">
      <c r="A1547" t="str">
        <f t="shared" si="24"/>
        <v>P664ST10C3831</v>
      </c>
      <c r="B1547" t="str">
        <f>IFERROR(VLOOKUP($A1547,'[5]Study Budget Mapping '!$O$2:$P$532,2,0),"TBA")</f>
        <v>TBA</v>
      </c>
      <c r="D1547" s="2" t="s">
        <v>301</v>
      </c>
      <c r="E1547" s="2" t="s">
        <v>17</v>
      </c>
      <c r="F1547" s="3">
        <v>358169</v>
      </c>
      <c r="G1547" s="3">
        <v>460000</v>
      </c>
      <c r="H1547" s="4"/>
      <c r="I1547" s="4"/>
      <c r="J1547" s="4"/>
      <c r="K1547" s="4"/>
      <c r="L1547" s="4"/>
      <c r="M1547" s="4"/>
    </row>
    <row r="1548" spans="1:13" ht="15" customHeight="1" x14ac:dyDescent="0.35">
      <c r="A1548" t="str">
        <f t="shared" si="24"/>
        <v>P664ST10C3831</v>
      </c>
      <c r="B1548" t="str">
        <f>IFERROR(VLOOKUP($A1548,'[5]Study Budget Mapping '!$O$2:$P$532,2,0),"TBA")</f>
        <v>TBA</v>
      </c>
      <c r="D1548" s="2" t="s">
        <v>301</v>
      </c>
      <c r="E1548" s="2" t="s">
        <v>23</v>
      </c>
      <c r="F1548" s="3">
        <v>0</v>
      </c>
      <c r="G1548" s="3">
        <v>180000</v>
      </c>
      <c r="H1548" s="4"/>
      <c r="I1548" s="4"/>
      <c r="J1548" s="4"/>
      <c r="K1548" s="4"/>
      <c r="L1548" s="4"/>
      <c r="M1548" s="4"/>
    </row>
    <row r="1549" spans="1:13" ht="15" customHeight="1" x14ac:dyDescent="0.35">
      <c r="A1549" t="str">
        <f t="shared" si="24"/>
        <v>P664ST10C3831</v>
      </c>
      <c r="B1549" t="str">
        <f>IFERROR(VLOOKUP($A1549,'[5]Study Budget Mapping '!$O$2:$P$532,2,0),"TBA")</f>
        <v>TBA</v>
      </c>
      <c r="D1549" s="2" t="s">
        <v>301</v>
      </c>
      <c r="E1549" s="2" t="s">
        <v>24</v>
      </c>
      <c r="F1549" s="3">
        <v>4116500</v>
      </c>
      <c r="G1549" s="3">
        <v>4160000</v>
      </c>
      <c r="H1549" s="4"/>
      <c r="I1549" s="4"/>
      <c r="J1549" s="4"/>
      <c r="K1549" s="4"/>
      <c r="L1549" s="4"/>
      <c r="M1549" s="4"/>
    </row>
    <row r="1550" spans="1:13" ht="15" customHeight="1" x14ac:dyDescent="0.35">
      <c r="A1550" t="str">
        <f t="shared" si="24"/>
        <v>P664ST10C3831</v>
      </c>
      <c r="B1550" t="str">
        <f>IFERROR(VLOOKUP($A1550,'[5]Study Budget Mapping '!$O$2:$P$532,2,0),"TBA")</f>
        <v>TBA</v>
      </c>
      <c r="D1550" s="2" t="s">
        <v>301</v>
      </c>
      <c r="E1550" s="2" t="s">
        <v>32</v>
      </c>
      <c r="F1550" s="3">
        <v>0</v>
      </c>
      <c r="G1550" s="3">
        <v>520000</v>
      </c>
      <c r="H1550" s="4"/>
      <c r="I1550" s="4"/>
      <c r="J1550" s="4"/>
      <c r="K1550" s="4"/>
      <c r="L1550" s="4"/>
      <c r="M1550" s="4"/>
    </row>
    <row r="1551" spans="1:13" ht="15" customHeight="1" x14ac:dyDescent="0.35">
      <c r="A1551" t="str">
        <f t="shared" si="24"/>
        <v>P664ST00C1431</v>
      </c>
      <c r="B1551" t="str">
        <f>IFERROR(VLOOKUP($A1551,'[5]Study Budget Mapping '!$O$2:$P$532,2,0),"TBA")</f>
        <v>TBA</v>
      </c>
      <c r="D1551" s="2" t="s">
        <v>302</v>
      </c>
      <c r="E1551" s="2" t="s">
        <v>13</v>
      </c>
      <c r="F1551" s="3">
        <v>19789500</v>
      </c>
      <c r="G1551" s="3">
        <v>0</v>
      </c>
      <c r="H1551" s="4"/>
      <c r="I1551" s="4"/>
      <c r="J1551" s="4"/>
      <c r="K1551" s="4"/>
      <c r="L1551" s="4"/>
      <c r="M1551" s="4"/>
    </row>
    <row r="1552" spans="1:13" ht="15" customHeight="1" x14ac:dyDescent="0.35">
      <c r="A1552" t="str">
        <f t="shared" si="24"/>
        <v>P664ST00C1431</v>
      </c>
      <c r="B1552" t="str">
        <f>IFERROR(VLOOKUP($A1552,'[5]Study Budget Mapping '!$O$2:$P$532,2,0),"TBA")</f>
        <v>TBA</v>
      </c>
      <c r="D1552" s="2" t="s">
        <v>302</v>
      </c>
      <c r="E1552" s="2" t="s">
        <v>14</v>
      </c>
      <c r="F1552" s="3">
        <v>3947038</v>
      </c>
      <c r="G1552" s="3">
        <v>0</v>
      </c>
      <c r="H1552" s="4"/>
      <c r="I1552" s="4"/>
      <c r="J1552" s="4"/>
      <c r="K1552" s="4"/>
      <c r="L1552" s="4"/>
      <c r="M1552" s="4"/>
    </row>
    <row r="1553" spans="1:13" ht="15" customHeight="1" x14ac:dyDescent="0.35">
      <c r="A1553" t="str">
        <f t="shared" si="24"/>
        <v>P664ST00C1431</v>
      </c>
      <c r="B1553" t="str">
        <f>IFERROR(VLOOKUP($A1553,'[5]Study Budget Mapping '!$O$2:$P$532,2,0),"TBA")</f>
        <v>TBA</v>
      </c>
      <c r="D1553" s="2" t="s">
        <v>302</v>
      </c>
      <c r="E1553" s="2" t="s">
        <v>19</v>
      </c>
      <c r="F1553" s="3">
        <v>238377</v>
      </c>
      <c r="G1553" s="3">
        <v>0</v>
      </c>
      <c r="H1553" s="4"/>
      <c r="I1553" s="4"/>
      <c r="J1553" s="4"/>
      <c r="K1553" s="4"/>
      <c r="L1553" s="4"/>
      <c r="M1553" s="4"/>
    </row>
    <row r="1554" spans="1:13" ht="15" customHeight="1" x14ac:dyDescent="0.35">
      <c r="A1554" t="str">
        <f t="shared" si="24"/>
        <v>P664ST00C1431</v>
      </c>
      <c r="B1554" t="str">
        <f>IFERROR(VLOOKUP($A1554,'[5]Study Budget Mapping '!$O$2:$P$532,2,0),"TBA")</f>
        <v>TBA</v>
      </c>
      <c r="D1554" s="2" t="s">
        <v>302</v>
      </c>
      <c r="E1554" s="2" t="s">
        <v>15</v>
      </c>
      <c r="F1554" s="3">
        <v>24009943</v>
      </c>
      <c r="G1554" s="3">
        <v>50587002.979999997</v>
      </c>
      <c r="H1554" s="4"/>
      <c r="I1554" s="4"/>
      <c r="J1554" s="4"/>
      <c r="K1554" s="4"/>
      <c r="L1554" s="4"/>
      <c r="M1554" s="4"/>
    </row>
    <row r="1555" spans="1:13" ht="15" customHeight="1" x14ac:dyDescent="0.35">
      <c r="A1555" t="str">
        <f t="shared" si="24"/>
        <v>P664ST00C1431</v>
      </c>
      <c r="B1555" t="str">
        <f>IFERROR(VLOOKUP($A1555,'[5]Study Budget Mapping '!$O$2:$P$532,2,0),"TBA")</f>
        <v>TBA</v>
      </c>
      <c r="D1555" s="2" t="s">
        <v>302</v>
      </c>
      <c r="E1555" s="2" t="s">
        <v>16</v>
      </c>
      <c r="F1555" s="3">
        <v>3453419</v>
      </c>
      <c r="G1555" s="3">
        <v>0</v>
      </c>
      <c r="H1555" s="4"/>
      <c r="I1555" s="4"/>
      <c r="J1555" s="4"/>
      <c r="K1555" s="4"/>
      <c r="L1555" s="4"/>
      <c r="M1555" s="4"/>
    </row>
    <row r="1556" spans="1:13" ht="15" customHeight="1" x14ac:dyDescent="0.35">
      <c r="A1556" t="str">
        <f t="shared" si="24"/>
        <v>P664ST00C1431</v>
      </c>
      <c r="B1556" t="str">
        <f>IFERROR(VLOOKUP($A1556,'[5]Study Budget Mapping '!$O$2:$P$532,2,0),"TBA")</f>
        <v>TBA</v>
      </c>
      <c r="D1556" s="2" t="s">
        <v>302</v>
      </c>
      <c r="E1556" s="2" t="s">
        <v>17</v>
      </c>
      <c r="F1556" s="3">
        <v>491005</v>
      </c>
      <c r="G1556" s="3">
        <v>0</v>
      </c>
      <c r="H1556" s="4"/>
      <c r="I1556" s="4"/>
      <c r="J1556" s="4"/>
      <c r="K1556" s="4"/>
      <c r="L1556" s="4"/>
      <c r="M1556" s="4"/>
    </row>
    <row r="1557" spans="1:13" ht="15" customHeight="1" x14ac:dyDescent="0.35">
      <c r="A1557" t="str">
        <f t="shared" si="24"/>
        <v>P664ST00C1431</v>
      </c>
      <c r="B1557" t="str">
        <f>IFERROR(VLOOKUP($A1557,'[5]Study Budget Mapping '!$O$2:$P$532,2,0),"TBA")</f>
        <v>TBA</v>
      </c>
      <c r="D1557" s="2" t="s">
        <v>302</v>
      </c>
      <c r="E1557" s="2" t="s">
        <v>28</v>
      </c>
      <c r="F1557" s="3">
        <v>2094249</v>
      </c>
      <c r="G1557" s="3">
        <v>0</v>
      </c>
      <c r="H1557" s="4"/>
      <c r="I1557" s="4"/>
      <c r="J1557" s="4"/>
      <c r="K1557" s="4"/>
      <c r="L1557" s="4"/>
      <c r="M1557" s="4"/>
    </row>
    <row r="1558" spans="1:13" ht="15" customHeight="1" x14ac:dyDescent="0.35">
      <c r="A1558" t="str">
        <f t="shared" si="24"/>
        <v>P664ST07C2431</v>
      </c>
      <c r="B1558" t="str">
        <f>IFERROR(VLOOKUP($A1558,'[5]Study Budget Mapping '!$O$2:$P$532,2,0),"TBA")</f>
        <v>TBA</v>
      </c>
      <c r="D1558" s="2" t="s">
        <v>303</v>
      </c>
      <c r="E1558" s="2" t="s">
        <v>22</v>
      </c>
      <c r="F1558" s="3">
        <v>5000000</v>
      </c>
      <c r="G1558" s="3">
        <v>0</v>
      </c>
      <c r="H1558" s="4"/>
      <c r="I1558" s="4"/>
      <c r="J1558" s="4"/>
      <c r="K1558" s="4"/>
      <c r="L1558" s="4"/>
      <c r="M1558" s="4"/>
    </row>
    <row r="1559" spans="1:13" ht="15" customHeight="1" x14ac:dyDescent="0.35">
      <c r="A1559" t="str">
        <f t="shared" si="24"/>
        <v>P664ST07C3331</v>
      </c>
      <c r="B1559" t="str">
        <f>IFERROR(VLOOKUP($A1559,'[5]Study Budget Mapping '!$O$2:$P$532,2,0),"TBA")</f>
        <v>TBA</v>
      </c>
      <c r="D1559" s="2" t="s">
        <v>304</v>
      </c>
      <c r="E1559" s="2" t="s">
        <v>22</v>
      </c>
      <c r="F1559" s="3">
        <v>5000000</v>
      </c>
      <c r="G1559" s="3">
        <v>0</v>
      </c>
      <c r="H1559" s="4"/>
      <c r="I1559" s="4"/>
      <c r="J1559" s="4"/>
      <c r="K1559" s="4"/>
      <c r="L1559" s="4"/>
      <c r="M1559" s="4"/>
    </row>
    <row r="1560" spans="1:13" ht="15" customHeight="1" x14ac:dyDescent="0.35">
      <c r="A1560" t="str">
        <f t="shared" si="24"/>
        <v>P664ST07C3731</v>
      </c>
      <c r="B1560" t="str">
        <f>IFERROR(VLOOKUP($A1560,'[5]Study Budget Mapping '!$O$2:$P$532,2,0),"TBA")</f>
        <v>TBA</v>
      </c>
      <c r="D1560" s="2" t="s">
        <v>305</v>
      </c>
      <c r="E1560" s="2" t="s">
        <v>22</v>
      </c>
      <c r="F1560" s="3">
        <v>5000000</v>
      </c>
      <c r="G1560" s="3">
        <v>0</v>
      </c>
      <c r="H1560" s="4"/>
      <c r="I1560" s="4"/>
      <c r="J1560" s="4"/>
      <c r="K1560" s="4"/>
      <c r="L1560" s="4"/>
      <c r="M1560" s="4"/>
    </row>
    <row r="1561" spans="1:13" ht="15" customHeight="1" x14ac:dyDescent="0.35">
      <c r="A1561" t="str">
        <f t="shared" si="24"/>
        <v>P664ST10C2631</v>
      </c>
      <c r="B1561" t="str">
        <f>IFERROR(VLOOKUP($A1561,'[5]Study Budget Mapping '!$O$2:$P$532,2,0),"TBA")</f>
        <v>TBA</v>
      </c>
      <c r="D1561" s="2" t="s">
        <v>306</v>
      </c>
      <c r="E1561" s="2" t="s">
        <v>22</v>
      </c>
      <c r="F1561" s="3">
        <v>5000000</v>
      </c>
      <c r="G1561" s="3">
        <v>0</v>
      </c>
      <c r="H1561" s="4"/>
      <c r="I1561" s="4"/>
      <c r="J1561" s="4"/>
      <c r="K1561" s="4"/>
      <c r="L1561" s="4"/>
      <c r="M1561" s="4"/>
    </row>
    <row r="1562" spans="1:13" ht="15" customHeight="1" x14ac:dyDescent="0.35">
      <c r="A1562" t="str">
        <f t="shared" si="24"/>
        <v>P664ST01C2631</v>
      </c>
      <c r="B1562" t="str">
        <f>IFERROR(VLOOKUP($A1562,'[5]Study Budget Mapping '!$O$2:$P$532,2,0),"TBA")</f>
        <v>TBA</v>
      </c>
      <c r="D1562" s="2" t="s">
        <v>307</v>
      </c>
      <c r="E1562" s="2" t="s">
        <v>13</v>
      </c>
      <c r="F1562" s="3">
        <v>12900000</v>
      </c>
      <c r="G1562" s="3">
        <v>9925000</v>
      </c>
      <c r="H1562" s="4"/>
      <c r="I1562" s="4"/>
      <c r="J1562" s="4"/>
      <c r="K1562" s="4"/>
      <c r="L1562" s="4"/>
      <c r="M1562" s="4"/>
    </row>
    <row r="1563" spans="1:13" ht="15" customHeight="1" x14ac:dyDescent="0.35">
      <c r="A1563" t="str">
        <f t="shared" si="24"/>
        <v>P664ST01C2631</v>
      </c>
      <c r="B1563" t="str">
        <f>IFERROR(VLOOKUP($A1563,'[5]Study Budget Mapping '!$O$2:$P$532,2,0),"TBA")</f>
        <v>TBA</v>
      </c>
      <c r="D1563" s="2" t="s">
        <v>307</v>
      </c>
      <c r="E1563" s="2" t="s">
        <v>14</v>
      </c>
      <c r="F1563" s="3">
        <v>5800000</v>
      </c>
      <c r="G1563" s="3">
        <v>6695000</v>
      </c>
      <c r="H1563" s="4"/>
      <c r="I1563" s="4"/>
      <c r="J1563" s="4"/>
      <c r="K1563" s="4"/>
      <c r="L1563" s="4"/>
      <c r="M1563" s="4"/>
    </row>
    <row r="1564" spans="1:13" ht="15" customHeight="1" x14ac:dyDescent="0.35">
      <c r="A1564" t="str">
        <f t="shared" si="24"/>
        <v>P664ST01C2631</v>
      </c>
      <c r="B1564" t="str">
        <f>IFERROR(VLOOKUP($A1564,'[5]Study Budget Mapping '!$O$2:$P$532,2,0),"TBA")</f>
        <v>TBA</v>
      </c>
      <c r="D1564" s="2" t="s">
        <v>307</v>
      </c>
      <c r="E1564" s="2" t="s">
        <v>19</v>
      </c>
      <c r="F1564" s="3">
        <v>1410000</v>
      </c>
      <c r="G1564" s="3">
        <v>1380000</v>
      </c>
      <c r="H1564" s="4"/>
      <c r="I1564" s="4"/>
      <c r="J1564" s="4"/>
      <c r="K1564" s="4"/>
      <c r="L1564" s="4"/>
      <c r="M1564" s="4"/>
    </row>
    <row r="1565" spans="1:13" ht="15" customHeight="1" x14ac:dyDescent="0.35">
      <c r="A1565" t="str">
        <f t="shared" si="24"/>
        <v>P664ST01C2631</v>
      </c>
      <c r="B1565" t="str">
        <f>IFERROR(VLOOKUP($A1565,'[5]Study Budget Mapping '!$O$2:$P$532,2,0),"TBA")</f>
        <v>TBA</v>
      </c>
      <c r="D1565" s="2" t="s">
        <v>307</v>
      </c>
      <c r="E1565" s="2" t="s">
        <v>20</v>
      </c>
      <c r="F1565" s="3">
        <v>1100000</v>
      </c>
      <c r="G1565" s="3">
        <v>1170000</v>
      </c>
      <c r="H1565" s="4"/>
      <c r="I1565" s="4"/>
      <c r="J1565" s="4"/>
      <c r="K1565" s="4"/>
      <c r="L1565" s="4"/>
      <c r="M1565" s="4"/>
    </row>
    <row r="1566" spans="1:13" ht="15" customHeight="1" x14ac:dyDescent="0.35">
      <c r="A1566" t="str">
        <f t="shared" si="24"/>
        <v>P664ST01C2631</v>
      </c>
      <c r="B1566" t="str">
        <f>IFERROR(VLOOKUP($A1566,'[5]Study Budget Mapping '!$O$2:$P$532,2,0),"TBA")</f>
        <v>TBA</v>
      </c>
      <c r="D1566" s="2" t="s">
        <v>307</v>
      </c>
      <c r="E1566" s="2" t="s">
        <v>15</v>
      </c>
      <c r="F1566" s="3">
        <v>9700000</v>
      </c>
      <c r="G1566" s="3">
        <v>10100000</v>
      </c>
      <c r="H1566" s="4"/>
      <c r="I1566" s="4"/>
      <c r="J1566" s="4"/>
      <c r="K1566" s="4"/>
      <c r="L1566" s="4"/>
      <c r="M1566" s="4"/>
    </row>
    <row r="1567" spans="1:13" ht="15" customHeight="1" x14ac:dyDescent="0.35">
      <c r="A1567" t="str">
        <f t="shared" si="24"/>
        <v>P664ST01C2631</v>
      </c>
      <c r="B1567" t="str">
        <f>IFERROR(VLOOKUP($A1567,'[5]Study Budget Mapping '!$O$2:$P$532,2,0),"TBA")</f>
        <v>TBA</v>
      </c>
      <c r="D1567" s="2" t="s">
        <v>307</v>
      </c>
      <c r="E1567" s="2" t="s">
        <v>22</v>
      </c>
      <c r="F1567" s="3">
        <v>1370000</v>
      </c>
      <c r="G1567" s="3">
        <v>1940000</v>
      </c>
      <c r="H1567" s="4"/>
      <c r="I1567" s="4"/>
      <c r="J1567" s="4"/>
      <c r="K1567" s="4"/>
      <c r="L1567" s="4"/>
      <c r="M1567" s="4"/>
    </row>
    <row r="1568" spans="1:13" ht="15" customHeight="1" x14ac:dyDescent="0.35">
      <c r="A1568" t="str">
        <f t="shared" si="24"/>
        <v>P664ST01C2631</v>
      </c>
      <c r="B1568" t="str">
        <f>IFERROR(VLOOKUP($A1568,'[5]Study Budget Mapping '!$O$2:$P$532,2,0),"TBA")</f>
        <v>TBA</v>
      </c>
      <c r="D1568" s="2" t="s">
        <v>307</v>
      </c>
      <c r="E1568" s="2" t="s">
        <v>16</v>
      </c>
      <c r="F1568" s="3">
        <v>1600000</v>
      </c>
      <c r="G1568" s="3">
        <v>2600000</v>
      </c>
      <c r="H1568" s="4"/>
      <c r="I1568" s="4"/>
      <c r="J1568" s="4"/>
      <c r="K1568" s="4"/>
      <c r="L1568" s="4"/>
      <c r="M1568" s="4"/>
    </row>
    <row r="1569" spans="1:13" ht="15" customHeight="1" x14ac:dyDescent="0.35">
      <c r="A1569" t="str">
        <f t="shared" si="24"/>
        <v>P664ST01C2631</v>
      </c>
      <c r="B1569" t="str">
        <f>IFERROR(VLOOKUP($A1569,'[5]Study Budget Mapping '!$O$2:$P$532,2,0),"TBA")</f>
        <v>TBA</v>
      </c>
      <c r="D1569" s="2" t="s">
        <v>307</v>
      </c>
      <c r="E1569" s="2" t="s">
        <v>17</v>
      </c>
      <c r="F1569" s="3">
        <v>460000</v>
      </c>
      <c r="G1569" s="3">
        <v>445000</v>
      </c>
      <c r="H1569" s="4"/>
      <c r="I1569" s="4"/>
      <c r="J1569" s="4"/>
      <c r="K1569" s="4"/>
      <c r="L1569" s="4"/>
      <c r="M1569" s="4"/>
    </row>
    <row r="1570" spans="1:13" ht="15" customHeight="1" x14ac:dyDescent="0.35">
      <c r="A1570" t="str">
        <f t="shared" si="24"/>
        <v>P664ST01C2631</v>
      </c>
      <c r="B1570" t="str">
        <f>IFERROR(VLOOKUP($A1570,'[5]Study Budget Mapping '!$O$2:$P$532,2,0),"TBA")</f>
        <v>TBA</v>
      </c>
      <c r="D1570" s="2" t="s">
        <v>307</v>
      </c>
      <c r="E1570" s="2" t="s">
        <v>24</v>
      </c>
      <c r="F1570" s="3">
        <v>2300000</v>
      </c>
      <c r="G1570" s="3">
        <v>3200000</v>
      </c>
      <c r="H1570" s="4"/>
      <c r="I1570" s="4"/>
      <c r="J1570" s="4"/>
      <c r="K1570" s="4"/>
      <c r="L1570" s="4"/>
      <c r="M1570" s="4"/>
    </row>
    <row r="1571" spans="1:13" ht="15" customHeight="1" x14ac:dyDescent="0.35">
      <c r="A1571" t="str">
        <f t="shared" si="24"/>
        <v>P664ST01C2631</v>
      </c>
      <c r="B1571" t="str">
        <f>IFERROR(VLOOKUP($A1571,'[5]Study Budget Mapping '!$O$2:$P$532,2,0),"TBA")</f>
        <v>TBA</v>
      </c>
      <c r="D1571" s="2" t="s">
        <v>307</v>
      </c>
      <c r="E1571" s="2" t="s">
        <v>32</v>
      </c>
      <c r="F1571" s="3">
        <v>980000</v>
      </c>
      <c r="G1571" s="3">
        <v>2715000</v>
      </c>
      <c r="H1571" s="4"/>
      <c r="I1571" s="4"/>
      <c r="J1571" s="4"/>
      <c r="K1571" s="4"/>
      <c r="L1571" s="4"/>
      <c r="M1571" s="4"/>
    </row>
    <row r="1572" spans="1:13" ht="15" customHeight="1" x14ac:dyDescent="0.35">
      <c r="A1572" t="str">
        <f t="shared" si="24"/>
        <v>P664ST06C3732</v>
      </c>
      <c r="B1572" t="str">
        <f>IFERROR(VLOOKUP($A1572,'[5]Study Budget Mapping '!$O$2:$P$532,2,0),"TBA")</f>
        <v>TBA</v>
      </c>
      <c r="D1572" s="2" t="s">
        <v>308</v>
      </c>
      <c r="E1572" s="2" t="s">
        <v>13</v>
      </c>
      <c r="F1572" s="3">
        <v>19200000</v>
      </c>
      <c r="G1572" s="3">
        <v>19200000</v>
      </c>
      <c r="H1572" s="4"/>
      <c r="I1572" s="4"/>
      <c r="J1572" s="4"/>
      <c r="K1572" s="4"/>
      <c r="L1572" s="4"/>
      <c r="M1572" s="4"/>
    </row>
    <row r="1573" spans="1:13" ht="15" customHeight="1" x14ac:dyDescent="0.35">
      <c r="A1573" t="str">
        <f t="shared" si="24"/>
        <v>P664ST06C3732</v>
      </c>
      <c r="B1573" t="str">
        <f>IFERROR(VLOOKUP($A1573,'[5]Study Budget Mapping '!$O$2:$P$532,2,0),"TBA")</f>
        <v>TBA</v>
      </c>
      <c r="D1573" s="2" t="s">
        <v>308</v>
      </c>
      <c r="E1573" s="2" t="s">
        <v>14</v>
      </c>
      <c r="F1573" s="3">
        <v>3820000</v>
      </c>
      <c r="G1573" s="3">
        <v>3820000</v>
      </c>
      <c r="H1573" s="4"/>
      <c r="I1573" s="4"/>
      <c r="J1573" s="4"/>
      <c r="K1573" s="4"/>
      <c r="L1573" s="4"/>
      <c r="M1573" s="4"/>
    </row>
    <row r="1574" spans="1:13" ht="15" customHeight="1" x14ac:dyDescent="0.35">
      <c r="A1574" t="str">
        <f t="shared" si="24"/>
        <v>P664ST06C3732</v>
      </c>
      <c r="B1574" t="str">
        <f>IFERROR(VLOOKUP($A1574,'[5]Study Budget Mapping '!$O$2:$P$532,2,0),"TBA")</f>
        <v>TBA</v>
      </c>
      <c r="D1574" s="2" t="s">
        <v>308</v>
      </c>
      <c r="E1574" s="2" t="s">
        <v>19</v>
      </c>
      <c r="F1574" s="3">
        <v>6240000</v>
      </c>
      <c r="G1574" s="3">
        <v>6240000</v>
      </c>
      <c r="H1574" s="4"/>
      <c r="I1574" s="4"/>
      <c r="J1574" s="4"/>
      <c r="K1574" s="4"/>
      <c r="L1574" s="4"/>
      <c r="M1574" s="4"/>
    </row>
    <row r="1575" spans="1:13" ht="15" customHeight="1" x14ac:dyDescent="0.35">
      <c r="A1575" t="str">
        <f t="shared" si="24"/>
        <v>P664ST06C3732</v>
      </c>
      <c r="B1575" t="str">
        <f>IFERROR(VLOOKUP($A1575,'[5]Study Budget Mapping '!$O$2:$P$532,2,0),"TBA")</f>
        <v>TBA</v>
      </c>
      <c r="D1575" s="2" t="s">
        <v>308</v>
      </c>
      <c r="E1575" s="2" t="s">
        <v>20</v>
      </c>
      <c r="F1575" s="3">
        <v>1580000</v>
      </c>
      <c r="G1575" s="3">
        <v>1580000</v>
      </c>
      <c r="H1575" s="4"/>
      <c r="I1575" s="4"/>
      <c r="J1575" s="4"/>
      <c r="K1575" s="4"/>
      <c r="L1575" s="4"/>
      <c r="M1575" s="4"/>
    </row>
    <row r="1576" spans="1:13" ht="15" customHeight="1" x14ac:dyDescent="0.35">
      <c r="A1576" t="str">
        <f t="shared" si="24"/>
        <v>P664ST06C3732</v>
      </c>
      <c r="B1576" t="str">
        <f>IFERROR(VLOOKUP($A1576,'[5]Study Budget Mapping '!$O$2:$P$532,2,0),"TBA")</f>
        <v>TBA</v>
      </c>
      <c r="D1576" s="2" t="s">
        <v>308</v>
      </c>
      <c r="E1576" s="2" t="s">
        <v>31</v>
      </c>
      <c r="F1576" s="3">
        <v>1540000</v>
      </c>
      <c r="G1576" s="3">
        <v>1540000</v>
      </c>
      <c r="H1576" s="4"/>
      <c r="I1576" s="4"/>
      <c r="J1576" s="4"/>
      <c r="K1576" s="4"/>
      <c r="L1576" s="4"/>
      <c r="M1576" s="4"/>
    </row>
    <row r="1577" spans="1:13" ht="15" customHeight="1" x14ac:dyDescent="0.35">
      <c r="A1577" t="str">
        <f t="shared" si="24"/>
        <v>P664ST06C3732</v>
      </c>
      <c r="B1577" t="str">
        <f>IFERROR(VLOOKUP($A1577,'[5]Study Budget Mapping '!$O$2:$P$532,2,0),"TBA")</f>
        <v>TBA</v>
      </c>
      <c r="D1577" s="2" t="s">
        <v>308</v>
      </c>
      <c r="E1577" s="2" t="s">
        <v>15</v>
      </c>
      <c r="F1577" s="3">
        <v>12000000</v>
      </c>
      <c r="G1577" s="3">
        <v>12000000</v>
      </c>
      <c r="H1577" s="4"/>
      <c r="I1577" s="4"/>
      <c r="J1577" s="4"/>
      <c r="K1577" s="4"/>
      <c r="L1577" s="4"/>
      <c r="M1577" s="4"/>
    </row>
    <row r="1578" spans="1:13" ht="15" customHeight="1" x14ac:dyDescent="0.35">
      <c r="A1578" t="str">
        <f t="shared" si="24"/>
        <v>P664ST06C3732</v>
      </c>
      <c r="B1578" t="str">
        <f>IFERROR(VLOOKUP($A1578,'[5]Study Budget Mapping '!$O$2:$P$532,2,0),"TBA")</f>
        <v>TBA</v>
      </c>
      <c r="D1578" s="2" t="s">
        <v>308</v>
      </c>
      <c r="E1578" s="2" t="s">
        <v>22</v>
      </c>
      <c r="F1578" s="3">
        <v>1760000</v>
      </c>
      <c r="G1578" s="3">
        <v>1760000</v>
      </c>
      <c r="H1578" s="4"/>
      <c r="I1578" s="4"/>
      <c r="J1578" s="4"/>
      <c r="K1578" s="4"/>
      <c r="L1578" s="4"/>
      <c r="M1578" s="4"/>
    </row>
    <row r="1579" spans="1:13" ht="15" customHeight="1" x14ac:dyDescent="0.35">
      <c r="A1579" t="str">
        <f t="shared" si="24"/>
        <v>P664ST06C3732</v>
      </c>
      <c r="B1579" t="str">
        <f>IFERROR(VLOOKUP($A1579,'[5]Study Budget Mapping '!$O$2:$P$532,2,0),"TBA")</f>
        <v>TBA</v>
      </c>
      <c r="D1579" s="2" t="s">
        <v>308</v>
      </c>
      <c r="E1579" s="2" t="s">
        <v>16</v>
      </c>
      <c r="F1579" s="3">
        <v>340000</v>
      </c>
      <c r="G1579" s="3">
        <v>340000</v>
      </c>
      <c r="H1579" s="4"/>
      <c r="I1579" s="4"/>
      <c r="J1579" s="4"/>
      <c r="K1579" s="4"/>
      <c r="L1579" s="4"/>
      <c r="M1579" s="4"/>
    </row>
    <row r="1580" spans="1:13" ht="15" customHeight="1" x14ac:dyDescent="0.35">
      <c r="A1580" t="str">
        <f t="shared" si="24"/>
        <v>P664ST06C3732</v>
      </c>
      <c r="B1580" t="str">
        <f>IFERROR(VLOOKUP($A1580,'[5]Study Budget Mapping '!$O$2:$P$532,2,0),"TBA")</f>
        <v>TBA</v>
      </c>
      <c r="D1580" s="2" t="s">
        <v>308</v>
      </c>
      <c r="E1580" s="2" t="s">
        <v>17</v>
      </c>
      <c r="F1580" s="3">
        <v>500000</v>
      </c>
      <c r="G1580" s="3">
        <v>500000</v>
      </c>
      <c r="H1580" s="4"/>
      <c r="I1580" s="4"/>
      <c r="J1580" s="4"/>
      <c r="K1580" s="4"/>
      <c r="L1580" s="4"/>
      <c r="M1580" s="4"/>
    </row>
    <row r="1581" spans="1:13" ht="15" customHeight="1" x14ac:dyDescent="0.35">
      <c r="A1581" t="str">
        <f t="shared" si="24"/>
        <v>P664ST06C3732</v>
      </c>
      <c r="B1581" t="str">
        <f>IFERROR(VLOOKUP($A1581,'[5]Study Budget Mapping '!$O$2:$P$532,2,0),"TBA")</f>
        <v>TBA</v>
      </c>
      <c r="D1581" s="2" t="s">
        <v>308</v>
      </c>
      <c r="E1581" s="2" t="s">
        <v>23</v>
      </c>
      <c r="F1581" s="3">
        <v>930000</v>
      </c>
      <c r="G1581" s="3">
        <v>930000</v>
      </c>
      <c r="H1581" s="4"/>
      <c r="I1581" s="4"/>
      <c r="J1581" s="4"/>
      <c r="K1581" s="4"/>
      <c r="L1581" s="4"/>
      <c r="M1581" s="4"/>
    </row>
    <row r="1582" spans="1:13" ht="15" customHeight="1" x14ac:dyDescent="0.35">
      <c r="A1582" t="str">
        <f t="shared" si="24"/>
        <v>P664ST06C3732</v>
      </c>
      <c r="B1582" t="str">
        <f>IFERROR(VLOOKUP($A1582,'[5]Study Budget Mapping '!$O$2:$P$532,2,0),"TBA")</f>
        <v>TBA</v>
      </c>
      <c r="D1582" s="2" t="s">
        <v>308</v>
      </c>
      <c r="E1582" s="2" t="s">
        <v>32</v>
      </c>
      <c r="F1582" s="3">
        <v>2160000</v>
      </c>
      <c r="G1582" s="3">
        <v>2160000</v>
      </c>
      <c r="H1582" s="4"/>
      <c r="I1582" s="4"/>
      <c r="J1582" s="4"/>
      <c r="K1582" s="4"/>
      <c r="L1582" s="4"/>
      <c r="M1582" s="4"/>
    </row>
    <row r="1583" spans="1:13" ht="15" customHeight="1" x14ac:dyDescent="0.35">
      <c r="A1583" t="str">
        <f t="shared" si="24"/>
        <v>P664ST01C4011</v>
      </c>
      <c r="B1583" t="str">
        <f>IFERROR(VLOOKUP($A1583,'[5]Study Budget Mapping '!$O$2:$P$532,2,0),"TBA")</f>
        <v>TBA</v>
      </c>
      <c r="D1583" s="2" t="s">
        <v>309</v>
      </c>
      <c r="E1583" s="2" t="s">
        <v>19</v>
      </c>
      <c r="F1583" s="3">
        <v>4550000</v>
      </c>
      <c r="G1583" s="3">
        <v>4550000</v>
      </c>
      <c r="H1583" s="4"/>
      <c r="I1583" s="4"/>
      <c r="J1583" s="4"/>
      <c r="K1583" s="4"/>
      <c r="L1583" s="4"/>
      <c r="M1583" s="4"/>
    </row>
    <row r="1584" spans="1:13" ht="15" customHeight="1" x14ac:dyDescent="0.35">
      <c r="A1584" t="str">
        <f t="shared" si="24"/>
        <v>P664ST01C4011</v>
      </c>
      <c r="B1584" t="str">
        <f>IFERROR(VLOOKUP($A1584,'[5]Study Budget Mapping '!$O$2:$P$532,2,0),"TBA")</f>
        <v>TBA</v>
      </c>
      <c r="D1584" s="2" t="s">
        <v>309</v>
      </c>
      <c r="E1584" s="2" t="s">
        <v>22</v>
      </c>
      <c r="F1584" s="3">
        <v>83158</v>
      </c>
      <c r="G1584" s="3">
        <v>83158</v>
      </c>
      <c r="H1584" s="4"/>
      <c r="I1584" s="4"/>
      <c r="J1584" s="4"/>
      <c r="K1584" s="4"/>
      <c r="L1584" s="4"/>
      <c r="M1584" s="4"/>
    </row>
    <row r="1585" spans="1:13" ht="15" customHeight="1" x14ac:dyDescent="0.35">
      <c r="A1585" t="str">
        <f t="shared" si="24"/>
        <v>P664ST01C4011</v>
      </c>
      <c r="B1585" t="str">
        <f>IFERROR(VLOOKUP($A1585,'[5]Study Budget Mapping '!$O$2:$P$532,2,0),"TBA")</f>
        <v>TBA</v>
      </c>
      <c r="D1585" s="2" t="s">
        <v>309</v>
      </c>
      <c r="E1585" s="2" t="s">
        <v>26</v>
      </c>
      <c r="F1585" s="3">
        <v>2940000</v>
      </c>
      <c r="G1585" s="3">
        <v>2940000</v>
      </c>
      <c r="H1585" s="4"/>
      <c r="I1585" s="4"/>
      <c r="J1585" s="4"/>
      <c r="K1585" s="4"/>
      <c r="L1585" s="4"/>
      <c r="M1585" s="4"/>
    </row>
    <row r="1586" spans="1:13" ht="15" customHeight="1" x14ac:dyDescent="0.35">
      <c r="A1586" t="str">
        <f t="shared" si="24"/>
        <v>P664ST01C4021</v>
      </c>
      <c r="B1586" t="str">
        <f>IFERROR(VLOOKUP($A1586,'[5]Study Budget Mapping '!$O$2:$P$532,2,0),"TBA")</f>
        <v>TBA</v>
      </c>
      <c r="D1586" s="2" t="s">
        <v>310</v>
      </c>
      <c r="E1586" s="2" t="s">
        <v>13</v>
      </c>
      <c r="F1586" s="3">
        <v>980000</v>
      </c>
      <c r="G1586" s="3">
        <v>1690000</v>
      </c>
      <c r="H1586" s="4"/>
      <c r="I1586" s="4"/>
      <c r="J1586" s="4"/>
      <c r="K1586" s="4"/>
      <c r="L1586" s="4"/>
      <c r="M1586" s="4"/>
    </row>
    <row r="1587" spans="1:13" ht="15" customHeight="1" x14ac:dyDescent="0.35">
      <c r="A1587" t="str">
        <f t="shared" si="24"/>
        <v>P664ST01C4021</v>
      </c>
      <c r="B1587" t="str">
        <f>IFERROR(VLOOKUP($A1587,'[5]Study Budget Mapping '!$O$2:$P$532,2,0),"TBA")</f>
        <v>TBA</v>
      </c>
      <c r="D1587" s="2" t="s">
        <v>310</v>
      </c>
      <c r="E1587" s="2" t="s">
        <v>15</v>
      </c>
      <c r="F1587" s="3">
        <v>2840000</v>
      </c>
      <c r="G1587" s="3">
        <v>5430000</v>
      </c>
      <c r="H1587" s="4"/>
      <c r="I1587" s="4"/>
      <c r="J1587" s="4"/>
      <c r="K1587" s="4"/>
      <c r="L1587" s="4"/>
      <c r="M1587" s="4"/>
    </row>
    <row r="1588" spans="1:13" ht="15" customHeight="1" x14ac:dyDescent="0.35">
      <c r="A1588" t="str">
        <f t="shared" si="24"/>
        <v>P664ST01C4021</v>
      </c>
      <c r="B1588" t="str">
        <f>IFERROR(VLOOKUP($A1588,'[5]Study Budget Mapping '!$O$2:$P$532,2,0),"TBA")</f>
        <v>TBA</v>
      </c>
      <c r="D1588" s="2" t="s">
        <v>310</v>
      </c>
      <c r="E1588" s="2" t="s">
        <v>22</v>
      </c>
      <c r="F1588" s="3">
        <v>0</v>
      </c>
      <c r="G1588" s="3">
        <v>129206</v>
      </c>
      <c r="H1588" s="4"/>
      <c r="I1588" s="4"/>
      <c r="J1588" s="4"/>
      <c r="K1588" s="4"/>
      <c r="L1588" s="4"/>
      <c r="M1588" s="4"/>
    </row>
    <row r="1589" spans="1:13" ht="15" customHeight="1" x14ac:dyDescent="0.35">
      <c r="A1589" t="str">
        <f t="shared" si="24"/>
        <v>P664ST01C4021</v>
      </c>
      <c r="B1589" t="str">
        <f>IFERROR(VLOOKUP($A1589,'[5]Study Budget Mapping '!$O$2:$P$532,2,0),"TBA")</f>
        <v>TBA</v>
      </c>
      <c r="D1589" s="2" t="s">
        <v>310</v>
      </c>
      <c r="E1589" s="2" t="s">
        <v>16</v>
      </c>
      <c r="F1589" s="3">
        <v>930000</v>
      </c>
      <c r="G1589" s="3">
        <v>1210000</v>
      </c>
      <c r="H1589" s="4"/>
      <c r="I1589" s="4"/>
      <c r="J1589" s="4"/>
      <c r="K1589" s="4"/>
      <c r="L1589" s="4"/>
      <c r="M1589" s="4"/>
    </row>
    <row r="1590" spans="1:13" ht="15" customHeight="1" x14ac:dyDescent="0.35">
      <c r="A1590" t="str">
        <f t="shared" si="24"/>
        <v>P664ST01C4021</v>
      </c>
      <c r="B1590" t="str">
        <f>IFERROR(VLOOKUP($A1590,'[5]Study Budget Mapping '!$O$2:$P$532,2,0),"TBA")</f>
        <v>TBA</v>
      </c>
      <c r="D1590" s="2" t="s">
        <v>310</v>
      </c>
      <c r="E1590" s="2" t="s">
        <v>23</v>
      </c>
      <c r="F1590" s="3">
        <v>0</v>
      </c>
      <c r="G1590" s="3">
        <v>10000</v>
      </c>
      <c r="H1590" s="4"/>
      <c r="I1590" s="4"/>
      <c r="J1590" s="4"/>
      <c r="K1590" s="4"/>
      <c r="L1590" s="4"/>
      <c r="M1590" s="4"/>
    </row>
    <row r="1591" spans="1:13" ht="15" customHeight="1" x14ac:dyDescent="0.35">
      <c r="A1591" t="str">
        <f t="shared" si="24"/>
        <v>P664ST01C3833</v>
      </c>
      <c r="B1591" t="str">
        <f>IFERROR(VLOOKUP($A1591,'[5]Study Budget Mapping '!$O$2:$P$532,2,0),"TBA")</f>
        <v>TBA</v>
      </c>
      <c r="D1591" s="2" t="s">
        <v>311</v>
      </c>
      <c r="E1591" s="2" t="s">
        <v>15</v>
      </c>
      <c r="F1591" s="3">
        <v>15000000</v>
      </c>
      <c r="G1591" s="3">
        <v>15000000</v>
      </c>
      <c r="H1591" s="4"/>
      <c r="I1591" s="4"/>
      <c r="J1591" s="4"/>
      <c r="K1591" s="4"/>
      <c r="L1591" s="4"/>
      <c r="M1591" s="4"/>
    </row>
    <row r="1592" spans="1:13" ht="15" customHeight="1" x14ac:dyDescent="0.35">
      <c r="A1592" t="str">
        <f t="shared" si="24"/>
        <v>P664ST01C0401</v>
      </c>
      <c r="B1592" t="str">
        <f>IFERROR(VLOOKUP($A1592,'[5]Study Budget Mapping '!$O$2:$P$532,2,0),"TBA")</f>
        <v>TBA</v>
      </c>
      <c r="D1592" s="2" t="s">
        <v>312</v>
      </c>
      <c r="E1592" s="2" t="s">
        <v>14</v>
      </c>
      <c r="F1592" s="3">
        <v>1145000</v>
      </c>
      <c r="G1592" s="3">
        <v>1145000</v>
      </c>
      <c r="H1592" s="4"/>
      <c r="I1592" s="4"/>
      <c r="J1592" s="4"/>
      <c r="K1592" s="4"/>
      <c r="L1592" s="4"/>
      <c r="M1592" s="4"/>
    </row>
    <row r="1593" spans="1:13" ht="15" customHeight="1" x14ac:dyDescent="0.35">
      <c r="A1593" t="str">
        <f t="shared" si="24"/>
        <v>P664ST01C0401</v>
      </c>
      <c r="B1593" t="str">
        <f>IFERROR(VLOOKUP($A1593,'[5]Study Budget Mapping '!$O$2:$P$532,2,0),"TBA")</f>
        <v>TBA</v>
      </c>
      <c r="D1593" s="2" t="s">
        <v>312</v>
      </c>
      <c r="E1593" s="2" t="s">
        <v>15</v>
      </c>
      <c r="F1593" s="3">
        <v>29108000</v>
      </c>
      <c r="G1593" s="3">
        <v>29108000</v>
      </c>
      <c r="H1593" s="4"/>
      <c r="I1593" s="4"/>
      <c r="J1593" s="4"/>
      <c r="K1593" s="4"/>
      <c r="L1593" s="4"/>
      <c r="M1593" s="4"/>
    </row>
    <row r="1594" spans="1:13" ht="15" customHeight="1" x14ac:dyDescent="0.35">
      <c r="A1594" t="str">
        <f t="shared" si="24"/>
        <v>P664ST10C4921</v>
      </c>
      <c r="B1594" t="str">
        <f>IFERROR(VLOOKUP($A1594,'[5]Study Budget Mapping '!$O$2:$P$532,2,0),"TBA")</f>
        <v>TBA</v>
      </c>
      <c r="D1594" s="2" t="s">
        <v>313</v>
      </c>
      <c r="E1594" s="2" t="s">
        <v>15</v>
      </c>
      <c r="F1594" s="3">
        <v>2520000</v>
      </c>
      <c r="G1594" s="3">
        <v>2520000</v>
      </c>
      <c r="H1594" s="4"/>
      <c r="I1594" s="4"/>
      <c r="J1594" s="4"/>
      <c r="K1594" s="4"/>
      <c r="L1594" s="4"/>
      <c r="M1594" s="4"/>
    </row>
    <row r="1595" spans="1:13" ht="15" customHeight="1" x14ac:dyDescent="0.35">
      <c r="A1595" t="str">
        <f t="shared" si="24"/>
        <v>P664ST10C4921</v>
      </c>
      <c r="B1595" t="str">
        <f>IFERROR(VLOOKUP($A1595,'[5]Study Budget Mapping '!$O$2:$P$532,2,0),"TBA")</f>
        <v>TBA</v>
      </c>
      <c r="D1595" s="2" t="s">
        <v>313</v>
      </c>
      <c r="E1595" s="2" t="s">
        <v>22</v>
      </c>
      <c r="F1595" s="3">
        <v>115000</v>
      </c>
      <c r="G1595" s="3">
        <v>115000</v>
      </c>
      <c r="H1595" s="4"/>
      <c r="I1595" s="4"/>
      <c r="J1595" s="4"/>
      <c r="K1595" s="4"/>
      <c r="L1595" s="4"/>
      <c r="M1595" s="4"/>
    </row>
    <row r="1596" spans="1:13" ht="15" customHeight="1" x14ac:dyDescent="0.35">
      <c r="A1596" t="str">
        <f t="shared" si="24"/>
        <v>P664ST06C4021</v>
      </c>
      <c r="B1596" t="str">
        <f>IFERROR(VLOOKUP($A1596,'[5]Study Budget Mapping '!$O$2:$P$532,2,0),"TBA")</f>
        <v>TBA</v>
      </c>
      <c r="D1596" s="2" t="s">
        <v>314</v>
      </c>
      <c r="E1596" s="2" t="s">
        <v>13</v>
      </c>
      <c r="F1596" s="3">
        <v>340000</v>
      </c>
      <c r="G1596" s="3">
        <v>340000</v>
      </c>
      <c r="H1596" s="4"/>
      <c r="I1596" s="4"/>
      <c r="J1596" s="4"/>
      <c r="K1596" s="4"/>
      <c r="L1596" s="4"/>
      <c r="M1596" s="4"/>
    </row>
    <row r="1597" spans="1:13" ht="15" customHeight="1" x14ac:dyDescent="0.35">
      <c r="A1597" t="str">
        <f t="shared" si="24"/>
        <v>P664ST06C4021</v>
      </c>
      <c r="B1597" t="str">
        <f>IFERROR(VLOOKUP($A1597,'[5]Study Budget Mapping '!$O$2:$P$532,2,0),"TBA")</f>
        <v>TBA</v>
      </c>
      <c r="D1597" s="2" t="s">
        <v>314</v>
      </c>
      <c r="E1597" s="2" t="s">
        <v>15</v>
      </c>
      <c r="F1597" s="3">
        <v>790000</v>
      </c>
      <c r="G1597" s="3">
        <v>790000</v>
      </c>
      <c r="H1597" s="4"/>
      <c r="I1597" s="4"/>
      <c r="J1597" s="4"/>
      <c r="K1597" s="4"/>
      <c r="L1597" s="4"/>
      <c r="M1597" s="4"/>
    </row>
    <row r="1598" spans="1:13" ht="15" customHeight="1" x14ac:dyDescent="0.35">
      <c r="A1598" t="str">
        <f t="shared" si="24"/>
        <v>P664ST06C4021</v>
      </c>
      <c r="B1598" t="str">
        <f>IFERROR(VLOOKUP($A1598,'[5]Study Budget Mapping '!$O$2:$P$532,2,0),"TBA")</f>
        <v>TBA</v>
      </c>
      <c r="D1598" s="2" t="s">
        <v>314</v>
      </c>
      <c r="E1598" s="2" t="s">
        <v>22</v>
      </c>
      <c r="F1598" s="3">
        <v>65000</v>
      </c>
      <c r="G1598" s="3">
        <v>65000</v>
      </c>
      <c r="H1598" s="4"/>
      <c r="I1598" s="4"/>
      <c r="J1598" s="4"/>
      <c r="K1598" s="4"/>
      <c r="L1598" s="4"/>
      <c r="M1598" s="4"/>
    </row>
    <row r="1599" spans="1:13" ht="15" customHeight="1" x14ac:dyDescent="0.35">
      <c r="A1599" t="str">
        <f t="shared" si="24"/>
        <v>P664ST06C4021</v>
      </c>
      <c r="B1599" t="str">
        <f>IFERROR(VLOOKUP($A1599,'[5]Study Budget Mapping '!$O$2:$P$532,2,0),"TBA")</f>
        <v>TBA</v>
      </c>
      <c r="D1599" s="2" t="s">
        <v>314</v>
      </c>
      <c r="E1599" s="2" t="s">
        <v>16</v>
      </c>
      <c r="F1599" s="3">
        <v>70000</v>
      </c>
      <c r="G1599" s="3">
        <v>70000</v>
      </c>
      <c r="H1599" s="4"/>
      <c r="I1599" s="4"/>
      <c r="J1599" s="4"/>
      <c r="K1599" s="4"/>
      <c r="L1599" s="4"/>
      <c r="M1599" s="4"/>
    </row>
    <row r="1600" spans="1:13" ht="15" customHeight="1" x14ac:dyDescent="0.35">
      <c r="A1600" t="str">
        <f t="shared" si="24"/>
        <v>P664ST01C4921</v>
      </c>
      <c r="B1600" t="str">
        <f>IFERROR(VLOOKUP($A1600,'[5]Study Budget Mapping '!$O$2:$P$532,2,0),"TBA")</f>
        <v>TBA</v>
      </c>
      <c r="D1600" s="2" t="s">
        <v>315</v>
      </c>
      <c r="E1600" s="2" t="s">
        <v>15</v>
      </c>
      <c r="F1600" s="3">
        <v>4000000</v>
      </c>
      <c r="G1600" s="3">
        <v>4000000</v>
      </c>
      <c r="H1600" s="4"/>
      <c r="I1600" s="4"/>
      <c r="J1600" s="4"/>
      <c r="K1600" s="4"/>
      <c r="L1600" s="4"/>
      <c r="M1600" s="4"/>
    </row>
    <row r="1601" spans="1:13" ht="15" customHeight="1" x14ac:dyDescent="0.35">
      <c r="A1601" t="str">
        <f t="shared" si="24"/>
        <v>P666ID00C3911</v>
      </c>
      <c r="B1601" t="str">
        <f>IFERROR(VLOOKUP($A1601,'[5]Study Budget Mapping '!$O$2:$P$532,2,0),"TBA")</f>
        <v>TBA</v>
      </c>
      <c r="D1601" s="2" t="s">
        <v>316</v>
      </c>
      <c r="E1601" s="2" t="s">
        <v>15</v>
      </c>
      <c r="F1601" s="3">
        <v>5000000</v>
      </c>
      <c r="G1601" s="3">
        <v>0</v>
      </c>
      <c r="H1601" s="4"/>
      <c r="I1601" s="4"/>
      <c r="J1601" s="4"/>
      <c r="K1601" s="4"/>
      <c r="L1601" s="4"/>
      <c r="M1601" s="4"/>
    </row>
    <row r="1602" spans="1:13" ht="15" customHeight="1" x14ac:dyDescent="0.35">
      <c r="A1602" t="str">
        <f t="shared" si="24"/>
        <v>P666ID00C1011</v>
      </c>
      <c r="B1602" t="str">
        <f>IFERROR(VLOOKUP($A1602,'[5]Study Budget Mapping '!$O$2:$P$532,2,0),"TBA")</f>
        <v>TBA</v>
      </c>
      <c r="D1602" s="2" t="s">
        <v>317</v>
      </c>
      <c r="E1602" s="2" t="s">
        <v>13</v>
      </c>
      <c r="F1602" s="3">
        <v>607339</v>
      </c>
      <c r="G1602" s="3">
        <v>0</v>
      </c>
      <c r="H1602" s="4"/>
      <c r="I1602" s="4"/>
      <c r="J1602" s="4"/>
      <c r="K1602" s="4"/>
      <c r="L1602" s="4"/>
      <c r="M1602" s="4"/>
    </row>
    <row r="1603" spans="1:13" ht="15" customHeight="1" x14ac:dyDescent="0.35">
      <c r="A1603" t="str">
        <f t="shared" ref="A1603:A1666" si="25">TRIM(_xlfn.TEXTBEFORE(D1603,"-",1))</f>
        <v>P666ID00C1011</v>
      </c>
      <c r="B1603" t="str">
        <f>IFERROR(VLOOKUP($A1603,'[5]Study Budget Mapping '!$O$2:$P$532,2,0),"TBA")</f>
        <v>TBA</v>
      </c>
      <c r="D1603" s="2" t="s">
        <v>317</v>
      </c>
      <c r="E1603" s="2" t="s">
        <v>14</v>
      </c>
      <c r="F1603" s="3">
        <v>7013</v>
      </c>
      <c r="G1603" s="3">
        <v>0</v>
      </c>
      <c r="H1603" s="4"/>
      <c r="I1603" s="4"/>
      <c r="J1603" s="4"/>
      <c r="K1603" s="4"/>
      <c r="L1603" s="4"/>
      <c r="M1603" s="4"/>
    </row>
    <row r="1604" spans="1:13" ht="15" customHeight="1" x14ac:dyDescent="0.35">
      <c r="A1604" t="str">
        <f t="shared" si="25"/>
        <v>P666ID00C1011</v>
      </c>
      <c r="B1604" t="str">
        <f>IFERROR(VLOOKUP($A1604,'[5]Study Budget Mapping '!$O$2:$P$532,2,0),"TBA")</f>
        <v>TBA</v>
      </c>
      <c r="D1604" s="2" t="s">
        <v>317</v>
      </c>
      <c r="E1604" s="2" t="s">
        <v>19</v>
      </c>
      <c r="F1604" s="3">
        <v>24144</v>
      </c>
      <c r="G1604" s="3">
        <v>0</v>
      </c>
      <c r="H1604" s="4"/>
      <c r="I1604" s="4"/>
      <c r="J1604" s="4"/>
      <c r="K1604" s="4"/>
      <c r="L1604" s="4"/>
      <c r="M1604" s="4"/>
    </row>
    <row r="1605" spans="1:13" ht="15" customHeight="1" x14ac:dyDescent="0.35">
      <c r="A1605" t="str">
        <f t="shared" si="25"/>
        <v>P666ID00C1011</v>
      </c>
      <c r="B1605" t="str">
        <f>IFERROR(VLOOKUP($A1605,'[5]Study Budget Mapping '!$O$2:$P$532,2,0),"TBA")</f>
        <v>TBA</v>
      </c>
      <c r="D1605" s="2" t="s">
        <v>317</v>
      </c>
      <c r="E1605" s="2" t="s">
        <v>15</v>
      </c>
      <c r="F1605" s="3">
        <v>0</v>
      </c>
      <c r="G1605" s="3">
        <v>963703.2</v>
      </c>
      <c r="H1605" s="4"/>
      <c r="I1605" s="4"/>
      <c r="J1605" s="4"/>
      <c r="K1605" s="4"/>
      <c r="L1605" s="4"/>
      <c r="M1605" s="4"/>
    </row>
    <row r="1606" spans="1:13" ht="15" customHeight="1" x14ac:dyDescent="0.35">
      <c r="A1606" t="str">
        <f t="shared" si="25"/>
        <v>P666ID00C1011</v>
      </c>
      <c r="B1606" t="str">
        <f>IFERROR(VLOOKUP($A1606,'[5]Study Budget Mapping '!$O$2:$P$532,2,0),"TBA")</f>
        <v>TBA</v>
      </c>
      <c r="D1606" s="2" t="s">
        <v>317</v>
      </c>
      <c r="E1606" s="2" t="s">
        <v>17</v>
      </c>
      <c r="F1606" s="3">
        <v>160652</v>
      </c>
      <c r="G1606" s="3">
        <v>0</v>
      </c>
      <c r="H1606" s="4"/>
      <c r="I1606" s="4"/>
      <c r="J1606" s="4"/>
      <c r="K1606" s="4"/>
      <c r="L1606" s="4"/>
      <c r="M1606" s="4"/>
    </row>
    <row r="1607" spans="1:13" ht="15" customHeight="1" x14ac:dyDescent="0.35">
      <c r="A1607" t="str">
        <f t="shared" si="25"/>
        <v>P666ID00C1011</v>
      </c>
      <c r="B1607" t="str">
        <f>IFERROR(VLOOKUP($A1607,'[5]Study Budget Mapping '!$O$2:$P$532,2,0),"TBA")</f>
        <v>TBA</v>
      </c>
      <c r="D1607" s="2" t="s">
        <v>317</v>
      </c>
      <c r="E1607" s="2" t="s">
        <v>28</v>
      </c>
      <c r="F1607" s="3">
        <v>83600</v>
      </c>
      <c r="G1607" s="3">
        <v>0</v>
      </c>
      <c r="H1607" s="4"/>
      <c r="I1607" s="4"/>
      <c r="J1607" s="4"/>
      <c r="K1607" s="4"/>
      <c r="L1607" s="4"/>
      <c r="M1607" s="4"/>
    </row>
    <row r="1608" spans="1:13" ht="15" customHeight="1" x14ac:dyDescent="0.35">
      <c r="A1608" t="str">
        <f t="shared" si="25"/>
        <v>P666ID00C1011</v>
      </c>
      <c r="B1608" t="str">
        <f>IFERROR(VLOOKUP($A1608,'[5]Study Budget Mapping '!$O$2:$P$532,2,0),"TBA")</f>
        <v>TBA</v>
      </c>
      <c r="D1608" s="2" t="s">
        <v>317</v>
      </c>
      <c r="E1608" s="2" t="s">
        <v>23</v>
      </c>
      <c r="F1608" s="3">
        <v>252420</v>
      </c>
      <c r="G1608" s="3">
        <v>0</v>
      </c>
      <c r="H1608" s="4"/>
      <c r="I1608" s="4"/>
      <c r="J1608" s="4"/>
      <c r="K1608" s="4"/>
      <c r="L1608" s="4"/>
      <c r="M1608" s="4"/>
    </row>
    <row r="1609" spans="1:13" ht="15" customHeight="1" x14ac:dyDescent="0.35">
      <c r="A1609" t="str">
        <f t="shared" si="25"/>
        <v>P670IM07C1221</v>
      </c>
      <c r="B1609" t="str">
        <f>IFERROR(VLOOKUP($A1609,'[5]Study Budget Mapping '!$O$2:$P$532,2,0),"TBA")</f>
        <v>TBA</v>
      </c>
      <c r="D1609" s="2" t="s">
        <v>318</v>
      </c>
      <c r="E1609" s="2" t="s">
        <v>13</v>
      </c>
      <c r="F1609" s="3">
        <v>870956.19663942803</v>
      </c>
      <c r="G1609" s="3">
        <v>870956.19663942803</v>
      </c>
      <c r="H1609" s="4"/>
      <c r="I1609" s="4"/>
      <c r="J1609" s="4"/>
      <c r="K1609" s="4"/>
      <c r="L1609" s="4"/>
      <c r="M1609" s="4"/>
    </row>
    <row r="1610" spans="1:13" ht="15" customHeight="1" x14ac:dyDescent="0.35">
      <c r="A1610" t="str">
        <f t="shared" si="25"/>
        <v>P670IM07C1221</v>
      </c>
      <c r="B1610" t="str">
        <f>IFERROR(VLOOKUP($A1610,'[5]Study Budget Mapping '!$O$2:$P$532,2,0),"TBA")</f>
        <v>TBA</v>
      </c>
      <c r="D1610" s="2" t="s">
        <v>318</v>
      </c>
      <c r="E1610" s="2" t="s">
        <v>14</v>
      </c>
      <c r="F1610" s="3">
        <v>271584.61823999998</v>
      </c>
      <c r="G1610" s="3">
        <v>271584.61823999998</v>
      </c>
      <c r="H1610" s="4"/>
      <c r="I1610" s="4"/>
      <c r="J1610" s="4"/>
      <c r="K1610" s="4"/>
      <c r="L1610" s="4"/>
      <c r="M1610" s="4"/>
    </row>
    <row r="1611" spans="1:13" ht="15" customHeight="1" x14ac:dyDescent="0.35">
      <c r="A1611" t="str">
        <f t="shared" si="25"/>
        <v>P670IM07C1221</v>
      </c>
      <c r="B1611" t="str">
        <f>IFERROR(VLOOKUP($A1611,'[5]Study Budget Mapping '!$O$2:$P$532,2,0),"TBA")</f>
        <v>TBA</v>
      </c>
      <c r="D1611" s="2" t="s">
        <v>318</v>
      </c>
      <c r="E1611" s="2" t="s">
        <v>19</v>
      </c>
      <c r="F1611" s="3">
        <v>380835</v>
      </c>
      <c r="G1611" s="3">
        <v>380835</v>
      </c>
      <c r="H1611" s="4"/>
      <c r="I1611" s="4"/>
      <c r="J1611" s="4"/>
      <c r="K1611" s="4"/>
      <c r="L1611" s="4"/>
      <c r="M1611" s="4"/>
    </row>
    <row r="1612" spans="1:13" ht="15" customHeight="1" x14ac:dyDescent="0.35">
      <c r="A1612" t="str">
        <f t="shared" si="25"/>
        <v>P670IM07C1221</v>
      </c>
      <c r="B1612" t="str">
        <f>IFERROR(VLOOKUP($A1612,'[5]Study Budget Mapping '!$O$2:$P$532,2,0),"TBA")</f>
        <v>TBA</v>
      </c>
      <c r="D1612" s="2" t="s">
        <v>318</v>
      </c>
      <c r="E1612" s="2" t="s">
        <v>17</v>
      </c>
      <c r="F1612" s="3">
        <v>60040</v>
      </c>
      <c r="G1612" s="3">
        <v>60040</v>
      </c>
      <c r="H1612" s="4"/>
      <c r="I1612" s="4"/>
      <c r="J1612" s="4"/>
      <c r="K1612" s="4"/>
      <c r="L1612" s="4"/>
      <c r="M1612" s="4"/>
    </row>
    <row r="1613" spans="1:13" ht="15" customHeight="1" x14ac:dyDescent="0.35">
      <c r="A1613" t="str">
        <f t="shared" si="25"/>
        <v>P670IM07C1221</v>
      </c>
      <c r="B1613" t="str">
        <f>IFERROR(VLOOKUP($A1613,'[5]Study Budget Mapping '!$O$2:$P$532,2,0),"TBA")</f>
        <v>TBA</v>
      </c>
      <c r="D1613" s="2" t="s">
        <v>318</v>
      </c>
      <c r="E1613" s="2" t="s">
        <v>23</v>
      </c>
      <c r="F1613" s="3">
        <v>374956.69141648401</v>
      </c>
      <c r="G1613" s="3">
        <v>374956.69141648401</v>
      </c>
      <c r="H1613" s="4"/>
      <c r="I1613" s="4"/>
      <c r="J1613" s="4"/>
      <c r="K1613" s="4"/>
      <c r="L1613" s="4"/>
      <c r="M1613" s="4"/>
    </row>
    <row r="1614" spans="1:13" ht="15" customHeight="1" x14ac:dyDescent="0.35">
      <c r="A1614" t="str">
        <f t="shared" si="25"/>
        <v>P670IM07C1221</v>
      </c>
      <c r="B1614" t="str">
        <f>IFERROR(VLOOKUP($A1614,'[5]Study Budget Mapping '!$O$2:$P$532,2,0),"TBA")</f>
        <v>TBA</v>
      </c>
      <c r="D1614" s="2" t="s">
        <v>318</v>
      </c>
      <c r="E1614" s="2" t="s">
        <v>24</v>
      </c>
      <c r="F1614" s="3">
        <v>23064.3</v>
      </c>
      <c r="G1614" s="3">
        <v>23064.3</v>
      </c>
      <c r="H1614" s="4"/>
      <c r="I1614" s="4"/>
      <c r="J1614" s="4"/>
      <c r="K1614" s="4"/>
      <c r="L1614" s="4"/>
      <c r="M1614" s="4"/>
    </row>
    <row r="1615" spans="1:13" ht="15" customHeight="1" x14ac:dyDescent="0.35">
      <c r="A1615" t="str">
        <f t="shared" si="25"/>
        <v>P670IM07C1621</v>
      </c>
      <c r="B1615" t="str">
        <f>IFERROR(VLOOKUP($A1615,'[5]Study Budget Mapping '!$O$2:$P$532,2,0),"TBA")</f>
        <v>TBA</v>
      </c>
      <c r="D1615" s="2" t="s">
        <v>319</v>
      </c>
      <c r="E1615" s="2" t="s">
        <v>13</v>
      </c>
      <c r="F1615" s="3">
        <v>1953881</v>
      </c>
      <c r="G1615" s="3">
        <v>2504256</v>
      </c>
      <c r="H1615" s="4"/>
      <c r="I1615" s="4"/>
      <c r="J1615" s="4"/>
      <c r="K1615" s="4"/>
      <c r="L1615" s="4"/>
      <c r="M1615" s="4"/>
    </row>
    <row r="1616" spans="1:13" ht="15" customHeight="1" x14ac:dyDescent="0.35">
      <c r="A1616" t="str">
        <f t="shared" si="25"/>
        <v>P670IM07C1621</v>
      </c>
      <c r="B1616" t="str">
        <f>IFERROR(VLOOKUP($A1616,'[5]Study Budget Mapping '!$O$2:$P$532,2,0),"TBA")</f>
        <v>TBA</v>
      </c>
      <c r="D1616" s="2" t="s">
        <v>319</v>
      </c>
      <c r="E1616" s="2" t="s">
        <v>14</v>
      </c>
      <c r="F1616" s="3">
        <v>434025</v>
      </c>
      <c r="G1616" s="3">
        <v>993576</v>
      </c>
      <c r="H1616" s="4"/>
      <c r="I1616" s="4"/>
      <c r="J1616" s="4"/>
      <c r="K1616" s="4"/>
      <c r="L1616" s="4"/>
      <c r="M1616" s="4"/>
    </row>
    <row r="1617" spans="1:13" ht="15" customHeight="1" x14ac:dyDescent="0.35">
      <c r="A1617" t="str">
        <f t="shared" si="25"/>
        <v>P670IM07C1621</v>
      </c>
      <c r="B1617" t="str">
        <f>IFERROR(VLOOKUP($A1617,'[5]Study Budget Mapping '!$O$2:$P$532,2,0),"TBA")</f>
        <v>TBA</v>
      </c>
      <c r="D1617" s="2" t="s">
        <v>319</v>
      </c>
      <c r="E1617" s="2" t="s">
        <v>19</v>
      </c>
      <c r="F1617" s="3">
        <v>9080</v>
      </c>
      <c r="G1617" s="3">
        <v>9081</v>
      </c>
      <c r="H1617" s="4"/>
      <c r="I1617" s="4"/>
      <c r="J1617" s="4"/>
      <c r="K1617" s="4"/>
      <c r="L1617" s="4"/>
      <c r="M1617" s="4"/>
    </row>
    <row r="1618" spans="1:13" ht="15" customHeight="1" x14ac:dyDescent="0.35">
      <c r="A1618" t="str">
        <f t="shared" si="25"/>
        <v>P670IM07C1621</v>
      </c>
      <c r="B1618" t="str">
        <f>IFERROR(VLOOKUP($A1618,'[5]Study Budget Mapping '!$O$2:$P$532,2,0),"TBA")</f>
        <v>TBA</v>
      </c>
      <c r="D1618" s="2" t="s">
        <v>319</v>
      </c>
      <c r="E1618" s="2" t="s">
        <v>17</v>
      </c>
      <c r="F1618" s="3">
        <v>76135</v>
      </c>
      <c r="G1618" s="3">
        <v>88035</v>
      </c>
      <c r="H1618" s="4"/>
      <c r="I1618" s="4"/>
      <c r="J1618" s="4"/>
      <c r="K1618" s="4"/>
      <c r="L1618" s="4"/>
      <c r="M1618" s="4"/>
    </row>
    <row r="1619" spans="1:13" ht="15" customHeight="1" x14ac:dyDescent="0.35">
      <c r="A1619" t="str">
        <f t="shared" si="25"/>
        <v>P670IM07C1621</v>
      </c>
      <c r="B1619" t="str">
        <f>IFERROR(VLOOKUP($A1619,'[5]Study Budget Mapping '!$O$2:$P$532,2,0),"TBA")</f>
        <v>TBA</v>
      </c>
      <c r="D1619" s="2" t="s">
        <v>319</v>
      </c>
      <c r="E1619" s="2" t="s">
        <v>23</v>
      </c>
      <c r="F1619" s="3">
        <v>211894</v>
      </c>
      <c r="G1619" s="3">
        <v>497687</v>
      </c>
      <c r="H1619" s="4"/>
      <c r="I1619" s="4"/>
      <c r="J1619" s="4"/>
      <c r="K1619" s="4"/>
      <c r="L1619" s="4"/>
      <c r="M1619" s="4"/>
    </row>
    <row r="1620" spans="1:13" ht="15" customHeight="1" x14ac:dyDescent="0.35">
      <c r="A1620" t="str">
        <f t="shared" si="25"/>
        <v>P670IM07C1621</v>
      </c>
      <c r="B1620" t="str">
        <f>IFERROR(VLOOKUP($A1620,'[5]Study Budget Mapping '!$O$2:$P$532,2,0),"TBA")</f>
        <v>TBA</v>
      </c>
      <c r="D1620" s="2" t="s">
        <v>319</v>
      </c>
      <c r="E1620" s="2" t="s">
        <v>24</v>
      </c>
      <c r="F1620" s="3">
        <v>65000</v>
      </c>
      <c r="G1620" s="3">
        <v>212253</v>
      </c>
      <c r="H1620" s="4"/>
      <c r="I1620" s="4"/>
      <c r="J1620" s="4"/>
      <c r="K1620" s="4"/>
      <c r="L1620" s="4"/>
      <c r="M1620" s="4"/>
    </row>
    <row r="1621" spans="1:13" ht="15" customHeight="1" x14ac:dyDescent="0.35">
      <c r="A1621" t="str">
        <f t="shared" si="25"/>
        <v>P670IM08C2431</v>
      </c>
      <c r="B1621" t="str">
        <f>IFERROR(VLOOKUP($A1621,'[5]Study Budget Mapping '!$O$2:$P$532,2,0),"TBA")</f>
        <v>TBA</v>
      </c>
      <c r="D1621" s="2" t="s">
        <v>320</v>
      </c>
      <c r="E1621" s="2" t="s">
        <v>13</v>
      </c>
      <c r="F1621" s="3">
        <v>8800000</v>
      </c>
      <c r="G1621" s="3">
        <v>8800000</v>
      </c>
      <c r="H1621" s="4"/>
      <c r="I1621" s="4"/>
      <c r="J1621" s="4"/>
      <c r="K1621" s="4"/>
      <c r="L1621" s="4"/>
      <c r="M1621" s="4"/>
    </row>
    <row r="1622" spans="1:13" ht="15" customHeight="1" x14ac:dyDescent="0.35">
      <c r="A1622" t="str">
        <f t="shared" si="25"/>
        <v>P670IM08C2431</v>
      </c>
      <c r="B1622" t="str">
        <f>IFERROR(VLOOKUP($A1622,'[5]Study Budget Mapping '!$O$2:$P$532,2,0),"TBA")</f>
        <v>TBA</v>
      </c>
      <c r="D1622" s="2" t="s">
        <v>320</v>
      </c>
      <c r="E1622" s="2" t="s">
        <v>14</v>
      </c>
      <c r="F1622" s="3">
        <v>1600000</v>
      </c>
      <c r="G1622" s="3">
        <v>1600000</v>
      </c>
      <c r="H1622" s="4"/>
      <c r="I1622" s="4"/>
      <c r="J1622" s="4"/>
      <c r="K1622" s="4"/>
      <c r="L1622" s="4"/>
      <c r="M1622" s="4"/>
    </row>
    <row r="1623" spans="1:13" ht="15" customHeight="1" x14ac:dyDescent="0.35">
      <c r="A1623" t="str">
        <f t="shared" si="25"/>
        <v>P670IM08C2431</v>
      </c>
      <c r="B1623" t="str">
        <f>IFERROR(VLOOKUP($A1623,'[5]Study Budget Mapping '!$O$2:$P$532,2,0),"TBA")</f>
        <v>TBA</v>
      </c>
      <c r="D1623" s="2" t="s">
        <v>320</v>
      </c>
      <c r="E1623" s="2" t="s">
        <v>144</v>
      </c>
      <c r="F1623" s="3">
        <v>700000</v>
      </c>
      <c r="G1623" s="3">
        <v>700000</v>
      </c>
      <c r="H1623" s="4"/>
      <c r="I1623" s="4"/>
      <c r="J1623" s="4"/>
      <c r="K1623" s="4"/>
      <c r="L1623" s="4"/>
      <c r="M1623" s="4"/>
    </row>
    <row r="1624" spans="1:13" ht="15" customHeight="1" x14ac:dyDescent="0.35">
      <c r="A1624" t="str">
        <f t="shared" si="25"/>
        <v>P670IM08C2431</v>
      </c>
      <c r="B1624" t="str">
        <f>IFERROR(VLOOKUP($A1624,'[5]Study Budget Mapping '!$O$2:$P$532,2,0),"TBA")</f>
        <v>TBA</v>
      </c>
      <c r="D1624" s="2" t="s">
        <v>320</v>
      </c>
      <c r="E1624" s="2" t="s">
        <v>19</v>
      </c>
      <c r="F1624" s="3">
        <v>2220000</v>
      </c>
      <c r="G1624" s="3">
        <v>2220000</v>
      </c>
      <c r="H1624" s="4"/>
      <c r="I1624" s="4"/>
      <c r="J1624" s="4"/>
      <c r="K1624" s="4"/>
      <c r="L1624" s="4"/>
      <c r="M1624" s="4"/>
    </row>
    <row r="1625" spans="1:13" ht="15" customHeight="1" x14ac:dyDescent="0.35">
      <c r="A1625" t="str">
        <f t="shared" si="25"/>
        <v>P670IM08C2431</v>
      </c>
      <c r="B1625" t="str">
        <f>IFERROR(VLOOKUP($A1625,'[5]Study Budget Mapping '!$O$2:$P$532,2,0),"TBA")</f>
        <v>TBA</v>
      </c>
      <c r="D1625" s="2" t="s">
        <v>320</v>
      </c>
      <c r="E1625" s="2" t="s">
        <v>15</v>
      </c>
      <c r="F1625" s="3">
        <v>10550000</v>
      </c>
      <c r="G1625" s="3">
        <v>10550000</v>
      </c>
      <c r="H1625" s="4"/>
      <c r="I1625" s="4"/>
      <c r="J1625" s="4"/>
      <c r="K1625" s="4"/>
      <c r="L1625" s="4"/>
      <c r="M1625" s="4"/>
    </row>
    <row r="1626" spans="1:13" ht="15" customHeight="1" x14ac:dyDescent="0.35">
      <c r="A1626" t="str">
        <f t="shared" si="25"/>
        <v>P670IM08C2431</v>
      </c>
      <c r="B1626" t="str">
        <f>IFERROR(VLOOKUP($A1626,'[5]Study Budget Mapping '!$O$2:$P$532,2,0),"TBA")</f>
        <v>TBA</v>
      </c>
      <c r="D1626" s="2" t="s">
        <v>320</v>
      </c>
      <c r="E1626" s="2" t="s">
        <v>16</v>
      </c>
      <c r="F1626" s="3">
        <v>2230000</v>
      </c>
      <c r="G1626" s="3">
        <v>2230000</v>
      </c>
      <c r="H1626" s="4"/>
      <c r="I1626" s="4"/>
      <c r="J1626" s="4"/>
      <c r="K1626" s="4"/>
      <c r="L1626" s="4"/>
      <c r="M1626" s="4"/>
    </row>
    <row r="1627" spans="1:13" ht="15" customHeight="1" x14ac:dyDescent="0.35">
      <c r="A1627" t="str">
        <f t="shared" si="25"/>
        <v>P670IM08C2431</v>
      </c>
      <c r="B1627" t="str">
        <f>IFERROR(VLOOKUP($A1627,'[5]Study Budget Mapping '!$O$2:$P$532,2,0),"TBA")</f>
        <v>TBA</v>
      </c>
      <c r="D1627" s="2" t="s">
        <v>320</v>
      </c>
      <c r="E1627" s="2" t="s">
        <v>17</v>
      </c>
      <c r="F1627" s="3">
        <v>400000</v>
      </c>
      <c r="G1627" s="3">
        <v>400000</v>
      </c>
      <c r="H1627" s="4"/>
      <c r="I1627" s="4"/>
      <c r="J1627" s="4"/>
      <c r="K1627" s="4"/>
      <c r="L1627" s="4"/>
      <c r="M1627" s="4"/>
    </row>
    <row r="1628" spans="1:13" ht="15" customHeight="1" x14ac:dyDescent="0.35">
      <c r="A1628" t="str">
        <f t="shared" si="25"/>
        <v>P670IM08C2431</v>
      </c>
      <c r="B1628" t="str">
        <f>IFERROR(VLOOKUP($A1628,'[5]Study Budget Mapping '!$O$2:$P$532,2,0),"TBA")</f>
        <v>TBA</v>
      </c>
      <c r="D1628" s="2" t="s">
        <v>320</v>
      </c>
      <c r="E1628" s="2" t="s">
        <v>24</v>
      </c>
      <c r="F1628" s="3">
        <v>1300000</v>
      </c>
      <c r="G1628" s="3">
        <v>1300000</v>
      </c>
      <c r="H1628" s="4"/>
      <c r="I1628" s="4"/>
      <c r="J1628" s="4"/>
      <c r="K1628" s="4"/>
      <c r="L1628" s="4"/>
      <c r="M1628" s="4"/>
    </row>
    <row r="1629" spans="1:13" ht="15" customHeight="1" x14ac:dyDescent="0.35">
      <c r="A1629" t="str">
        <f t="shared" si="25"/>
        <v>P670IM08C2531</v>
      </c>
      <c r="B1629" t="str">
        <f>IFERROR(VLOOKUP($A1629,'[5]Study Budget Mapping '!$O$2:$P$532,2,0),"TBA")</f>
        <v>TBA</v>
      </c>
      <c r="D1629" s="2" t="s">
        <v>321</v>
      </c>
      <c r="E1629" s="2" t="s">
        <v>13</v>
      </c>
      <c r="F1629" s="3">
        <v>11200000</v>
      </c>
      <c r="G1629" s="3">
        <v>11200000</v>
      </c>
      <c r="H1629" s="4"/>
      <c r="I1629" s="4"/>
      <c r="J1629" s="4"/>
      <c r="K1629" s="4"/>
      <c r="L1629" s="4"/>
      <c r="M1629" s="4"/>
    </row>
    <row r="1630" spans="1:13" ht="15" customHeight="1" x14ac:dyDescent="0.35">
      <c r="A1630" t="str">
        <f t="shared" si="25"/>
        <v>P670IM08C2531</v>
      </c>
      <c r="B1630" t="str">
        <f>IFERROR(VLOOKUP($A1630,'[5]Study Budget Mapping '!$O$2:$P$532,2,0),"TBA")</f>
        <v>TBA</v>
      </c>
      <c r="D1630" s="2" t="s">
        <v>321</v>
      </c>
      <c r="E1630" s="2" t="s">
        <v>14</v>
      </c>
      <c r="F1630" s="3">
        <v>1500000</v>
      </c>
      <c r="G1630" s="3">
        <v>1500000</v>
      </c>
      <c r="H1630" s="4"/>
      <c r="I1630" s="4"/>
      <c r="J1630" s="4"/>
      <c r="K1630" s="4"/>
      <c r="L1630" s="4"/>
      <c r="M1630" s="4"/>
    </row>
    <row r="1631" spans="1:13" ht="15" customHeight="1" x14ac:dyDescent="0.35">
      <c r="A1631" t="str">
        <f t="shared" si="25"/>
        <v>P670IM08C2531</v>
      </c>
      <c r="B1631" t="str">
        <f>IFERROR(VLOOKUP($A1631,'[5]Study Budget Mapping '!$O$2:$P$532,2,0),"TBA")</f>
        <v>TBA</v>
      </c>
      <c r="D1631" s="2" t="s">
        <v>321</v>
      </c>
      <c r="E1631" s="2" t="s">
        <v>144</v>
      </c>
      <c r="F1631" s="3">
        <v>500000</v>
      </c>
      <c r="G1631" s="3">
        <v>500000</v>
      </c>
      <c r="H1631" s="4"/>
      <c r="I1631" s="4"/>
      <c r="J1631" s="4"/>
      <c r="K1631" s="4"/>
      <c r="L1631" s="4"/>
      <c r="M1631" s="4"/>
    </row>
    <row r="1632" spans="1:13" ht="15" customHeight="1" x14ac:dyDescent="0.35">
      <c r="A1632" t="str">
        <f t="shared" si="25"/>
        <v>P670IM08C2531</v>
      </c>
      <c r="B1632" t="str">
        <f>IFERROR(VLOOKUP($A1632,'[5]Study Budget Mapping '!$O$2:$P$532,2,0),"TBA")</f>
        <v>TBA</v>
      </c>
      <c r="D1632" s="2" t="s">
        <v>321</v>
      </c>
      <c r="E1632" s="2" t="s">
        <v>19</v>
      </c>
      <c r="F1632" s="3">
        <v>1680000</v>
      </c>
      <c r="G1632" s="3">
        <v>1680000</v>
      </c>
      <c r="H1632" s="4"/>
      <c r="I1632" s="4"/>
      <c r="J1632" s="4"/>
      <c r="K1632" s="4"/>
      <c r="L1632" s="4"/>
      <c r="M1632" s="4"/>
    </row>
    <row r="1633" spans="1:13" ht="15" customHeight="1" x14ac:dyDescent="0.35">
      <c r="A1633" t="str">
        <f t="shared" si="25"/>
        <v>P670IM08C2531</v>
      </c>
      <c r="B1633" t="str">
        <f>IFERROR(VLOOKUP($A1633,'[5]Study Budget Mapping '!$O$2:$P$532,2,0),"TBA")</f>
        <v>TBA</v>
      </c>
      <c r="D1633" s="2" t="s">
        <v>321</v>
      </c>
      <c r="E1633" s="2" t="s">
        <v>15</v>
      </c>
      <c r="F1633" s="3">
        <v>14400000</v>
      </c>
      <c r="G1633" s="3">
        <v>14400000</v>
      </c>
      <c r="H1633" s="4"/>
      <c r="I1633" s="4"/>
      <c r="J1633" s="4"/>
      <c r="K1633" s="4"/>
      <c r="L1633" s="4"/>
      <c r="M1633" s="4"/>
    </row>
    <row r="1634" spans="1:13" ht="15" customHeight="1" x14ac:dyDescent="0.35">
      <c r="A1634" t="str">
        <f t="shared" si="25"/>
        <v>P670IM08C2531</v>
      </c>
      <c r="B1634" t="str">
        <f>IFERROR(VLOOKUP($A1634,'[5]Study Budget Mapping '!$O$2:$P$532,2,0),"TBA")</f>
        <v>TBA</v>
      </c>
      <c r="D1634" s="2" t="s">
        <v>321</v>
      </c>
      <c r="E1634" s="2" t="s">
        <v>16</v>
      </c>
      <c r="F1634" s="3">
        <v>2700000</v>
      </c>
      <c r="G1634" s="3">
        <v>2700000</v>
      </c>
      <c r="H1634" s="4"/>
      <c r="I1634" s="4"/>
      <c r="J1634" s="4"/>
      <c r="K1634" s="4"/>
      <c r="L1634" s="4"/>
      <c r="M1634" s="4"/>
    </row>
    <row r="1635" spans="1:13" ht="15" customHeight="1" x14ac:dyDescent="0.35">
      <c r="A1635" t="str">
        <f t="shared" si="25"/>
        <v>P670IM08C2531</v>
      </c>
      <c r="B1635" t="str">
        <f>IFERROR(VLOOKUP($A1635,'[5]Study Budget Mapping '!$O$2:$P$532,2,0),"TBA")</f>
        <v>TBA</v>
      </c>
      <c r="D1635" s="2" t="s">
        <v>321</v>
      </c>
      <c r="E1635" s="2" t="s">
        <v>17</v>
      </c>
      <c r="F1635" s="3">
        <v>400000</v>
      </c>
      <c r="G1635" s="3">
        <v>400000</v>
      </c>
      <c r="H1635" s="4"/>
      <c r="I1635" s="4"/>
      <c r="J1635" s="4"/>
      <c r="K1635" s="4"/>
      <c r="L1635" s="4"/>
      <c r="M1635" s="4"/>
    </row>
    <row r="1636" spans="1:13" ht="15" customHeight="1" x14ac:dyDescent="0.35">
      <c r="A1636" t="str">
        <f t="shared" si="25"/>
        <v>P670IM08C2531</v>
      </c>
      <c r="B1636" t="str">
        <f>IFERROR(VLOOKUP($A1636,'[5]Study Budget Mapping '!$O$2:$P$532,2,0),"TBA")</f>
        <v>TBA</v>
      </c>
      <c r="D1636" s="2" t="s">
        <v>321</v>
      </c>
      <c r="E1636" s="2" t="s">
        <v>24</v>
      </c>
      <c r="F1636" s="3">
        <v>1500000</v>
      </c>
      <c r="G1636" s="3">
        <v>1500000</v>
      </c>
      <c r="H1636" s="4"/>
      <c r="I1636" s="4"/>
      <c r="J1636" s="4"/>
      <c r="K1636" s="4"/>
      <c r="L1636" s="4"/>
      <c r="M1636" s="4"/>
    </row>
    <row r="1637" spans="1:13" ht="15" customHeight="1" x14ac:dyDescent="0.35">
      <c r="A1637" t="str">
        <f t="shared" si="25"/>
        <v>P670IM00C1021</v>
      </c>
      <c r="B1637" t="str">
        <f>IFERROR(VLOOKUP($A1637,'[5]Study Budget Mapping '!$O$2:$P$532,2,0),"TBA")</f>
        <v>TBA</v>
      </c>
      <c r="D1637" s="2" t="s">
        <v>322</v>
      </c>
      <c r="E1637" s="2" t="s">
        <v>13</v>
      </c>
      <c r="F1637" s="3">
        <v>573760</v>
      </c>
      <c r="G1637" s="3">
        <v>0</v>
      </c>
      <c r="H1637" s="4"/>
      <c r="I1637" s="4"/>
      <c r="J1637" s="4"/>
      <c r="K1637" s="4"/>
      <c r="L1637" s="4"/>
      <c r="M1637" s="4"/>
    </row>
    <row r="1638" spans="1:13" ht="15" customHeight="1" x14ac:dyDescent="0.35">
      <c r="A1638" t="str">
        <f t="shared" si="25"/>
        <v>P670IM00C1021</v>
      </c>
      <c r="B1638" t="str">
        <f>IFERROR(VLOOKUP($A1638,'[5]Study Budget Mapping '!$O$2:$P$532,2,0),"TBA")</f>
        <v>TBA</v>
      </c>
      <c r="D1638" s="2" t="s">
        <v>322</v>
      </c>
      <c r="E1638" s="2" t="s">
        <v>14</v>
      </c>
      <c r="F1638" s="3">
        <v>208354</v>
      </c>
      <c r="G1638" s="3">
        <v>0</v>
      </c>
      <c r="H1638" s="4"/>
      <c r="I1638" s="4"/>
      <c r="J1638" s="4"/>
      <c r="K1638" s="4"/>
      <c r="L1638" s="4"/>
      <c r="M1638" s="4"/>
    </row>
    <row r="1639" spans="1:13" ht="15" customHeight="1" x14ac:dyDescent="0.35">
      <c r="A1639" t="str">
        <f t="shared" si="25"/>
        <v>P670IM00C1021</v>
      </c>
      <c r="B1639" t="str">
        <f>IFERROR(VLOOKUP($A1639,'[5]Study Budget Mapping '!$O$2:$P$532,2,0),"TBA")</f>
        <v>TBA</v>
      </c>
      <c r="D1639" s="2" t="s">
        <v>322</v>
      </c>
      <c r="E1639" s="2" t="s">
        <v>15</v>
      </c>
      <c r="F1639" s="3">
        <v>0</v>
      </c>
      <c r="G1639" s="3">
        <v>1314377.357262878</v>
      </c>
      <c r="H1639" s="4"/>
      <c r="I1639" s="4"/>
      <c r="J1639" s="4"/>
      <c r="K1639" s="4"/>
      <c r="L1639" s="4"/>
      <c r="M1639" s="4"/>
    </row>
    <row r="1640" spans="1:13" ht="15" customHeight="1" x14ac:dyDescent="0.35">
      <c r="A1640" t="str">
        <f t="shared" si="25"/>
        <v>P670IM00C1021</v>
      </c>
      <c r="B1640" t="str">
        <f>IFERROR(VLOOKUP($A1640,'[5]Study Budget Mapping '!$O$2:$P$532,2,0),"TBA")</f>
        <v>TBA</v>
      </c>
      <c r="D1640" s="2" t="s">
        <v>322</v>
      </c>
      <c r="E1640" s="2" t="s">
        <v>22</v>
      </c>
      <c r="F1640" s="3">
        <v>57293</v>
      </c>
      <c r="G1640" s="3">
        <v>0</v>
      </c>
      <c r="H1640" s="4"/>
      <c r="I1640" s="4"/>
      <c r="J1640" s="4"/>
      <c r="K1640" s="4"/>
      <c r="L1640" s="4"/>
      <c r="M1640" s="4"/>
    </row>
    <row r="1641" spans="1:13" ht="15" customHeight="1" x14ac:dyDescent="0.35">
      <c r="A1641" t="str">
        <f t="shared" si="25"/>
        <v>P670IM00C1021</v>
      </c>
      <c r="B1641" t="str">
        <f>IFERROR(VLOOKUP($A1641,'[5]Study Budget Mapping '!$O$2:$P$532,2,0),"TBA")</f>
        <v>TBA</v>
      </c>
      <c r="D1641" s="2" t="s">
        <v>322</v>
      </c>
      <c r="E1641" s="2" t="s">
        <v>17</v>
      </c>
      <c r="F1641" s="3">
        <v>195838</v>
      </c>
      <c r="G1641" s="3">
        <v>0</v>
      </c>
      <c r="H1641" s="4"/>
      <c r="I1641" s="4"/>
      <c r="J1641" s="4"/>
      <c r="K1641" s="4"/>
      <c r="L1641" s="4"/>
      <c r="M1641" s="4"/>
    </row>
    <row r="1642" spans="1:13" ht="15" customHeight="1" x14ac:dyDescent="0.35">
      <c r="A1642" t="str">
        <f t="shared" si="25"/>
        <v>P670IM00C1021</v>
      </c>
      <c r="B1642" t="str">
        <f>IFERROR(VLOOKUP($A1642,'[5]Study Budget Mapping '!$O$2:$P$532,2,0),"TBA")</f>
        <v>TBA</v>
      </c>
      <c r="D1642" s="2" t="s">
        <v>322</v>
      </c>
      <c r="E1642" s="2" t="s">
        <v>23</v>
      </c>
      <c r="F1642" s="3">
        <v>194071</v>
      </c>
      <c r="G1642" s="3">
        <v>0</v>
      </c>
      <c r="H1642" s="4"/>
      <c r="I1642" s="4"/>
      <c r="J1642" s="4"/>
      <c r="K1642" s="4"/>
      <c r="L1642" s="4"/>
      <c r="M1642" s="4"/>
    </row>
    <row r="1643" spans="1:13" ht="15" customHeight="1" x14ac:dyDescent="0.35">
      <c r="A1643" t="str">
        <f t="shared" si="25"/>
        <v>P670IM00C1021</v>
      </c>
      <c r="B1643" t="str">
        <f>IFERROR(VLOOKUP($A1643,'[5]Study Budget Mapping '!$O$2:$P$532,2,0),"TBA")</f>
        <v>TBA</v>
      </c>
      <c r="D1643" s="2" t="s">
        <v>322</v>
      </c>
      <c r="E1643" s="2" t="s">
        <v>32</v>
      </c>
      <c r="F1643" s="3">
        <v>210308</v>
      </c>
      <c r="G1643" s="3">
        <v>0</v>
      </c>
      <c r="H1643" s="4"/>
      <c r="I1643" s="4"/>
      <c r="J1643" s="4"/>
      <c r="K1643" s="4"/>
      <c r="L1643" s="4"/>
      <c r="M1643" s="4"/>
    </row>
    <row r="1644" spans="1:13" ht="15" customHeight="1" x14ac:dyDescent="0.35">
      <c r="A1644" t="str">
        <f t="shared" si="25"/>
        <v>P672ST00C1021</v>
      </c>
      <c r="B1644" t="str">
        <f>IFERROR(VLOOKUP($A1644,'[5]Study Budget Mapping '!$O$2:$P$532,2,0),"TBA")</f>
        <v>TBA</v>
      </c>
      <c r="D1644" s="2" t="s">
        <v>323</v>
      </c>
      <c r="E1644" s="2" t="s">
        <v>13</v>
      </c>
      <c r="F1644" s="3">
        <v>1601000</v>
      </c>
      <c r="G1644" s="3">
        <v>1601000</v>
      </c>
      <c r="H1644" s="4"/>
      <c r="I1644" s="4"/>
      <c r="J1644" s="4"/>
      <c r="K1644" s="4"/>
      <c r="L1644" s="4"/>
      <c r="M1644" s="4"/>
    </row>
    <row r="1645" spans="1:13" ht="15" customHeight="1" x14ac:dyDescent="0.35">
      <c r="A1645" t="str">
        <f t="shared" si="25"/>
        <v>P672ST00C1031</v>
      </c>
      <c r="B1645" t="str">
        <f>IFERROR(VLOOKUP($A1645,'[5]Study Budget Mapping '!$O$2:$P$532,2,0),"TBA")</f>
        <v>TBA</v>
      </c>
      <c r="D1645" s="2" t="s">
        <v>324</v>
      </c>
      <c r="E1645" s="2" t="s">
        <v>13</v>
      </c>
      <c r="F1645" s="3">
        <v>25850000</v>
      </c>
      <c r="G1645" s="3">
        <v>18100000</v>
      </c>
      <c r="H1645" s="4"/>
      <c r="I1645" s="4"/>
      <c r="J1645" s="4"/>
      <c r="K1645" s="4"/>
      <c r="L1645" s="4"/>
      <c r="M1645" s="4"/>
    </row>
    <row r="1646" spans="1:13" ht="15" customHeight="1" x14ac:dyDescent="0.35">
      <c r="A1646" t="str">
        <f t="shared" si="25"/>
        <v>P672ST00C1031</v>
      </c>
      <c r="B1646" t="str">
        <f>IFERROR(VLOOKUP($A1646,'[5]Study Budget Mapping '!$O$2:$P$532,2,0),"TBA")</f>
        <v>TBA</v>
      </c>
      <c r="D1646" s="2" t="s">
        <v>324</v>
      </c>
      <c r="E1646" s="2" t="s">
        <v>14</v>
      </c>
      <c r="F1646" s="3">
        <v>4810000</v>
      </c>
      <c r="G1646" s="3">
        <v>6840000</v>
      </c>
      <c r="H1646" s="4"/>
      <c r="I1646" s="4"/>
      <c r="J1646" s="4"/>
      <c r="K1646" s="4"/>
      <c r="L1646" s="4"/>
      <c r="M1646" s="4"/>
    </row>
    <row r="1647" spans="1:13" ht="15" customHeight="1" x14ac:dyDescent="0.35">
      <c r="A1647" t="str">
        <f t="shared" si="25"/>
        <v>P672ST00C1031</v>
      </c>
      <c r="B1647" t="str">
        <f>IFERROR(VLOOKUP($A1647,'[5]Study Budget Mapping '!$O$2:$P$532,2,0),"TBA")</f>
        <v>TBA</v>
      </c>
      <c r="D1647" s="2" t="s">
        <v>324</v>
      </c>
      <c r="E1647" s="2" t="s">
        <v>19</v>
      </c>
      <c r="F1647" s="3">
        <v>0</v>
      </c>
      <c r="G1647" s="3">
        <v>1475</v>
      </c>
      <c r="H1647" s="4"/>
      <c r="I1647" s="4"/>
      <c r="J1647" s="4"/>
      <c r="K1647" s="4"/>
      <c r="L1647" s="4"/>
      <c r="M1647" s="4"/>
    </row>
    <row r="1648" spans="1:13" ht="15" customHeight="1" x14ac:dyDescent="0.35">
      <c r="A1648" t="str">
        <f t="shared" si="25"/>
        <v>P672ST00C1031</v>
      </c>
      <c r="B1648" t="str">
        <f>IFERROR(VLOOKUP($A1648,'[5]Study Budget Mapping '!$O$2:$P$532,2,0),"TBA")</f>
        <v>TBA</v>
      </c>
      <c r="D1648" s="2" t="s">
        <v>324</v>
      </c>
      <c r="E1648" s="2" t="s">
        <v>20</v>
      </c>
      <c r="F1648" s="3">
        <v>1600000</v>
      </c>
      <c r="G1648" s="3">
        <v>1930000</v>
      </c>
      <c r="H1648" s="4"/>
      <c r="I1648" s="4"/>
      <c r="J1648" s="4"/>
      <c r="K1648" s="4"/>
      <c r="L1648" s="4"/>
      <c r="M1648" s="4"/>
    </row>
    <row r="1649" spans="1:13" ht="15" customHeight="1" x14ac:dyDescent="0.35">
      <c r="A1649" t="str">
        <f t="shared" si="25"/>
        <v>P672ST00C1031</v>
      </c>
      <c r="B1649" t="str">
        <f>IFERROR(VLOOKUP($A1649,'[5]Study Budget Mapping '!$O$2:$P$532,2,0),"TBA")</f>
        <v>TBA</v>
      </c>
      <c r="D1649" s="2" t="s">
        <v>324</v>
      </c>
      <c r="E1649" s="2" t="s">
        <v>15</v>
      </c>
      <c r="F1649" s="3">
        <v>20640000</v>
      </c>
      <c r="G1649" s="3">
        <v>25430000</v>
      </c>
      <c r="H1649" s="4"/>
      <c r="I1649" s="4"/>
      <c r="J1649" s="4"/>
      <c r="K1649" s="4"/>
      <c r="L1649" s="4"/>
      <c r="M1649" s="4"/>
    </row>
    <row r="1650" spans="1:13" ht="15" customHeight="1" x14ac:dyDescent="0.35">
      <c r="A1650" t="str">
        <f t="shared" si="25"/>
        <v>P672ST00C1031</v>
      </c>
      <c r="B1650" t="str">
        <f>IFERROR(VLOOKUP($A1650,'[5]Study Budget Mapping '!$O$2:$P$532,2,0),"TBA")</f>
        <v>TBA</v>
      </c>
      <c r="D1650" s="2" t="s">
        <v>324</v>
      </c>
      <c r="E1650" s="2" t="s">
        <v>16</v>
      </c>
      <c r="F1650" s="3">
        <v>2890000</v>
      </c>
      <c r="G1650" s="3">
        <v>2670000</v>
      </c>
      <c r="H1650" s="4"/>
      <c r="I1650" s="4"/>
      <c r="J1650" s="4"/>
      <c r="K1650" s="4"/>
      <c r="L1650" s="4"/>
      <c r="M1650" s="4"/>
    </row>
    <row r="1651" spans="1:13" ht="15" customHeight="1" x14ac:dyDescent="0.35">
      <c r="A1651" t="str">
        <f t="shared" si="25"/>
        <v>P672ST00C1031</v>
      </c>
      <c r="B1651" t="str">
        <f>IFERROR(VLOOKUP($A1651,'[5]Study Budget Mapping '!$O$2:$P$532,2,0),"TBA")</f>
        <v>TBA</v>
      </c>
      <c r="D1651" s="2" t="s">
        <v>324</v>
      </c>
      <c r="E1651" s="2" t="s">
        <v>17</v>
      </c>
      <c r="F1651" s="3">
        <v>530000</v>
      </c>
      <c r="G1651" s="3">
        <v>1380000</v>
      </c>
      <c r="H1651" s="4"/>
      <c r="I1651" s="4"/>
      <c r="J1651" s="4"/>
      <c r="K1651" s="4"/>
      <c r="L1651" s="4"/>
      <c r="M1651" s="4"/>
    </row>
    <row r="1652" spans="1:13" ht="15" customHeight="1" x14ac:dyDescent="0.35">
      <c r="A1652" t="str">
        <f t="shared" si="25"/>
        <v>P672ST00C1031</v>
      </c>
      <c r="B1652" t="str">
        <f>IFERROR(VLOOKUP($A1652,'[5]Study Budget Mapping '!$O$2:$P$532,2,0),"TBA")</f>
        <v>TBA</v>
      </c>
      <c r="D1652" s="2" t="s">
        <v>324</v>
      </c>
      <c r="E1652" s="2" t="s">
        <v>24</v>
      </c>
      <c r="F1652" s="3">
        <v>1190000</v>
      </c>
      <c r="G1652" s="3">
        <v>2160000</v>
      </c>
      <c r="H1652" s="4"/>
      <c r="I1652" s="4"/>
      <c r="J1652" s="4"/>
      <c r="K1652" s="4"/>
      <c r="L1652" s="4"/>
      <c r="M1652" s="4"/>
    </row>
    <row r="1653" spans="1:13" ht="15" customHeight="1" x14ac:dyDescent="0.35">
      <c r="A1653" t="str">
        <f t="shared" si="25"/>
        <v>P672ST00C1031</v>
      </c>
      <c r="B1653" t="str">
        <f>IFERROR(VLOOKUP($A1653,'[5]Study Budget Mapping '!$O$2:$P$532,2,0),"TBA")</f>
        <v>TBA</v>
      </c>
      <c r="D1653" s="2" t="s">
        <v>324</v>
      </c>
      <c r="E1653" s="2" t="s">
        <v>32</v>
      </c>
      <c r="F1653" s="3">
        <v>0</v>
      </c>
      <c r="G1653" s="3">
        <v>2926000</v>
      </c>
      <c r="H1653" s="4"/>
      <c r="I1653" s="4"/>
      <c r="J1653" s="4"/>
      <c r="K1653" s="4"/>
      <c r="L1653" s="4"/>
      <c r="M1653" s="4"/>
    </row>
    <row r="1654" spans="1:13" ht="15" customHeight="1" x14ac:dyDescent="0.35">
      <c r="A1654" t="str">
        <f t="shared" si="25"/>
        <v>P672ST00C3733</v>
      </c>
      <c r="B1654" t="str">
        <f>IFERROR(VLOOKUP($A1654,'[5]Study Budget Mapping '!$O$2:$P$532,2,0),"TBA")</f>
        <v>TBA</v>
      </c>
      <c r="D1654" s="2" t="s">
        <v>325</v>
      </c>
      <c r="E1654" s="2" t="s">
        <v>13</v>
      </c>
      <c r="F1654" s="3">
        <v>161690000</v>
      </c>
      <c r="G1654" s="3">
        <v>200400000</v>
      </c>
      <c r="H1654" s="4"/>
      <c r="I1654" s="4"/>
      <c r="J1654" s="4"/>
      <c r="K1654" s="4"/>
      <c r="L1654" s="4"/>
      <c r="M1654" s="4"/>
    </row>
    <row r="1655" spans="1:13" ht="15" customHeight="1" x14ac:dyDescent="0.35">
      <c r="A1655" t="str">
        <f t="shared" si="25"/>
        <v>P672ST00C3733</v>
      </c>
      <c r="B1655" t="str">
        <f>IFERROR(VLOOKUP($A1655,'[5]Study Budget Mapping '!$O$2:$P$532,2,0),"TBA")</f>
        <v>TBA</v>
      </c>
      <c r="D1655" s="2" t="s">
        <v>325</v>
      </c>
      <c r="E1655" s="2" t="s">
        <v>14</v>
      </c>
      <c r="F1655" s="3">
        <v>11150000</v>
      </c>
      <c r="G1655" s="3">
        <v>9600000</v>
      </c>
      <c r="H1655" s="4"/>
      <c r="I1655" s="4"/>
      <c r="J1655" s="4"/>
      <c r="K1655" s="4"/>
      <c r="L1655" s="4"/>
      <c r="M1655" s="4"/>
    </row>
    <row r="1656" spans="1:13" ht="15" customHeight="1" x14ac:dyDescent="0.35">
      <c r="A1656" t="str">
        <f t="shared" si="25"/>
        <v>P672ST00C3733</v>
      </c>
      <c r="B1656" t="str">
        <f>IFERROR(VLOOKUP($A1656,'[5]Study Budget Mapping '!$O$2:$P$532,2,0),"TBA")</f>
        <v>TBA</v>
      </c>
      <c r="D1656" s="2" t="s">
        <v>325</v>
      </c>
      <c r="E1656" s="2" t="s">
        <v>19</v>
      </c>
      <c r="F1656" s="3">
        <v>3160000</v>
      </c>
      <c r="G1656" s="3">
        <v>14300000</v>
      </c>
      <c r="H1656" s="4"/>
      <c r="I1656" s="4"/>
      <c r="J1656" s="4"/>
      <c r="K1656" s="4"/>
      <c r="L1656" s="4"/>
      <c r="M1656" s="4"/>
    </row>
    <row r="1657" spans="1:13" ht="15" customHeight="1" x14ac:dyDescent="0.35">
      <c r="A1657" t="str">
        <f t="shared" si="25"/>
        <v>P672ST00C3733</v>
      </c>
      <c r="B1657" t="str">
        <f>IFERROR(VLOOKUP($A1657,'[5]Study Budget Mapping '!$O$2:$P$532,2,0),"TBA")</f>
        <v>TBA</v>
      </c>
      <c r="D1657" s="2" t="s">
        <v>325</v>
      </c>
      <c r="E1657" s="2" t="s">
        <v>20</v>
      </c>
      <c r="F1657" s="3">
        <v>972000</v>
      </c>
      <c r="G1657" s="3">
        <v>7650000</v>
      </c>
      <c r="H1657" s="4"/>
      <c r="I1657" s="4"/>
      <c r="J1657" s="4"/>
      <c r="K1657" s="4"/>
      <c r="L1657" s="4"/>
      <c r="M1657" s="4"/>
    </row>
    <row r="1658" spans="1:13" ht="15" customHeight="1" x14ac:dyDescent="0.35">
      <c r="A1658" t="str">
        <f t="shared" si="25"/>
        <v>P672ST00C3733</v>
      </c>
      <c r="B1658" t="str">
        <f>IFERROR(VLOOKUP($A1658,'[5]Study Budget Mapping '!$O$2:$P$532,2,0),"TBA")</f>
        <v>TBA</v>
      </c>
      <c r="D1658" s="2" t="s">
        <v>325</v>
      </c>
      <c r="E1658" s="2" t="s">
        <v>21</v>
      </c>
      <c r="F1658" s="3">
        <v>0</v>
      </c>
      <c r="G1658" s="3">
        <v>163500000</v>
      </c>
      <c r="H1658" s="4"/>
      <c r="I1658" s="4"/>
      <c r="J1658" s="4"/>
      <c r="K1658" s="4"/>
      <c r="L1658" s="4"/>
      <c r="M1658" s="4"/>
    </row>
    <row r="1659" spans="1:13" ht="15" customHeight="1" x14ac:dyDescent="0.35">
      <c r="A1659" t="str">
        <f t="shared" si="25"/>
        <v>P672ST00C3733</v>
      </c>
      <c r="B1659" t="str">
        <f>IFERROR(VLOOKUP($A1659,'[5]Study Budget Mapping '!$O$2:$P$532,2,0),"TBA")</f>
        <v>TBA</v>
      </c>
      <c r="D1659" s="2" t="s">
        <v>325</v>
      </c>
      <c r="E1659" s="2" t="s">
        <v>15</v>
      </c>
      <c r="F1659" s="3">
        <v>100000000</v>
      </c>
      <c r="G1659" s="3">
        <v>68850000</v>
      </c>
      <c r="H1659" s="4"/>
      <c r="I1659" s="4"/>
      <c r="J1659" s="4"/>
      <c r="K1659" s="4"/>
      <c r="L1659" s="4"/>
      <c r="M1659" s="4"/>
    </row>
    <row r="1660" spans="1:13" ht="15" customHeight="1" x14ac:dyDescent="0.35">
      <c r="A1660" t="str">
        <f t="shared" si="25"/>
        <v>P672ST00C3733</v>
      </c>
      <c r="B1660" t="str">
        <f>IFERROR(VLOOKUP($A1660,'[5]Study Budget Mapping '!$O$2:$P$532,2,0),"TBA")</f>
        <v>TBA</v>
      </c>
      <c r="D1660" s="2" t="s">
        <v>325</v>
      </c>
      <c r="E1660" s="2" t="s">
        <v>22</v>
      </c>
      <c r="F1660" s="3">
        <v>0</v>
      </c>
      <c r="G1660" s="3">
        <v>5535000</v>
      </c>
      <c r="H1660" s="4"/>
      <c r="I1660" s="4"/>
      <c r="J1660" s="4"/>
      <c r="K1660" s="4"/>
      <c r="L1660" s="4"/>
      <c r="M1660" s="4"/>
    </row>
    <row r="1661" spans="1:13" ht="15" customHeight="1" x14ac:dyDescent="0.35">
      <c r="A1661" t="str">
        <f t="shared" si="25"/>
        <v>P672ST00C3733</v>
      </c>
      <c r="B1661" t="str">
        <f>IFERROR(VLOOKUP($A1661,'[5]Study Budget Mapping '!$O$2:$P$532,2,0),"TBA")</f>
        <v>TBA</v>
      </c>
      <c r="D1661" s="2" t="s">
        <v>325</v>
      </c>
      <c r="E1661" s="2" t="s">
        <v>16</v>
      </c>
      <c r="F1661" s="3">
        <v>0</v>
      </c>
      <c r="G1661" s="3">
        <v>21820000</v>
      </c>
      <c r="H1661" s="4"/>
      <c r="I1661" s="4"/>
      <c r="J1661" s="4"/>
      <c r="K1661" s="4"/>
      <c r="L1661" s="4"/>
      <c r="M1661" s="4"/>
    </row>
    <row r="1662" spans="1:13" ht="15" customHeight="1" x14ac:dyDescent="0.35">
      <c r="A1662" t="str">
        <f t="shared" si="25"/>
        <v>P672ST00C3733</v>
      </c>
      <c r="B1662" t="str">
        <f>IFERROR(VLOOKUP($A1662,'[5]Study Budget Mapping '!$O$2:$P$532,2,0),"TBA")</f>
        <v>TBA</v>
      </c>
      <c r="D1662" s="2" t="s">
        <v>325</v>
      </c>
      <c r="E1662" s="2" t="s">
        <v>17</v>
      </c>
      <c r="F1662" s="3">
        <v>991000</v>
      </c>
      <c r="G1662" s="3">
        <v>1100000</v>
      </c>
      <c r="H1662" s="4"/>
      <c r="I1662" s="4"/>
      <c r="J1662" s="4"/>
      <c r="K1662" s="4"/>
      <c r="L1662" s="4"/>
      <c r="M1662" s="4"/>
    </row>
    <row r="1663" spans="1:13" ht="15" customHeight="1" x14ac:dyDescent="0.35">
      <c r="A1663" t="str">
        <f t="shared" si="25"/>
        <v>P672ST00C3733</v>
      </c>
      <c r="B1663" t="str">
        <f>IFERROR(VLOOKUP($A1663,'[5]Study Budget Mapping '!$O$2:$P$532,2,0),"TBA")</f>
        <v>TBA</v>
      </c>
      <c r="D1663" s="2" t="s">
        <v>325</v>
      </c>
      <c r="E1663" s="2" t="s">
        <v>23</v>
      </c>
      <c r="F1663" s="3">
        <v>2880000</v>
      </c>
      <c r="G1663" s="3">
        <v>3970000</v>
      </c>
      <c r="H1663" s="4"/>
      <c r="I1663" s="4"/>
      <c r="J1663" s="4"/>
      <c r="K1663" s="4"/>
      <c r="L1663" s="4"/>
      <c r="M1663" s="4"/>
    </row>
    <row r="1664" spans="1:13" ht="15" customHeight="1" x14ac:dyDescent="0.35">
      <c r="A1664" t="str">
        <f t="shared" si="25"/>
        <v>P672ST00C3733</v>
      </c>
      <c r="B1664" t="str">
        <f>IFERROR(VLOOKUP($A1664,'[5]Study Budget Mapping '!$O$2:$P$532,2,0),"TBA")</f>
        <v>TBA</v>
      </c>
      <c r="D1664" s="2" t="s">
        <v>325</v>
      </c>
      <c r="E1664" s="2" t="s">
        <v>24</v>
      </c>
      <c r="F1664" s="3">
        <v>24610000</v>
      </c>
      <c r="G1664" s="3">
        <v>31460000</v>
      </c>
      <c r="H1664" s="4"/>
      <c r="I1664" s="4"/>
      <c r="J1664" s="4"/>
      <c r="K1664" s="4"/>
      <c r="L1664" s="4"/>
      <c r="M1664" s="4"/>
    </row>
    <row r="1665" spans="1:13" ht="15" customHeight="1" x14ac:dyDescent="0.35">
      <c r="A1665" t="str">
        <f t="shared" si="25"/>
        <v>P672ST00C3733</v>
      </c>
      <c r="B1665" t="str">
        <f>IFERROR(VLOOKUP($A1665,'[5]Study Budget Mapping '!$O$2:$P$532,2,0),"TBA")</f>
        <v>TBA</v>
      </c>
      <c r="D1665" s="2" t="s">
        <v>325</v>
      </c>
      <c r="E1665" s="2" t="s">
        <v>32</v>
      </c>
      <c r="F1665" s="3">
        <v>4830000</v>
      </c>
      <c r="G1665" s="3">
        <v>6050000</v>
      </c>
      <c r="H1665" s="4"/>
      <c r="I1665" s="4"/>
      <c r="J1665" s="4"/>
      <c r="K1665" s="4"/>
      <c r="L1665" s="4"/>
      <c r="M1665" s="4"/>
    </row>
    <row r="1666" spans="1:13" ht="15" customHeight="1" x14ac:dyDescent="0.35">
      <c r="A1666" t="str">
        <f t="shared" si="25"/>
        <v>P672ST20C1011</v>
      </c>
      <c r="B1666" t="str">
        <f>IFERROR(VLOOKUP($A1666,'[5]Study Budget Mapping '!$O$2:$P$532,2,0),"TBA")</f>
        <v>TBA</v>
      </c>
      <c r="D1666" s="2" t="s">
        <v>326</v>
      </c>
      <c r="E1666" s="2" t="s">
        <v>13</v>
      </c>
      <c r="F1666" s="3">
        <v>874299</v>
      </c>
      <c r="G1666" s="3">
        <v>874299.45</v>
      </c>
      <c r="H1666" s="4"/>
      <c r="I1666" s="4"/>
      <c r="J1666" s="4"/>
      <c r="K1666" s="4"/>
      <c r="L1666" s="4"/>
      <c r="M1666" s="4"/>
    </row>
    <row r="1667" spans="1:13" ht="15" customHeight="1" x14ac:dyDescent="0.35">
      <c r="A1667" t="str">
        <f t="shared" ref="A1667:A1730" si="26">TRIM(_xlfn.TEXTBEFORE(D1667,"-",1))</f>
        <v>P672ST20C1011</v>
      </c>
      <c r="B1667" t="str">
        <f>IFERROR(VLOOKUP($A1667,'[5]Study Budget Mapping '!$O$2:$P$532,2,0),"TBA")</f>
        <v>TBA</v>
      </c>
      <c r="D1667" s="2" t="s">
        <v>326</v>
      </c>
      <c r="E1667" s="2" t="s">
        <v>19</v>
      </c>
      <c r="F1667" s="3">
        <v>61469</v>
      </c>
      <c r="G1667" s="3">
        <v>61469.45</v>
      </c>
      <c r="H1667" s="4"/>
      <c r="I1667" s="4"/>
      <c r="J1667" s="4"/>
      <c r="K1667" s="4"/>
      <c r="L1667" s="4"/>
      <c r="M1667" s="4"/>
    </row>
    <row r="1668" spans="1:13" ht="15" customHeight="1" x14ac:dyDescent="0.35">
      <c r="A1668" t="str">
        <f t="shared" si="26"/>
        <v>P672ST00C3731</v>
      </c>
      <c r="B1668" t="str">
        <f>IFERROR(VLOOKUP($A1668,'[5]Study Budget Mapping '!$O$2:$P$532,2,0),"TBA")</f>
        <v>TBA</v>
      </c>
      <c r="D1668" s="2" t="s">
        <v>327</v>
      </c>
      <c r="E1668" s="2" t="s">
        <v>13</v>
      </c>
      <c r="F1668" s="3">
        <v>117800000</v>
      </c>
      <c r="G1668" s="3">
        <v>191000000</v>
      </c>
      <c r="H1668" s="4"/>
      <c r="I1668" s="4"/>
      <c r="J1668" s="4"/>
      <c r="K1668" s="4"/>
      <c r="L1668" s="4"/>
      <c r="M1668" s="4"/>
    </row>
    <row r="1669" spans="1:13" ht="15" customHeight="1" x14ac:dyDescent="0.35">
      <c r="A1669" t="str">
        <f t="shared" si="26"/>
        <v>P672ST00C3731</v>
      </c>
      <c r="B1669" t="str">
        <f>IFERROR(VLOOKUP($A1669,'[5]Study Budget Mapping '!$O$2:$P$532,2,0),"TBA")</f>
        <v>TBA</v>
      </c>
      <c r="D1669" s="2" t="s">
        <v>327</v>
      </c>
      <c r="E1669" s="2" t="s">
        <v>14</v>
      </c>
      <c r="F1669" s="3">
        <v>6700000</v>
      </c>
      <c r="G1669" s="3">
        <v>11800000</v>
      </c>
      <c r="H1669" s="4"/>
      <c r="I1669" s="4"/>
      <c r="J1669" s="4"/>
      <c r="K1669" s="4"/>
      <c r="L1669" s="4"/>
      <c r="M1669" s="4"/>
    </row>
    <row r="1670" spans="1:13" ht="15" customHeight="1" x14ac:dyDescent="0.35">
      <c r="A1670" t="str">
        <f t="shared" si="26"/>
        <v>P672ST00C3731</v>
      </c>
      <c r="B1670" t="str">
        <f>IFERROR(VLOOKUP($A1670,'[5]Study Budget Mapping '!$O$2:$P$532,2,0),"TBA")</f>
        <v>TBA</v>
      </c>
      <c r="D1670" s="2" t="s">
        <v>327</v>
      </c>
      <c r="E1670" s="2" t="s">
        <v>19</v>
      </c>
      <c r="F1670" s="3">
        <v>12720000</v>
      </c>
      <c r="G1670" s="3">
        <v>14640000</v>
      </c>
      <c r="H1670" s="4"/>
      <c r="I1670" s="4"/>
      <c r="J1670" s="4"/>
      <c r="K1670" s="4"/>
      <c r="L1670" s="4"/>
      <c r="M1670" s="4"/>
    </row>
    <row r="1671" spans="1:13" ht="15" customHeight="1" x14ac:dyDescent="0.35">
      <c r="A1671" t="str">
        <f t="shared" si="26"/>
        <v>P672ST00C3731</v>
      </c>
      <c r="B1671" t="str">
        <f>IFERROR(VLOOKUP($A1671,'[5]Study Budget Mapping '!$O$2:$P$532,2,0),"TBA")</f>
        <v>TBA</v>
      </c>
      <c r="D1671" s="2" t="s">
        <v>327</v>
      </c>
      <c r="E1671" s="2" t="s">
        <v>20</v>
      </c>
      <c r="F1671" s="3">
        <v>2600000</v>
      </c>
      <c r="G1671" s="3">
        <v>2705000</v>
      </c>
      <c r="H1671" s="4"/>
      <c r="I1671" s="4"/>
      <c r="J1671" s="4"/>
      <c r="K1671" s="4"/>
      <c r="L1671" s="4"/>
      <c r="M1671" s="4"/>
    </row>
    <row r="1672" spans="1:13" ht="15" customHeight="1" x14ac:dyDescent="0.35">
      <c r="A1672" t="str">
        <f t="shared" si="26"/>
        <v>P672ST00C3731</v>
      </c>
      <c r="B1672" t="str">
        <f>IFERROR(VLOOKUP($A1672,'[5]Study Budget Mapping '!$O$2:$P$532,2,0),"TBA")</f>
        <v>TBA</v>
      </c>
      <c r="D1672" s="2" t="s">
        <v>327</v>
      </c>
      <c r="E1672" s="2" t="s">
        <v>21</v>
      </c>
      <c r="F1672" s="3">
        <v>91400000</v>
      </c>
      <c r="G1672" s="3">
        <v>95900000</v>
      </c>
      <c r="H1672" s="4"/>
      <c r="I1672" s="4"/>
      <c r="J1672" s="4"/>
      <c r="K1672" s="4"/>
      <c r="L1672" s="4"/>
      <c r="M1672" s="4"/>
    </row>
    <row r="1673" spans="1:13" ht="15" customHeight="1" x14ac:dyDescent="0.35">
      <c r="A1673" t="str">
        <f t="shared" si="26"/>
        <v>P672ST00C3731</v>
      </c>
      <c r="B1673" t="str">
        <f>IFERROR(VLOOKUP($A1673,'[5]Study Budget Mapping '!$O$2:$P$532,2,0),"TBA")</f>
        <v>TBA</v>
      </c>
      <c r="D1673" s="2" t="s">
        <v>327</v>
      </c>
      <c r="E1673" s="2" t="s">
        <v>15</v>
      </c>
      <c r="F1673" s="3">
        <v>64300000</v>
      </c>
      <c r="G1673" s="3">
        <v>48770000</v>
      </c>
      <c r="H1673" s="4"/>
      <c r="I1673" s="4"/>
      <c r="J1673" s="4"/>
      <c r="K1673" s="4"/>
      <c r="L1673" s="4"/>
      <c r="M1673" s="4"/>
    </row>
    <row r="1674" spans="1:13" ht="15" customHeight="1" x14ac:dyDescent="0.35">
      <c r="A1674" t="str">
        <f t="shared" si="26"/>
        <v>P672ST00C3731</v>
      </c>
      <c r="B1674" t="str">
        <f>IFERROR(VLOOKUP($A1674,'[5]Study Budget Mapping '!$O$2:$P$532,2,0),"TBA")</f>
        <v>TBA</v>
      </c>
      <c r="D1674" s="2" t="s">
        <v>327</v>
      </c>
      <c r="E1674" s="2" t="s">
        <v>22</v>
      </c>
      <c r="F1674" s="3">
        <v>2110000</v>
      </c>
      <c r="G1674" s="3">
        <v>3445000</v>
      </c>
      <c r="H1674" s="4"/>
      <c r="I1674" s="4"/>
      <c r="J1674" s="4"/>
      <c r="K1674" s="4"/>
      <c r="L1674" s="4"/>
      <c r="M1674" s="4"/>
    </row>
    <row r="1675" spans="1:13" ht="15" customHeight="1" x14ac:dyDescent="0.35">
      <c r="A1675" t="str">
        <f t="shared" si="26"/>
        <v>P672ST00C3731</v>
      </c>
      <c r="B1675" t="str">
        <f>IFERROR(VLOOKUP($A1675,'[5]Study Budget Mapping '!$O$2:$P$532,2,0),"TBA")</f>
        <v>TBA</v>
      </c>
      <c r="D1675" s="2" t="s">
        <v>327</v>
      </c>
      <c r="E1675" s="2" t="s">
        <v>16</v>
      </c>
      <c r="F1675" s="3">
        <v>0</v>
      </c>
      <c r="G1675" s="3">
        <v>20000000</v>
      </c>
      <c r="H1675" s="4"/>
      <c r="I1675" s="4"/>
      <c r="J1675" s="4"/>
      <c r="K1675" s="4"/>
      <c r="L1675" s="4"/>
      <c r="M1675" s="4"/>
    </row>
    <row r="1676" spans="1:13" ht="15" customHeight="1" x14ac:dyDescent="0.35">
      <c r="A1676" t="str">
        <f t="shared" si="26"/>
        <v>P672ST00C3731</v>
      </c>
      <c r="B1676" t="str">
        <f>IFERROR(VLOOKUP($A1676,'[5]Study Budget Mapping '!$O$2:$P$532,2,0),"TBA")</f>
        <v>TBA</v>
      </c>
      <c r="D1676" s="2" t="s">
        <v>327</v>
      </c>
      <c r="E1676" s="2" t="s">
        <v>17</v>
      </c>
      <c r="F1676" s="3">
        <v>600000</v>
      </c>
      <c r="G1676" s="3">
        <v>700000</v>
      </c>
      <c r="H1676" s="4"/>
      <c r="I1676" s="4"/>
      <c r="J1676" s="4"/>
      <c r="K1676" s="4"/>
      <c r="L1676" s="4"/>
      <c r="M1676" s="4"/>
    </row>
    <row r="1677" spans="1:13" ht="15" customHeight="1" x14ac:dyDescent="0.35">
      <c r="A1677" t="str">
        <f t="shared" si="26"/>
        <v>P672ST00C3731</v>
      </c>
      <c r="B1677" t="str">
        <f>IFERROR(VLOOKUP($A1677,'[5]Study Budget Mapping '!$O$2:$P$532,2,0),"TBA")</f>
        <v>TBA</v>
      </c>
      <c r="D1677" s="2" t="s">
        <v>327</v>
      </c>
      <c r="E1677" s="2" t="s">
        <v>23</v>
      </c>
      <c r="F1677" s="3">
        <v>1201000</v>
      </c>
      <c r="G1677" s="3">
        <v>1300000</v>
      </c>
      <c r="H1677" s="4"/>
      <c r="I1677" s="4"/>
      <c r="J1677" s="4"/>
      <c r="K1677" s="4"/>
      <c r="L1677" s="4"/>
      <c r="M1677" s="4"/>
    </row>
    <row r="1678" spans="1:13" ht="15" customHeight="1" x14ac:dyDescent="0.35">
      <c r="A1678" t="str">
        <f t="shared" si="26"/>
        <v>P672ST00C3731</v>
      </c>
      <c r="B1678" t="str">
        <f>IFERROR(VLOOKUP($A1678,'[5]Study Budget Mapping '!$O$2:$P$532,2,0),"TBA")</f>
        <v>TBA</v>
      </c>
      <c r="D1678" s="2" t="s">
        <v>327</v>
      </c>
      <c r="E1678" s="2" t="s">
        <v>24</v>
      </c>
      <c r="F1678" s="3">
        <v>13550000</v>
      </c>
      <c r="G1678" s="3">
        <v>11720000</v>
      </c>
      <c r="H1678" s="4"/>
      <c r="I1678" s="4"/>
      <c r="J1678" s="4"/>
      <c r="K1678" s="4"/>
      <c r="L1678" s="4"/>
      <c r="M1678" s="4"/>
    </row>
    <row r="1679" spans="1:13" ht="15" customHeight="1" x14ac:dyDescent="0.35">
      <c r="A1679" t="str">
        <f t="shared" si="26"/>
        <v>P672ST00C3731</v>
      </c>
      <c r="B1679" t="str">
        <f>IFERROR(VLOOKUP($A1679,'[5]Study Budget Mapping '!$O$2:$P$532,2,0),"TBA")</f>
        <v>TBA</v>
      </c>
      <c r="D1679" s="2" t="s">
        <v>327</v>
      </c>
      <c r="E1679" s="2" t="s">
        <v>32</v>
      </c>
      <c r="F1679" s="3">
        <v>9280000</v>
      </c>
      <c r="G1679" s="3">
        <v>2100000</v>
      </c>
      <c r="H1679" s="4"/>
      <c r="I1679" s="4"/>
      <c r="J1679" s="4"/>
      <c r="K1679" s="4"/>
      <c r="L1679" s="4"/>
      <c r="M1679" s="4"/>
    </row>
    <row r="1680" spans="1:13" ht="15" customHeight="1" x14ac:dyDescent="0.35">
      <c r="A1680" t="str">
        <f t="shared" si="26"/>
        <v>P672ST01C2831</v>
      </c>
      <c r="B1680" t="str">
        <f>IFERROR(VLOOKUP($A1680,'[5]Study Budget Mapping '!$O$2:$P$532,2,0),"TBA")</f>
        <v>TBA</v>
      </c>
      <c r="D1680" s="2" t="s">
        <v>328</v>
      </c>
      <c r="E1680" s="2" t="s">
        <v>13</v>
      </c>
      <c r="F1680" s="3">
        <v>25000000</v>
      </c>
      <c r="G1680" s="3">
        <v>25000000</v>
      </c>
      <c r="H1680" s="4"/>
      <c r="I1680" s="4"/>
      <c r="J1680" s="4"/>
      <c r="K1680" s="4"/>
      <c r="L1680" s="4"/>
      <c r="M1680" s="4"/>
    </row>
    <row r="1681" spans="1:13" ht="15" customHeight="1" x14ac:dyDescent="0.35">
      <c r="A1681" t="str">
        <f t="shared" si="26"/>
        <v>P672ST01C2831</v>
      </c>
      <c r="B1681" t="str">
        <f>IFERROR(VLOOKUP($A1681,'[5]Study Budget Mapping '!$O$2:$P$532,2,0),"TBA")</f>
        <v>TBA</v>
      </c>
      <c r="D1681" s="2" t="s">
        <v>328</v>
      </c>
      <c r="E1681" s="2" t="s">
        <v>14</v>
      </c>
      <c r="F1681" s="3">
        <v>5597000</v>
      </c>
      <c r="G1681" s="3">
        <v>5597000</v>
      </c>
      <c r="H1681" s="4"/>
      <c r="I1681" s="4"/>
      <c r="J1681" s="4"/>
      <c r="K1681" s="4"/>
      <c r="L1681" s="4"/>
      <c r="M1681" s="4"/>
    </row>
    <row r="1682" spans="1:13" ht="15" customHeight="1" x14ac:dyDescent="0.35">
      <c r="A1682" t="str">
        <f t="shared" si="26"/>
        <v>P672ST01C2831</v>
      </c>
      <c r="B1682" t="str">
        <f>IFERROR(VLOOKUP($A1682,'[5]Study Budget Mapping '!$O$2:$P$532,2,0),"TBA")</f>
        <v>TBA</v>
      </c>
      <c r="D1682" s="2" t="s">
        <v>328</v>
      </c>
      <c r="E1682" s="2" t="s">
        <v>19</v>
      </c>
      <c r="F1682" s="3">
        <v>960000</v>
      </c>
      <c r="G1682" s="3">
        <v>960000</v>
      </c>
      <c r="H1682" s="4"/>
      <c r="I1682" s="4"/>
      <c r="J1682" s="4"/>
      <c r="K1682" s="4"/>
      <c r="L1682" s="4"/>
      <c r="M1682" s="4"/>
    </row>
    <row r="1683" spans="1:13" ht="15" customHeight="1" x14ac:dyDescent="0.35">
      <c r="A1683" t="str">
        <f t="shared" si="26"/>
        <v>P672ST01C2831</v>
      </c>
      <c r="B1683" t="str">
        <f>IFERROR(VLOOKUP($A1683,'[5]Study Budget Mapping '!$O$2:$P$532,2,0),"TBA")</f>
        <v>TBA</v>
      </c>
      <c r="D1683" s="2" t="s">
        <v>328</v>
      </c>
      <c r="E1683" s="2" t="s">
        <v>20</v>
      </c>
      <c r="F1683" s="3">
        <v>1600000</v>
      </c>
      <c r="G1683" s="3">
        <v>1600000</v>
      </c>
      <c r="H1683" s="4"/>
      <c r="I1683" s="4"/>
      <c r="J1683" s="4"/>
      <c r="K1683" s="4"/>
      <c r="L1683" s="4"/>
      <c r="M1683" s="4"/>
    </row>
    <row r="1684" spans="1:13" ht="15" customHeight="1" x14ac:dyDescent="0.35">
      <c r="A1684" t="str">
        <f t="shared" si="26"/>
        <v>P672ST01C2831</v>
      </c>
      <c r="B1684" t="str">
        <f>IFERROR(VLOOKUP($A1684,'[5]Study Budget Mapping '!$O$2:$P$532,2,0),"TBA")</f>
        <v>TBA</v>
      </c>
      <c r="D1684" s="2" t="s">
        <v>328</v>
      </c>
      <c r="E1684" s="2" t="s">
        <v>15</v>
      </c>
      <c r="F1684" s="3">
        <v>27500000</v>
      </c>
      <c r="G1684" s="3">
        <v>27500000</v>
      </c>
      <c r="H1684" s="4"/>
      <c r="I1684" s="4"/>
      <c r="J1684" s="4"/>
      <c r="K1684" s="4"/>
      <c r="L1684" s="4"/>
      <c r="M1684" s="4"/>
    </row>
    <row r="1685" spans="1:13" ht="15" customHeight="1" x14ac:dyDescent="0.35">
      <c r="A1685" t="str">
        <f t="shared" si="26"/>
        <v>P672ST01C2831</v>
      </c>
      <c r="B1685" t="str">
        <f>IFERROR(VLOOKUP($A1685,'[5]Study Budget Mapping '!$O$2:$P$532,2,0),"TBA")</f>
        <v>TBA</v>
      </c>
      <c r="D1685" s="2" t="s">
        <v>328</v>
      </c>
      <c r="E1685" s="2" t="s">
        <v>22</v>
      </c>
      <c r="F1685" s="3">
        <v>610000</v>
      </c>
      <c r="G1685" s="3">
        <v>610000</v>
      </c>
      <c r="H1685" s="4"/>
      <c r="I1685" s="4"/>
      <c r="J1685" s="4"/>
      <c r="K1685" s="4"/>
      <c r="L1685" s="4"/>
      <c r="M1685" s="4"/>
    </row>
    <row r="1686" spans="1:13" ht="15" customHeight="1" x14ac:dyDescent="0.35">
      <c r="A1686" t="str">
        <f t="shared" si="26"/>
        <v>P672ST01C2831</v>
      </c>
      <c r="B1686" t="str">
        <f>IFERROR(VLOOKUP($A1686,'[5]Study Budget Mapping '!$O$2:$P$532,2,0),"TBA")</f>
        <v>TBA</v>
      </c>
      <c r="D1686" s="2" t="s">
        <v>328</v>
      </c>
      <c r="E1686" s="2" t="s">
        <v>16</v>
      </c>
      <c r="F1686" s="3">
        <v>1690000</v>
      </c>
      <c r="G1686" s="3">
        <v>1690000</v>
      </c>
      <c r="H1686" s="4"/>
      <c r="I1686" s="4"/>
      <c r="J1686" s="4"/>
      <c r="K1686" s="4"/>
      <c r="L1686" s="4"/>
      <c r="M1686" s="4"/>
    </row>
    <row r="1687" spans="1:13" ht="15" customHeight="1" x14ac:dyDescent="0.35">
      <c r="A1687" t="str">
        <f t="shared" si="26"/>
        <v>P672ST01C2831</v>
      </c>
      <c r="B1687" t="str">
        <f>IFERROR(VLOOKUP($A1687,'[5]Study Budget Mapping '!$O$2:$P$532,2,0),"TBA")</f>
        <v>TBA</v>
      </c>
      <c r="D1687" s="2" t="s">
        <v>328</v>
      </c>
      <c r="E1687" s="2" t="s">
        <v>17</v>
      </c>
      <c r="F1687" s="3">
        <v>450000</v>
      </c>
      <c r="G1687" s="3">
        <v>450000</v>
      </c>
      <c r="H1687" s="4"/>
      <c r="I1687" s="4"/>
      <c r="J1687" s="4"/>
      <c r="K1687" s="4"/>
      <c r="L1687" s="4"/>
      <c r="M1687" s="4"/>
    </row>
    <row r="1688" spans="1:13" ht="15" customHeight="1" x14ac:dyDescent="0.35">
      <c r="A1688" t="str">
        <f t="shared" si="26"/>
        <v>P672ST01C2831</v>
      </c>
      <c r="B1688" t="str">
        <f>IFERROR(VLOOKUP($A1688,'[5]Study Budget Mapping '!$O$2:$P$532,2,0),"TBA")</f>
        <v>TBA</v>
      </c>
      <c r="D1688" s="2" t="s">
        <v>328</v>
      </c>
      <c r="E1688" s="2" t="s">
        <v>23</v>
      </c>
      <c r="F1688" s="3">
        <v>3870000</v>
      </c>
      <c r="G1688" s="3">
        <v>3870000</v>
      </c>
      <c r="H1688" s="4"/>
      <c r="I1688" s="4"/>
      <c r="J1688" s="4"/>
      <c r="K1688" s="4"/>
      <c r="L1688" s="4"/>
      <c r="M1688" s="4"/>
    </row>
    <row r="1689" spans="1:13" ht="15" customHeight="1" x14ac:dyDescent="0.35">
      <c r="A1689" t="str">
        <f t="shared" si="26"/>
        <v>P672ST01C2831</v>
      </c>
      <c r="B1689" t="str">
        <f>IFERROR(VLOOKUP($A1689,'[5]Study Budget Mapping '!$O$2:$P$532,2,0),"TBA")</f>
        <v>TBA</v>
      </c>
      <c r="D1689" s="2" t="s">
        <v>328</v>
      </c>
      <c r="E1689" s="2" t="s">
        <v>24</v>
      </c>
      <c r="F1689" s="3">
        <v>4880000</v>
      </c>
      <c r="G1689" s="3">
        <v>4880000</v>
      </c>
      <c r="H1689" s="4"/>
      <c r="I1689" s="4"/>
      <c r="J1689" s="4"/>
      <c r="K1689" s="4"/>
      <c r="L1689" s="4"/>
      <c r="M1689" s="4"/>
    </row>
    <row r="1690" spans="1:13" ht="15" customHeight="1" x14ac:dyDescent="0.35">
      <c r="A1690" t="str">
        <f t="shared" si="26"/>
        <v>P672ST01C2831</v>
      </c>
      <c r="B1690" t="str">
        <f>IFERROR(VLOOKUP($A1690,'[5]Study Budget Mapping '!$O$2:$P$532,2,0),"TBA")</f>
        <v>TBA</v>
      </c>
      <c r="D1690" s="2" t="s">
        <v>328</v>
      </c>
      <c r="E1690" s="2" t="s">
        <v>32</v>
      </c>
      <c r="F1690" s="3">
        <v>1800000</v>
      </c>
      <c r="G1690" s="3">
        <v>1800000</v>
      </c>
      <c r="H1690" s="4"/>
      <c r="I1690" s="4"/>
      <c r="J1690" s="4"/>
      <c r="K1690" s="4"/>
      <c r="L1690" s="4"/>
      <c r="M1690" s="4"/>
    </row>
    <row r="1691" spans="1:13" ht="15" customHeight="1" x14ac:dyDescent="0.35">
      <c r="A1691" t="str">
        <f t="shared" si="26"/>
        <v>P672ST01C2832</v>
      </c>
      <c r="B1691" t="str">
        <f>IFERROR(VLOOKUP($A1691,'[5]Study Budget Mapping '!$O$2:$P$532,2,0),"TBA")</f>
        <v>TBA</v>
      </c>
      <c r="D1691" s="2" t="s">
        <v>329</v>
      </c>
      <c r="E1691" s="2" t="s">
        <v>13</v>
      </c>
      <c r="F1691" s="3">
        <v>30000000</v>
      </c>
      <c r="G1691" s="3">
        <v>26850000</v>
      </c>
      <c r="H1691" s="4"/>
      <c r="I1691" s="4"/>
      <c r="J1691" s="4"/>
      <c r="K1691" s="4"/>
      <c r="L1691" s="4"/>
      <c r="M1691" s="4"/>
    </row>
    <row r="1692" spans="1:13" ht="15" customHeight="1" x14ac:dyDescent="0.35">
      <c r="A1692" t="str">
        <f t="shared" si="26"/>
        <v>P672ST01C2832</v>
      </c>
      <c r="B1692" t="str">
        <f>IFERROR(VLOOKUP($A1692,'[5]Study Budget Mapping '!$O$2:$P$532,2,0),"TBA")</f>
        <v>TBA</v>
      </c>
      <c r="D1692" s="2" t="s">
        <v>329</v>
      </c>
      <c r="E1692" s="2" t="s">
        <v>14</v>
      </c>
      <c r="F1692" s="3">
        <v>5640000</v>
      </c>
      <c r="G1692" s="3">
        <v>5930000</v>
      </c>
      <c r="H1692" s="4"/>
      <c r="I1692" s="4"/>
      <c r="J1692" s="4"/>
      <c r="K1692" s="4"/>
      <c r="L1692" s="4"/>
      <c r="M1692" s="4"/>
    </row>
    <row r="1693" spans="1:13" ht="15" customHeight="1" x14ac:dyDescent="0.35">
      <c r="A1693" t="str">
        <f t="shared" si="26"/>
        <v>P672ST01C2832</v>
      </c>
      <c r="B1693" t="str">
        <f>IFERROR(VLOOKUP($A1693,'[5]Study Budget Mapping '!$O$2:$P$532,2,0),"TBA")</f>
        <v>TBA</v>
      </c>
      <c r="D1693" s="2" t="s">
        <v>329</v>
      </c>
      <c r="E1693" s="2" t="s">
        <v>19</v>
      </c>
      <c r="F1693" s="3">
        <v>770000</v>
      </c>
      <c r="G1693" s="3">
        <v>3835000</v>
      </c>
      <c r="H1693" s="4"/>
      <c r="I1693" s="4"/>
      <c r="J1693" s="4"/>
      <c r="K1693" s="4"/>
      <c r="L1693" s="4"/>
      <c r="M1693" s="4"/>
    </row>
    <row r="1694" spans="1:13" ht="15" customHeight="1" x14ac:dyDescent="0.35">
      <c r="A1694" t="str">
        <f t="shared" si="26"/>
        <v>P672ST01C2832</v>
      </c>
      <c r="B1694" t="str">
        <f>IFERROR(VLOOKUP($A1694,'[5]Study Budget Mapping '!$O$2:$P$532,2,0),"TBA")</f>
        <v>TBA</v>
      </c>
      <c r="D1694" s="2" t="s">
        <v>329</v>
      </c>
      <c r="E1694" s="2" t="s">
        <v>20</v>
      </c>
      <c r="F1694" s="3">
        <v>1600000</v>
      </c>
      <c r="G1694" s="3">
        <v>1300000</v>
      </c>
      <c r="H1694" s="4"/>
      <c r="I1694" s="4"/>
      <c r="J1694" s="4"/>
      <c r="K1694" s="4"/>
      <c r="L1694" s="4"/>
      <c r="M1694" s="4"/>
    </row>
    <row r="1695" spans="1:13" ht="15" customHeight="1" x14ac:dyDescent="0.35">
      <c r="A1695" t="str">
        <f t="shared" si="26"/>
        <v>P672ST01C2832</v>
      </c>
      <c r="B1695" t="str">
        <f>IFERROR(VLOOKUP($A1695,'[5]Study Budget Mapping '!$O$2:$P$532,2,0),"TBA")</f>
        <v>TBA</v>
      </c>
      <c r="D1695" s="2" t="s">
        <v>329</v>
      </c>
      <c r="E1695" s="2" t="s">
        <v>31</v>
      </c>
      <c r="F1695" s="3">
        <v>0</v>
      </c>
      <c r="G1695" s="3">
        <v>255000</v>
      </c>
      <c r="H1695" s="4"/>
      <c r="I1695" s="4"/>
      <c r="J1695" s="4"/>
      <c r="K1695" s="4"/>
      <c r="L1695" s="4"/>
      <c r="M1695" s="4"/>
    </row>
    <row r="1696" spans="1:13" ht="15" customHeight="1" x14ac:dyDescent="0.35">
      <c r="A1696" t="str">
        <f t="shared" si="26"/>
        <v>P672ST01C2832</v>
      </c>
      <c r="B1696" t="str">
        <f>IFERROR(VLOOKUP($A1696,'[5]Study Budget Mapping '!$O$2:$P$532,2,0),"TBA")</f>
        <v>TBA</v>
      </c>
      <c r="D1696" s="2" t="s">
        <v>329</v>
      </c>
      <c r="E1696" s="2" t="s">
        <v>21</v>
      </c>
      <c r="F1696" s="3">
        <v>688000</v>
      </c>
      <c r="G1696" s="3">
        <v>500000</v>
      </c>
      <c r="H1696" s="4"/>
      <c r="I1696" s="4"/>
      <c r="J1696" s="4"/>
      <c r="K1696" s="4"/>
      <c r="L1696" s="4"/>
      <c r="M1696" s="4"/>
    </row>
    <row r="1697" spans="1:13" ht="15" customHeight="1" x14ac:dyDescent="0.35">
      <c r="A1697" t="str">
        <f t="shared" si="26"/>
        <v>P672ST01C2832</v>
      </c>
      <c r="B1697" t="str">
        <f>IFERROR(VLOOKUP($A1697,'[5]Study Budget Mapping '!$O$2:$P$532,2,0),"TBA")</f>
        <v>TBA</v>
      </c>
      <c r="D1697" s="2" t="s">
        <v>329</v>
      </c>
      <c r="E1697" s="2" t="s">
        <v>15</v>
      </c>
      <c r="F1697" s="3">
        <v>25000000</v>
      </c>
      <c r="G1697" s="3">
        <v>29860000</v>
      </c>
      <c r="H1697" s="4"/>
      <c r="I1697" s="4"/>
      <c r="J1697" s="4"/>
      <c r="K1697" s="4"/>
      <c r="L1697" s="4"/>
      <c r="M1697" s="4"/>
    </row>
    <row r="1698" spans="1:13" ht="15" customHeight="1" x14ac:dyDescent="0.35">
      <c r="A1698" t="str">
        <f t="shared" si="26"/>
        <v>P672ST01C2832</v>
      </c>
      <c r="B1698" t="str">
        <f>IFERROR(VLOOKUP($A1698,'[5]Study Budget Mapping '!$O$2:$P$532,2,0),"TBA")</f>
        <v>TBA</v>
      </c>
      <c r="D1698" s="2" t="s">
        <v>329</v>
      </c>
      <c r="E1698" s="2" t="s">
        <v>22</v>
      </c>
      <c r="F1698" s="3">
        <v>455000</v>
      </c>
      <c r="G1698" s="3">
        <v>2486000</v>
      </c>
      <c r="H1698" s="4"/>
      <c r="I1698" s="4"/>
      <c r="J1698" s="4"/>
      <c r="K1698" s="4"/>
      <c r="L1698" s="4"/>
      <c r="M1698" s="4"/>
    </row>
    <row r="1699" spans="1:13" ht="15" customHeight="1" x14ac:dyDescent="0.35">
      <c r="A1699" t="str">
        <f t="shared" si="26"/>
        <v>P672ST01C2832</v>
      </c>
      <c r="B1699" t="str">
        <f>IFERROR(VLOOKUP($A1699,'[5]Study Budget Mapping '!$O$2:$P$532,2,0),"TBA")</f>
        <v>TBA</v>
      </c>
      <c r="D1699" s="2" t="s">
        <v>329</v>
      </c>
      <c r="E1699" s="2" t="s">
        <v>16</v>
      </c>
      <c r="F1699" s="3">
        <v>1725000</v>
      </c>
      <c r="G1699" s="3">
        <v>1160000</v>
      </c>
      <c r="H1699" s="4"/>
      <c r="I1699" s="4"/>
      <c r="J1699" s="4"/>
      <c r="K1699" s="4"/>
      <c r="L1699" s="4"/>
      <c r="M1699" s="4"/>
    </row>
    <row r="1700" spans="1:13" ht="15" customHeight="1" x14ac:dyDescent="0.35">
      <c r="A1700" t="str">
        <f t="shared" si="26"/>
        <v>P672ST01C2832</v>
      </c>
      <c r="B1700" t="str">
        <f>IFERROR(VLOOKUP($A1700,'[5]Study Budget Mapping '!$O$2:$P$532,2,0),"TBA")</f>
        <v>TBA</v>
      </c>
      <c r="D1700" s="2" t="s">
        <v>329</v>
      </c>
      <c r="E1700" s="2" t="s">
        <v>17</v>
      </c>
      <c r="F1700" s="3">
        <v>450000</v>
      </c>
      <c r="G1700" s="3">
        <v>630000</v>
      </c>
      <c r="H1700" s="4"/>
      <c r="I1700" s="4"/>
      <c r="J1700" s="4"/>
      <c r="K1700" s="4"/>
      <c r="L1700" s="4"/>
      <c r="M1700" s="4"/>
    </row>
    <row r="1701" spans="1:13" ht="15" customHeight="1" x14ac:dyDescent="0.35">
      <c r="A1701" t="str">
        <f t="shared" si="26"/>
        <v>P672ST01C2832</v>
      </c>
      <c r="B1701" t="str">
        <f>IFERROR(VLOOKUP($A1701,'[5]Study Budget Mapping '!$O$2:$P$532,2,0),"TBA")</f>
        <v>TBA</v>
      </c>
      <c r="D1701" s="2" t="s">
        <v>329</v>
      </c>
      <c r="E1701" s="2" t="s">
        <v>23</v>
      </c>
      <c r="F1701" s="3">
        <v>3741000</v>
      </c>
      <c r="G1701" s="3">
        <v>2545000</v>
      </c>
      <c r="H1701" s="4"/>
      <c r="I1701" s="4"/>
      <c r="J1701" s="4"/>
      <c r="K1701" s="4"/>
      <c r="L1701" s="4"/>
      <c r="M1701" s="4"/>
    </row>
    <row r="1702" spans="1:13" ht="15" customHeight="1" x14ac:dyDescent="0.35">
      <c r="A1702" t="str">
        <f t="shared" si="26"/>
        <v>P672ST01C2832</v>
      </c>
      <c r="B1702" t="str">
        <f>IFERROR(VLOOKUP($A1702,'[5]Study Budget Mapping '!$O$2:$P$532,2,0),"TBA")</f>
        <v>TBA</v>
      </c>
      <c r="D1702" s="2" t="s">
        <v>329</v>
      </c>
      <c r="E1702" s="2" t="s">
        <v>24</v>
      </c>
      <c r="F1702" s="3">
        <v>6330000</v>
      </c>
      <c r="G1702" s="3">
        <v>6330000</v>
      </c>
      <c r="H1702" s="4"/>
      <c r="I1702" s="4"/>
      <c r="J1702" s="4"/>
      <c r="K1702" s="4"/>
      <c r="L1702" s="4"/>
      <c r="M1702" s="4"/>
    </row>
    <row r="1703" spans="1:13" ht="15" customHeight="1" x14ac:dyDescent="0.35">
      <c r="A1703" t="str">
        <f t="shared" si="26"/>
        <v>P672ST01C2832</v>
      </c>
      <c r="B1703" t="str">
        <f>IFERROR(VLOOKUP($A1703,'[5]Study Budget Mapping '!$O$2:$P$532,2,0),"TBA")</f>
        <v>TBA</v>
      </c>
      <c r="D1703" s="2" t="s">
        <v>329</v>
      </c>
      <c r="E1703" s="2" t="s">
        <v>32</v>
      </c>
      <c r="F1703" s="3">
        <v>1260000</v>
      </c>
      <c r="G1703" s="3">
        <v>1390000</v>
      </c>
      <c r="H1703" s="4"/>
      <c r="I1703" s="4"/>
      <c r="J1703" s="4"/>
      <c r="K1703" s="4"/>
      <c r="L1703" s="4"/>
      <c r="M1703" s="4"/>
    </row>
    <row r="1704" spans="1:13" ht="15" customHeight="1" x14ac:dyDescent="0.35">
      <c r="A1704" t="str">
        <f t="shared" si="26"/>
        <v>P672ST13C3831</v>
      </c>
      <c r="B1704" t="str">
        <f>IFERROR(VLOOKUP($A1704,'[5]Study Budget Mapping '!$O$2:$P$532,2,0),"TBA")</f>
        <v>TBA</v>
      </c>
      <c r="D1704" s="2" t="s">
        <v>330</v>
      </c>
      <c r="E1704" s="2" t="s">
        <v>13</v>
      </c>
      <c r="F1704" s="3">
        <v>116360000</v>
      </c>
      <c r="G1704" s="3">
        <v>116360000</v>
      </c>
      <c r="H1704" s="4"/>
      <c r="I1704" s="4"/>
      <c r="J1704" s="4"/>
      <c r="K1704" s="4"/>
      <c r="L1704" s="4"/>
      <c r="M1704" s="4"/>
    </row>
    <row r="1705" spans="1:13" ht="15" customHeight="1" x14ac:dyDescent="0.35">
      <c r="A1705" t="str">
        <f t="shared" si="26"/>
        <v>P672ST13C3831</v>
      </c>
      <c r="B1705" t="str">
        <f>IFERROR(VLOOKUP($A1705,'[5]Study Budget Mapping '!$O$2:$P$532,2,0),"TBA")</f>
        <v>TBA</v>
      </c>
      <c r="D1705" s="2" t="s">
        <v>330</v>
      </c>
      <c r="E1705" s="2" t="s">
        <v>14</v>
      </c>
      <c r="F1705" s="3">
        <v>10790000</v>
      </c>
      <c r="G1705" s="3">
        <v>10790000</v>
      </c>
      <c r="H1705" s="4"/>
      <c r="I1705" s="4"/>
      <c r="J1705" s="4"/>
      <c r="K1705" s="4"/>
      <c r="L1705" s="4"/>
      <c r="M1705" s="4"/>
    </row>
    <row r="1706" spans="1:13" ht="15" customHeight="1" x14ac:dyDescent="0.35">
      <c r="A1706" t="str">
        <f t="shared" si="26"/>
        <v>P672ST13C3831</v>
      </c>
      <c r="B1706" t="str">
        <f>IFERROR(VLOOKUP($A1706,'[5]Study Budget Mapping '!$O$2:$P$532,2,0),"TBA")</f>
        <v>TBA</v>
      </c>
      <c r="D1706" s="2" t="s">
        <v>330</v>
      </c>
      <c r="E1706" s="2" t="s">
        <v>19</v>
      </c>
      <c r="F1706" s="3">
        <v>3030000</v>
      </c>
      <c r="G1706" s="3">
        <v>3030000</v>
      </c>
      <c r="H1706" s="4"/>
      <c r="I1706" s="4"/>
      <c r="J1706" s="4"/>
      <c r="K1706" s="4"/>
      <c r="L1706" s="4"/>
      <c r="M1706" s="4"/>
    </row>
    <row r="1707" spans="1:13" ht="15" customHeight="1" x14ac:dyDescent="0.35">
      <c r="A1707" t="str">
        <f t="shared" si="26"/>
        <v>P672ST13C3831</v>
      </c>
      <c r="B1707" t="str">
        <f>IFERROR(VLOOKUP($A1707,'[5]Study Budget Mapping '!$O$2:$P$532,2,0),"TBA")</f>
        <v>TBA</v>
      </c>
      <c r="D1707" s="2" t="s">
        <v>330</v>
      </c>
      <c r="E1707" s="2" t="s">
        <v>20</v>
      </c>
      <c r="F1707" s="3">
        <v>3290000</v>
      </c>
      <c r="G1707" s="3">
        <v>3290000</v>
      </c>
      <c r="H1707" s="4"/>
      <c r="I1707" s="4"/>
      <c r="J1707" s="4"/>
      <c r="K1707" s="4"/>
      <c r="L1707" s="4"/>
      <c r="M1707" s="4"/>
    </row>
    <row r="1708" spans="1:13" ht="15" customHeight="1" x14ac:dyDescent="0.35">
      <c r="A1708" t="str">
        <f t="shared" si="26"/>
        <v>P672ST13C3831</v>
      </c>
      <c r="B1708" t="str">
        <f>IFERROR(VLOOKUP($A1708,'[5]Study Budget Mapping '!$O$2:$P$532,2,0),"TBA")</f>
        <v>TBA</v>
      </c>
      <c r="D1708" s="2" t="s">
        <v>330</v>
      </c>
      <c r="E1708" s="2" t="s">
        <v>21</v>
      </c>
      <c r="F1708" s="3">
        <v>27500000</v>
      </c>
      <c r="G1708" s="3">
        <v>27500000</v>
      </c>
      <c r="H1708" s="4"/>
      <c r="I1708" s="4"/>
      <c r="J1708" s="4"/>
      <c r="K1708" s="4"/>
      <c r="L1708" s="4"/>
      <c r="M1708" s="4"/>
    </row>
    <row r="1709" spans="1:13" ht="15" customHeight="1" x14ac:dyDescent="0.35">
      <c r="A1709" t="str">
        <f t="shared" si="26"/>
        <v>P672ST13C3831</v>
      </c>
      <c r="B1709" t="str">
        <f>IFERROR(VLOOKUP($A1709,'[5]Study Budget Mapping '!$O$2:$P$532,2,0),"TBA")</f>
        <v>TBA</v>
      </c>
      <c r="D1709" s="2" t="s">
        <v>330</v>
      </c>
      <c r="E1709" s="2" t="s">
        <v>15</v>
      </c>
      <c r="F1709" s="3">
        <v>57420000</v>
      </c>
      <c r="G1709" s="3">
        <v>57420000</v>
      </c>
      <c r="H1709" s="4"/>
      <c r="I1709" s="4"/>
      <c r="J1709" s="4"/>
      <c r="K1709" s="4"/>
      <c r="L1709" s="4"/>
      <c r="M1709" s="4"/>
    </row>
    <row r="1710" spans="1:13" ht="15" customHeight="1" x14ac:dyDescent="0.35">
      <c r="A1710" t="str">
        <f t="shared" si="26"/>
        <v>P672ST13C3831</v>
      </c>
      <c r="B1710" t="str">
        <f>IFERROR(VLOOKUP($A1710,'[5]Study Budget Mapping '!$O$2:$P$532,2,0),"TBA")</f>
        <v>TBA</v>
      </c>
      <c r="D1710" s="2" t="s">
        <v>330</v>
      </c>
      <c r="E1710" s="2" t="s">
        <v>22</v>
      </c>
      <c r="F1710" s="3">
        <v>2360000</v>
      </c>
      <c r="G1710" s="3">
        <v>2360000</v>
      </c>
      <c r="H1710" s="4"/>
      <c r="I1710" s="4"/>
      <c r="J1710" s="4"/>
      <c r="K1710" s="4"/>
      <c r="L1710" s="4"/>
      <c r="M1710" s="4"/>
    </row>
    <row r="1711" spans="1:13" ht="15" customHeight="1" x14ac:dyDescent="0.35">
      <c r="A1711" t="str">
        <f t="shared" si="26"/>
        <v>P672ST13C3831</v>
      </c>
      <c r="B1711" t="str">
        <f>IFERROR(VLOOKUP($A1711,'[5]Study Budget Mapping '!$O$2:$P$532,2,0),"TBA")</f>
        <v>TBA</v>
      </c>
      <c r="D1711" s="2" t="s">
        <v>330</v>
      </c>
      <c r="E1711" s="2" t="s">
        <v>16</v>
      </c>
      <c r="F1711" s="3">
        <v>8210000</v>
      </c>
      <c r="G1711" s="3">
        <v>8210000</v>
      </c>
      <c r="H1711" s="4"/>
      <c r="I1711" s="4"/>
      <c r="J1711" s="4"/>
      <c r="K1711" s="4"/>
      <c r="L1711" s="4"/>
      <c r="M1711" s="4"/>
    </row>
    <row r="1712" spans="1:13" ht="15" customHeight="1" x14ac:dyDescent="0.35">
      <c r="A1712" t="str">
        <f t="shared" si="26"/>
        <v>P672ST13C3831</v>
      </c>
      <c r="B1712" t="str">
        <f>IFERROR(VLOOKUP($A1712,'[5]Study Budget Mapping '!$O$2:$P$532,2,0),"TBA")</f>
        <v>TBA</v>
      </c>
      <c r="D1712" s="2" t="s">
        <v>330</v>
      </c>
      <c r="E1712" s="2" t="s">
        <v>17</v>
      </c>
      <c r="F1712" s="3">
        <v>1250000</v>
      </c>
      <c r="G1712" s="3">
        <v>1250000</v>
      </c>
      <c r="H1712" s="4"/>
      <c r="I1712" s="4"/>
      <c r="J1712" s="4"/>
      <c r="K1712" s="4"/>
      <c r="L1712" s="4"/>
      <c r="M1712" s="4"/>
    </row>
    <row r="1713" spans="1:13" ht="15" customHeight="1" x14ac:dyDescent="0.35">
      <c r="A1713" t="str">
        <f t="shared" si="26"/>
        <v>P672ST13C3831</v>
      </c>
      <c r="B1713" t="str">
        <f>IFERROR(VLOOKUP($A1713,'[5]Study Budget Mapping '!$O$2:$P$532,2,0),"TBA")</f>
        <v>TBA</v>
      </c>
      <c r="D1713" s="2" t="s">
        <v>330</v>
      </c>
      <c r="E1713" s="2" t="s">
        <v>24</v>
      </c>
      <c r="F1713" s="3">
        <v>9500000</v>
      </c>
      <c r="G1713" s="3">
        <v>9500000</v>
      </c>
      <c r="H1713" s="4"/>
      <c r="I1713" s="4"/>
      <c r="J1713" s="4"/>
      <c r="K1713" s="4"/>
      <c r="L1713" s="4"/>
      <c r="M1713" s="4"/>
    </row>
    <row r="1714" spans="1:13" ht="15" customHeight="1" x14ac:dyDescent="0.35">
      <c r="A1714" t="str">
        <f t="shared" si="26"/>
        <v>P672ST13C3831</v>
      </c>
      <c r="B1714" t="str">
        <f>IFERROR(VLOOKUP($A1714,'[5]Study Budget Mapping '!$O$2:$P$532,2,0),"TBA")</f>
        <v>TBA</v>
      </c>
      <c r="D1714" s="2" t="s">
        <v>330</v>
      </c>
      <c r="E1714" s="2" t="s">
        <v>32</v>
      </c>
      <c r="F1714" s="3">
        <v>2320000</v>
      </c>
      <c r="G1714" s="3">
        <v>2320000</v>
      </c>
      <c r="H1714" s="4"/>
      <c r="I1714" s="4"/>
      <c r="J1714" s="4"/>
      <c r="K1714" s="4"/>
      <c r="L1714" s="4"/>
      <c r="M1714" s="4"/>
    </row>
    <row r="1715" spans="1:13" ht="15" customHeight="1" x14ac:dyDescent="0.35">
      <c r="A1715" t="str">
        <f t="shared" si="26"/>
        <v>P672ST13C3831</v>
      </c>
      <c r="B1715" t="str">
        <f>IFERROR(VLOOKUP($A1715,'[5]Study Budget Mapping '!$O$2:$P$532,2,0),"TBA")</f>
        <v>TBA</v>
      </c>
      <c r="D1715" s="2" t="s">
        <v>330</v>
      </c>
      <c r="E1715" s="2" t="s">
        <v>274</v>
      </c>
      <c r="F1715" s="3">
        <v>1100000</v>
      </c>
      <c r="G1715" s="3">
        <v>1100000</v>
      </c>
      <c r="H1715" s="4"/>
      <c r="I1715" s="4"/>
      <c r="J1715" s="4"/>
      <c r="K1715" s="4"/>
      <c r="L1715" s="4"/>
      <c r="M1715" s="4"/>
    </row>
    <row r="1716" spans="1:13" ht="15" customHeight="1" x14ac:dyDescent="0.35">
      <c r="A1716" t="str">
        <f t="shared" si="26"/>
        <v>P672ST01C2731</v>
      </c>
      <c r="B1716" t="str">
        <f>IFERROR(VLOOKUP($A1716,'[5]Study Budget Mapping '!$O$2:$P$532,2,0),"TBA")</f>
        <v>TBA</v>
      </c>
      <c r="D1716" s="2" t="s">
        <v>331</v>
      </c>
      <c r="E1716" s="2" t="s">
        <v>13</v>
      </c>
      <c r="F1716" s="3">
        <v>26091000</v>
      </c>
      <c r="G1716" s="3">
        <v>24960000</v>
      </c>
      <c r="H1716" s="4"/>
      <c r="I1716" s="4"/>
      <c r="J1716" s="4"/>
      <c r="K1716" s="4"/>
      <c r="L1716" s="4"/>
      <c r="M1716" s="4"/>
    </row>
    <row r="1717" spans="1:13" ht="15" customHeight="1" x14ac:dyDescent="0.35">
      <c r="A1717" t="str">
        <f t="shared" si="26"/>
        <v>P672ST01C2731</v>
      </c>
      <c r="B1717" t="str">
        <f>IFERROR(VLOOKUP($A1717,'[5]Study Budget Mapping '!$O$2:$P$532,2,0),"TBA")</f>
        <v>TBA</v>
      </c>
      <c r="D1717" s="2" t="s">
        <v>331</v>
      </c>
      <c r="E1717" s="2" t="s">
        <v>14</v>
      </c>
      <c r="F1717" s="3">
        <v>4510000</v>
      </c>
      <c r="G1717" s="3">
        <v>4510000</v>
      </c>
      <c r="H1717" s="4"/>
      <c r="I1717" s="4"/>
      <c r="J1717" s="4"/>
      <c r="K1717" s="4"/>
      <c r="L1717" s="4"/>
      <c r="M1717" s="4"/>
    </row>
    <row r="1718" spans="1:13" ht="15" customHeight="1" x14ac:dyDescent="0.35">
      <c r="A1718" t="str">
        <f t="shared" si="26"/>
        <v>P672ST01C2731</v>
      </c>
      <c r="B1718" t="str">
        <f>IFERROR(VLOOKUP($A1718,'[5]Study Budget Mapping '!$O$2:$P$532,2,0),"TBA")</f>
        <v>TBA</v>
      </c>
      <c r="D1718" s="2" t="s">
        <v>331</v>
      </c>
      <c r="E1718" s="2" t="s">
        <v>19</v>
      </c>
      <c r="F1718" s="3">
        <v>2490000</v>
      </c>
      <c r="G1718" s="3">
        <v>1890000</v>
      </c>
      <c r="H1718" s="4"/>
      <c r="I1718" s="4"/>
      <c r="J1718" s="4"/>
      <c r="K1718" s="4"/>
      <c r="L1718" s="4"/>
      <c r="M1718" s="4"/>
    </row>
    <row r="1719" spans="1:13" ht="15" customHeight="1" x14ac:dyDescent="0.35">
      <c r="A1719" t="str">
        <f t="shared" si="26"/>
        <v>P672ST01C2731</v>
      </c>
      <c r="B1719" t="str">
        <f>IFERROR(VLOOKUP($A1719,'[5]Study Budget Mapping '!$O$2:$P$532,2,0),"TBA")</f>
        <v>TBA</v>
      </c>
      <c r="D1719" s="2" t="s">
        <v>331</v>
      </c>
      <c r="E1719" s="2" t="s">
        <v>20</v>
      </c>
      <c r="F1719" s="3">
        <v>620000</v>
      </c>
      <c r="G1719" s="3">
        <v>640000</v>
      </c>
      <c r="H1719" s="4"/>
      <c r="I1719" s="4"/>
      <c r="J1719" s="4"/>
      <c r="K1719" s="4"/>
      <c r="L1719" s="4"/>
      <c r="M1719" s="4"/>
    </row>
    <row r="1720" spans="1:13" ht="15" customHeight="1" x14ac:dyDescent="0.35">
      <c r="A1720" t="str">
        <f t="shared" si="26"/>
        <v>P672ST01C2731</v>
      </c>
      <c r="B1720" t="str">
        <f>IFERROR(VLOOKUP($A1720,'[5]Study Budget Mapping '!$O$2:$P$532,2,0),"TBA")</f>
        <v>TBA</v>
      </c>
      <c r="D1720" s="2" t="s">
        <v>331</v>
      </c>
      <c r="E1720" s="2" t="s">
        <v>31</v>
      </c>
      <c r="F1720" s="3">
        <v>150000</v>
      </c>
      <c r="G1720" s="3">
        <v>420000</v>
      </c>
      <c r="H1720" s="4"/>
      <c r="I1720" s="4"/>
      <c r="J1720" s="4"/>
      <c r="K1720" s="4"/>
      <c r="L1720" s="4"/>
      <c r="M1720" s="4"/>
    </row>
    <row r="1721" spans="1:13" ht="15" customHeight="1" x14ac:dyDescent="0.35">
      <c r="A1721" t="str">
        <f t="shared" si="26"/>
        <v>P672ST01C2731</v>
      </c>
      <c r="B1721" t="str">
        <f>IFERROR(VLOOKUP($A1721,'[5]Study Budget Mapping '!$O$2:$P$532,2,0),"TBA")</f>
        <v>TBA</v>
      </c>
      <c r="D1721" s="2" t="s">
        <v>331</v>
      </c>
      <c r="E1721" s="2" t="s">
        <v>21</v>
      </c>
      <c r="F1721" s="3">
        <v>450000</v>
      </c>
      <c r="G1721" s="3">
        <v>300000</v>
      </c>
      <c r="H1721" s="4"/>
      <c r="I1721" s="4"/>
      <c r="J1721" s="4"/>
      <c r="K1721" s="4"/>
      <c r="L1721" s="4"/>
      <c r="M1721" s="4"/>
    </row>
    <row r="1722" spans="1:13" ht="15" customHeight="1" x14ac:dyDescent="0.35">
      <c r="A1722" t="str">
        <f t="shared" si="26"/>
        <v>P672ST01C2731</v>
      </c>
      <c r="B1722" t="str">
        <f>IFERROR(VLOOKUP($A1722,'[5]Study Budget Mapping '!$O$2:$P$532,2,0),"TBA")</f>
        <v>TBA</v>
      </c>
      <c r="D1722" s="2" t="s">
        <v>331</v>
      </c>
      <c r="E1722" s="2" t="s">
        <v>15</v>
      </c>
      <c r="F1722" s="3">
        <v>19920000</v>
      </c>
      <c r="G1722" s="3">
        <v>23460000</v>
      </c>
      <c r="H1722" s="4"/>
      <c r="I1722" s="4"/>
      <c r="J1722" s="4"/>
      <c r="K1722" s="4"/>
      <c r="L1722" s="4"/>
      <c r="M1722" s="4"/>
    </row>
    <row r="1723" spans="1:13" ht="15" customHeight="1" x14ac:dyDescent="0.35">
      <c r="A1723" t="str">
        <f t="shared" si="26"/>
        <v>P672ST01C2731</v>
      </c>
      <c r="B1723" t="str">
        <f>IFERROR(VLOOKUP($A1723,'[5]Study Budget Mapping '!$O$2:$P$532,2,0),"TBA")</f>
        <v>TBA</v>
      </c>
      <c r="D1723" s="2" t="s">
        <v>331</v>
      </c>
      <c r="E1723" s="2" t="s">
        <v>22</v>
      </c>
      <c r="F1723" s="3">
        <v>835750</v>
      </c>
      <c r="G1723" s="3">
        <v>950000</v>
      </c>
      <c r="H1723" s="4"/>
      <c r="I1723" s="4"/>
      <c r="J1723" s="4"/>
      <c r="K1723" s="4"/>
      <c r="L1723" s="4"/>
      <c r="M1723" s="4"/>
    </row>
    <row r="1724" spans="1:13" ht="15" customHeight="1" x14ac:dyDescent="0.35">
      <c r="A1724" t="str">
        <f t="shared" si="26"/>
        <v>P672ST01C2731</v>
      </c>
      <c r="B1724" t="str">
        <f>IFERROR(VLOOKUP($A1724,'[5]Study Budget Mapping '!$O$2:$P$532,2,0),"TBA")</f>
        <v>TBA</v>
      </c>
      <c r="D1724" s="2" t="s">
        <v>331</v>
      </c>
      <c r="E1724" s="2" t="s">
        <v>16</v>
      </c>
      <c r="F1724" s="3">
        <v>6223000</v>
      </c>
      <c r="G1724" s="3">
        <v>6100000</v>
      </c>
      <c r="H1724" s="4"/>
      <c r="I1724" s="4"/>
      <c r="J1724" s="4"/>
      <c r="K1724" s="4"/>
      <c r="L1724" s="4"/>
      <c r="M1724" s="4"/>
    </row>
    <row r="1725" spans="1:13" ht="15" customHeight="1" x14ac:dyDescent="0.35">
      <c r="A1725" t="str">
        <f t="shared" si="26"/>
        <v>P672ST01C2731</v>
      </c>
      <c r="B1725" t="str">
        <f>IFERROR(VLOOKUP($A1725,'[5]Study Budget Mapping '!$O$2:$P$532,2,0),"TBA")</f>
        <v>TBA</v>
      </c>
      <c r="D1725" s="2" t="s">
        <v>331</v>
      </c>
      <c r="E1725" s="2" t="s">
        <v>17</v>
      </c>
      <c r="F1725" s="3">
        <v>487000</v>
      </c>
      <c r="G1725" s="3">
        <v>650000</v>
      </c>
      <c r="H1725" s="4"/>
      <c r="I1725" s="4"/>
      <c r="J1725" s="4"/>
      <c r="K1725" s="4"/>
      <c r="L1725" s="4"/>
      <c r="M1725" s="4"/>
    </row>
    <row r="1726" spans="1:13" ht="15" customHeight="1" x14ac:dyDescent="0.35">
      <c r="A1726" t="str">
        <f t="shared" si="26"/>
        <v>P672ST01C2731</v>
      </c>
      <c r="B1726" t="str">
        <f>IFERROR(VLOOKUP($A1726,'[5]Study Budget Mapping '!$O$2:$P$532,2,0),"TBA")</f>
        <v>TBA</v>
      </c>
      <c r="D1726" s="2" t="s">
        <v>331</v>
      </c>
      <c r="E1726" s="2" t="s">
        <v>23</v>
      </c>
      <c r="F1726" s="3">
        <v>0</v>
      </c>
      <c r="G1726" s="3">
        <v>2670000</v>
      </c>
      <c r="H1726" s="4"/>
      <c r="I1726" s="4"/>
      <c r="J1726" s="4"/>
      <c r="K1726" s="4"/>
      <c r="L1726" s="4"/>
      <c r="M1726" s="4"/>
    </row>
    <row r="1727" spans="1:13" ht="15" customHeight="1" x14ac:dyDescent="0.35">
      <c r="A1727" t="str">
        <f t="shared" si="26"/>
        <v>P672ST01C2731</v>
      </c>
      <c r="B1727" t="str">
        <f>IFERROR(VLOOKUP($A1727,'[5]Study Budget Mapping '!$O$2:$P$532,2,0),"TBA")</f>
        <v>TBA</v>
      </c>
      <c r="D1727" s="2" t="s">
        <v>331</v>
      </c>
      <c r="E1727" s="2" t="s">
        <v>24</v>
      </c>
      <c r="F1727" s="3">
        <v>4100000</v>
      </c>
      <c r="G1727" s="3">
        <v>4170000</v>
      </c>
      <c r="H1727" s="4"/>
      <c r="I1727" s="4"/>
      <c r="J1727" s="4"/>
      <c r="K1727" s="4"/>
      <c r="L1727" s="4"/>
      <c r="M1727" s="4"/>
    </row>
    <row r="1728" spans="1:13" ht="15" customHeight="1" x14ac:dyDescent="0.35">
      <c r="A1728" t="str">
        <f t="shared" si="26"/>
        <v>P672ST01C2731</v>
      </c>
      <c r="B1728" t="str">
        <f>IFERROR(VLOOKUP($A1728,'[5]Study Budget Mapping '!$O$2:$P$532,2,0),"TBA")</f>
        <v>TBA</v>
      </c>
      <c r="D1728" s="2" t="s">
        <v>331</v>
      </c>
      <c r="E1728" s="2" t="s">
        <v>32</v>
      </c>
      <c r="F1728" s="3">
        <v>3630000</v>
      </c>
      <c r="G1728" s="3">
        <v>4980000</v>
      </c>
      <c r="H1728" s="4"/>
      <c r="I1728" s="4"/>
      <c r="J1728" s="4"/>
      <c r="K1728" s="4"/>
      <c r="L1728" s="4"/>
      <c r="M1728" s="4"/>
    </row>
    <row r="1729" spans="1:13" ht="15" customHeight="1" x14ac:dyDescent="0.35">
      <c r="A1729" t="str">
        <f t="shared" si="26"/>
        <v>P672ST01C2731</v>
      </c>
      <c r="B1729" t="str">
        <f>IFERROR(VLOOKUP($A1729,'[5]Study Budget Mapping '!$O$2:$P$532,2,0),"TBA")</f>
        <v>TBA</v>
      </c>
      <c r="D1729" s="2" t="s">
        <v>331</v>
      </c>
      <c r="E1729" s="2" t="s">
        <v>274</v>
      </c>
      <c r="F1729" s="3">
        <v>3045000</v>
      </c>
      <c r="G1729" s="3">
        <v>0</v>
      </c>
      <c r="H1729" s="4"/>
      <c r="I1729" s="4"/>
      <c r="J1729" s="4"/>
      <c r="K1729" s="4"/>
      <c r="L1729" s="4"/>
      <c r="M1729" s="4"/>
    </row>
    <row r="1730" spans="1:13" ht="15" customHeight="1" x14ac:dyDescent="0.35">
      <c r="A1730" t="str">
        <f t="shared" si="26"/>
        <v>P672ST13C3811</v>
      </c>
      <c r="B1730" t="str">
        <f>IFERROR(VLOOKUP($A1730,'[5]Study Budget Mapping '!$O$2:$P$532,2,0),"TBA")</f>
        <v>TBA</v>
      </c>
      <c r="D1730" s="2" t="s">
        <v>332</v>
      </c>
      <c r="E1730" s="2" t="s">
        <v>13</v>
      </c>
      <c r="F1730" s="3">
        <v>125750000</v>
      </c>
      <c r="G1730" s="3">
        <v>125750000</v>
      </c>
      <c r="H1730" s="4"/>
      <c r="I1730" s="4"/>
      <c r="J1730" s="4"/>
      <c r="K1730" s="4"/>
      <c r="L1730" s="4"/>
      <c r="M1730" s="4"/>
    </row>
    <row r="1731" spans="1:13" ht="15" customHeight="1" x14ac:dyDescent="0.35">
      <c r="A1731" t="str">
        <f t="shared" ref="A1731:A1794" si="27">TRIM(_xlfn.TEXTBEFORE(D1731,"-",1))</f>
        <v>P672ST13C3811</v>
      </c>
      <c r="B1731" t="str">
        <f>IFERROR(VLOOKUP($A1731,'[5]Study Budget Mapping '!$O$2:$P$532,2,0),"TBA")</f>
        <v>TBA</v>
      </c>
      <c r="D1731" s="2" t="s">
        <v>332</v>
      </c>
      <c r="E1731" s="2" t="s">
        <v>14</v>
      </c>
      <c r="F1731" s="3">
        <v>2710000</v>
      </c>
      <c r="G1731" s="3">
        <v>2710000</v>
      </c>
      <c r="H1731" s="4"/>
      <c r="I1731" s="4"/>
      <c r="J1731" s="4"/>
      <c r="K1731" s="4"/>
      <c r="L1731" s="4"/>
      <c r="M1731" s="4"/>
    </row>
    <row r="1732" spans="1:13" ht="15" customHeight="1" x14ac:dyDescent="0.35">
      <c r="A1732" t="str">
        <f t="shared" si="27"/>
        <v>P672ST13C3811</v>
      </c>
      <c r="B1732" t="str">
        <f>IFERROR(VLOOKUP($A1732,'[5]Study Budget Mapping '!$O$2:$P$532,2,0),"TBA")</f>
        <v>TBA</v>
      </c>
      <c r="D1732" s="2" t="s">
        <v>332</v>
      </c>
      <c r="E1732" s="2" t="s">
        <v>20</v>
      </c>
      <c r="F1732" s="3">
        <v>2920000</v>
      </c>
      <c r="G1732" s="3">
        <v>2920000</v>
      </c>
      <c r="H1732" s="4"/>
      <c r="I1732" s="4"/>
      <c r="J1732" s="4"/>
      <c r="K1732" s="4"/>
      <c r="L1732" s="4"/>
      <c r="M1732" s="4"/>
    </row>
    <row r="1733" spans="1:13" ht="15" customHeight="1" x14ac:dyDescent="0.35">
      <c r="A1733" t="str">
        <f t="shared" si="27"/>
        <v>P672ST13C3811</v>
      </c>
      <c r="B1733" t="str">
        <f>IFERROR(VLOOKUP($A1733,'[5]Study Budget Mapping '!$O$2:$P$532,2,0),"TBA")</f>
        <v>TBA</v>
      </c>
      <c r="D1733" s="2" t="s">
        <v>332</v>
      </c>
      <c r="E1733" s="2" t="s">
        <v>21</v>
      </c>
      <c r="F1733" s="3">
        <v>8960000</v>
      </c>
      <c r="G1733" s="3">
        <v>8960000</v>
      </c>
      <c r="H1733" s="4"/>
      <c r="I1733" s="4"/>
      <c r="J1733" s="4"/>
      <c r="K1733" s="4"/>
      <c r="L1733" s="4"/>
      <c r="M1733" s="4"/>
    </row>
    <row r="1734" spans="1:13" ht="15" customHeight="1" x14ac:dyDescent="0.35">
      <c r="A1734" t="str">
        <f t="shared" si="27"/>
        <v>P672ST13C3811</v>
      </c>
      <c r="B1734" t="str">
        <f>IFERROR(VLOOKUP($A1734,'[5]Study Budget Mapping '!$O$2:$P$532,2,0),"TBA")</f>
        <v>TBA</v>
      </c>
      <c r="D1734" s="2" t="s">
        <v>332</v>
      </c>
      <c r="E1734" s="2" t="s">
        <v>15</v>
      </c>
      <c r="F1734" s="3">
        <v>17570000</v>
      </c>
      <c r="G1734" s="3">
        <v>17570000</v>
      </c>
      <c r="H1734" s="4"/>
      <c r="I1734" s="4"/>
      <c r="J1734" s="4"/>
      <c r="K1734" s="4"/>
      <c r="L1734" s="4"/>
      <c r="M1734" s="4"/>
    </row>
    <row r="1735" spans="1:13" ht="15" customHeight="1" x14ac:dyDescent="0.35">
      <c r="A1735" t="str">
        <f t="shared" si="27"/>
        <v>P672ST13C3811</v>
      </c>
      <c r="B1735" t="str">
        <f>IFERROR(VLOOKUP($A1735,'[5]Study Budget Mapping '!$O$2:$P$532,2,0),"TBA")</f>
        <v>TBA</v>
      </c>
      <c r="D1735" s="2" t="s">
        <v>332</v>
      </c>
      <c r="E1735" s="2" t="s">
        <v>22</v>
      </c>
      <c r="F1735" s="3">
        <v>2885000</v>
      </c>
      <c r="G1735" s="3">
        <v>2885000</v>
      </c>
      <c r="H1735" s="4"/>
      <c r="I1735" s="4"/>
      <c r="J1735" s="4"/>
      <c r="K1735" s="4"/>
      <c r="L1735" s="4"/>
      <c r="M1735" s="4"/>
    </row>
    <row r="1736" spans="1:13" ht="15" customHeight="1" x14ac:dyDescent="0.35">
      <c r="A1736" t="str">
        <f t="shared" si="27"/>
        <v>P672ST13C3811</v>
      </c>
      <c r="B1736" t="str">
        <f>IFERROR(VLOOKUP($A1736,'[5]Study Budget Mapping '!$O$2:$P$532,2,0),"TBA")</f>
        <v>TBA</v>
      </c>
      <c r="D1736" s="2" t="s">
        <v>332</v>
      </c>
      <c r="E1736" s="2" t="s">
        <v>16</v>
      </c>
      <c r="F1736" s="3">
        <v>2540000</v>
      </c>
      <c r="G1736" s="3">
        <v>2540000</v>
      </c>
      <c r="H1736" s="4"/>
      <c r="I1736" s="4"/>
      <c r="J1736" s="4"/>
      <c r="K1736" s="4"/>
      <c r="L1736" s="4"/>
      <c r="M1736" s="4"/>
    </row>
    <row r="1737" spans="1:13" ht="15" customHeight="1" x14ac:dyDescent="0.35">
      <c r="A1737" t="str">
        <f t="shared" si="27"/>
        <v>P672ST13C3811</v>
      </c>
      <c r="B1737" t="str">
        <f>IFERROR(VLOOKUP($A1737,'[5]Study Budget Mapping '!$O$2:$P$532,2,0),"TBA")</f>
        <v>TBA</v>
      </c>
      <c r="D1737" s="2" t="s">
        <v>332</v>
      </c>
      <c r="E1737" s="2" t="s">
        <v>17</v>
      </c>
      <c r="F1737" s="3">
        <v>780000</v>
      </c>
      <c r="G1737" s="3">
        <v>780000</v>
      </c>
      <c r="H1737" s="4"/>
      <c r="I1737" s="4"/>
      <c r="J1737" s="4"/>
      <c r="K1737" s="4"/>
      <c r="L1737" s="4"/>
      <c r="M1737" s="4"/>
    </row>
    <row r="1738" spans="1:13" ht="15" customHeight="1" x14ac:dyDescent="0.35">
      <c r="A1738" t="str">
        <f t="shared" si="27"/>
        <v>P672ST13C3811</v>
      </c>
      <c r="B1738" t="str">
        <f>IFERROR(VLOOKUP($A1738,'[5]Study Budget Mapping '!$O$2:$P$532,2,0),"TBA")</f>
        <v>TBA</v>
      </c>
      <c r="D1738" s="2" t="s">
        <v>332</v>
      </c>
      <c r="E1738" s="2" t="s">
        <v>23</v>
      </c>
      <c r="F1738" s="3">
        <v>1490000</v>
      </c>
      <c r="G1738" s="3">
        <v>1490000</v>
      </c>
      <c r="H1738" s="4"/>
      <c r="I1738" s="4"/>
      <c r="J1738" s="4"/>
      <c r="K1738" s="4"/>
      <c r="L1738" s="4"/>
      <c r="M1738" s="4"/>
    </row>
    <row r="1739" spans="1:13" ht="15" customHeight="1" x14ac:dyDescent="0.35">
      <c r="A1739" t="str">
        <f t="shared" si="27"/>
        <v>P672ST13C3811</v>
      </c>
      <c r="B1739" t="str">
        <f>IFERROR(VLOOKUP($A1739,'[5]Study Budget Mapping '!$O$2:$P$532,2,0),"TBA")</f>
        <v>TBA</v>
      </c>
      <c r="D1739" s="2" t="s">
        <v>332</v>
      </c>
      <c r="E1739" s="2" t="s">
        <v>24</v>
      </c>
      <c r="F1739" s="3">
        <v>1160000</v>
      </c>
      <c r="G1739" s="3">
        <v>1160000</v>
      </c>
      <c r="H1739" s="4"/>
      <c r="I1739" s="4"/>
      <c r="J1739" s="4"/>
      <c r="K1739" s="4"/>
      <c r="L1739" s="4"/>
      <c r="M1739" s="4"/>
    </row>
    <row r="1740" spans="1:13" ht="15" customHeight="1" x14ac:dyDescent="0.35">
      <c r="A1740" t="str">
        <f t="shared" si="27"/>
        <v>P672ST06C2431</v>
      </c>
      <c r="B1740" t="str">
        <f>IFERROR(VLOOKUP($A1740,'[5]Study Budget Mapping '!$O$2:$P$532,2,0),"TBA")</f>
        <v>TBA</v>
      </c>
      <c r="D1740" s="2" t="s">
        <v>333</v>
      </c>
      <c r="E1740" s="2" t="s">
        <v>15</v>
      </c>
      <c r="F1740" s="3">
        <v>6000000</v>
      </c>
      <c r="G1740" s="3">
        <v>6000000</v>
      </c>
      <c r="H1740" s="4"/>
      <c r="I1740" s="4"/>
      <c r="J1740" s="4"/>
      <c r="K1740" s="4"/>
      <c r="L1740" s="4"/>
      <c r="M1740" s="4"/>
    </row>
    <row r="1741" spans="1:13" ht="15" customHeight="1" x14ac:dyDescent="0.35">
      <c r="A1741" t="str">
        <f t="shared" si="27"/>
        <v>P672ST07C2631</v>
      </c>
      <c r="B1741" t="str">
        <f>IFERROR(VLOOKUP($A1741,'[5]Study Budget Mapping '!$O$2:$P$532,2,0),"TBA")</f>
        <v>TBA</v>
      </c>
      <c r="D1741" s="2" t="s">
        <v>334</v>
      </c>
      <c r="E1741" s="2" t="s">
        <v>15</v>
      </c>
      <c r="F1741" s="3">
        <v>6000000</v>
      </c>
      <c r="G1741" s="3">
        <v>6000000</v>
      </c>
      <c r="H1741" s="4"/>
      <c r="I1741" s="4"/>
      <c r="J1741" s="4"/>
      <c r="K1741" s="4"/>
      <c r="L1741" s="4"/>
      <c r="M1741" s="4"/>
    </row>
    <row r="1742" spans="1:13" ht="15" customHeight="1" x14ac:dyDescent="0.35">
      <c r="A1742" t="str">
        <f t="shared" si="27"/>
        <v>P672ST09C2631</v>
      </c>
      <c r="B1742" t="str">
        <f>IFERROR(VLOOKUP($A1742,'[5]Study Budget Mapping '!$O$2:$P$532,2,0),"TBA")</f>
        <v>TBA</v>
      </c>
      <c r="D1742" s="2" t="s">
        <v>335</v>
      </c>
      <c r="E1742" s="2" t="s">
        <v>13</v>
      </c>
      <c r="F1742" s="3">
        <v>22650000</v>
      </c>
      <c r="G1742" s="3">
        <v>22650000</v>
      </c>
      <c r="H1742" s="4"/>
      <c r="I1742" s="4"/>
      <c r="J1742" s="4"/>
      <c r="K1742" s="4"/>
      <c r="L1742" s="4"/>
      <c r="M1742" s="4"/>
    </row>
    <row r="1743" spans="1:13" ht="15" customHeight="1" x14ac:dyDescent="0.35">
      <c r="A1743" t="str">
        <f t="shared" si="27"/>
        <v>P672ST09C2631</v>
      </c>
      <c r="B1743" t="str">
        <f>IFERROR(VLOOKUP($A1743,'[5]Study Budget Mapping '!$O$2:$P$532,2,0),"TBA")</f>
        <v>TBA</v>
      </c>
      <c r="D1743" s="2" t="s">
        <v>335</v>
      </c>
      <c r="E1743" s="2" t="s">
        <v>14</v>
      </c>
      <c r="F1743" s="3">
        <v>1820000</v>
      </c>
      <c r="G1743" s="3">
        <v>1820000</v>
      </c>
      <c r="H1743" s="4"/>
      <c r="I1743" s="4"/>
      <c r="J1743" s="4"/>
      <c r="K1743" s="4"/>
      <c r="L1743" s="4"/>
      <c r="M1743" s="4"/>
    </row>
    <row r="1744" spans="1:13" ht="15" customHeight="1" x14ac:dyDescent="0.35">
      <c r="A1744" t="str">
        <f t="shared" si="27"/>
        <v>P672ST09C2631</v>
      </c>
      <c r="B1744" t="str">
        <f>IFERROR(VLOOKUP($A1744,'[5]Study Budget Mapping '!$O$2:$P$532,2,0),"TBA")</f>
        <v>TBA</v>
      </c>
      <c r="D1744" s="2" t="s">
        <v>335</v>
      </c>
      <c r="E1744" s="2" t="s">
        <v>20</v>
      </c>
      <c r="F1744" s="3">
        <v>920000</v>
      </c>
      <c r="G1744" s="3">
        <v>920000</v>
      </c>
      <c r="H1744" s="4"/>
      <c r="I1744" s="4"/>
      <c r="J1744" s="4"/>
      <c r="K1744" s="4"/>
      <c r="L1744" s="4"/>
      <c r="M1744" s="4"/>
    </row>
    <row r="1745" spans="1:13" ht="15" customHeight="1" x14ac:dyDescent="0.35">
      <c r="A1745" t="str">
        <f t="shared" si="27"/>
        <v>P672ST09C2631</v>
      </c>
      <c r="B1745" t="str">
        <f>IFERROR(VLOOKUP($A1745,'[5]Study Budget Mapping '!$O$2:$P$532,2,0),"TBA")</f>
        <v>TBA</v>
      </c>
      <c r="D1745" s="2" t="s">
        <v>335</v>
      </c>
      <c r="E1745" s="2" t="s">
        <v>15</v>
      </c>
      <c r="F1745" s="3">
        <v>11650000</v>
      </c>
      <c r="G1745" s="3">
        <v>11650000</v>
      </c>
      <c r="H1745" s="4"/>
      <c r="I1745" s="4"/>
      <c r="J1745" s="4"/>
      <c r="K1745" s="4"/>
      <c r="L1745" s="4"/>
      <c r="M1745" s="4"/>
    </row>
    <row r="1746" spans="1:13" ht="15" customHeight="1" x14ac:dyDescent="0.35">
      <c r="A1746" t="str">
        <f t="shared" si="27"/>
        <v>P672ST09C2631</v>
      </c>
      <c r="B1746" t="str">
        <f>IFERROR(VLOOKUP($A1746,'[5]Study Budget Mapping '!$O$2:$P$532,2,0),"TBA")</f>
        <v>TBA</v>
      </c>
      <c r="D1746" s="2" t="s">
        <v>335</v>
      </c>
      <c r="E1746" s="2" t="s">
        <v>22</v>
      </c>
      <c r="F1746" s="3">
        <v>3220000</v>
      </c>
      <c r="G1746" s="3">
        <v>3220000</v>
      </c>
      <c r="H1746" s="4"/>
      <c r="I1746" s="4"/>
      <c r="J1746" s="4"/>
      <c r="K1746" s="4"/>
      <c r="L1746" s="4"/>
      <c r="M1746" s="4"/>
    </row>
    <row r="1747" spans="1:13" ht="15" customHeight="1" x14ac:dyDescent="0.35">
      <c r="A1747" t="str">
        <f t="shared" si="27"/>
        <v>P672ST09C2631</v>
      </c>
      <c r="B1747" t="str">
        <f>IFERROR(VLOOKUP($A1747,'[5]Study Budget Mapping '!$O$2:$P$532,2,0),"TBA")</f>
        <v>TBA</v>
      </c>
      <c r="D1747" s="2" t="s">
        <v>335</v>
      </c>
      <c r="E1747" s="2" t="s">
        <v>16</v>
      </c>
      <c r="F1747" s="3">
        <v>2500000</v>
      </c>
      <c r="G1747" s="3">
        <v>2500000</v>
      </c>
      <c r="H1747" s="4"/>
      <c r="I1747" s="4"/>
      <c r="J1747" s="4"/>
      <c r="K1747" s="4"/>
      <c r="L1747" s="4"/>
      <c r="M1747" s="4"/>
    </row>
    <row r="1748" spans="1:13" ht="15" customHeight="1" x14ac:dyDescent="0.35">
      <c r="A1748" t="str">
        <f t="shared" si="27"/>
        <v>P672ST09C2631</v>
      </c>
      <c r="B1748" t="str">
        <f>IFERROR(VLOOKUP($A1748,'[5]Study Budget Mapping '!$O$2:$P$532,2,0),"TBA")</f>
        <v>TBA</v>
      </c>
      <c r="D1748" s="2" t="s">
        <v>335</v>
      </c>
      <c r="E1748" s="2" t="s">
        <v>17</v>
      </c>
      <c r="F1748" s="3">
        <v>780000</v>
      </c>
      <c r="G1748" s="3">
        <v>780000</v>
      </c>
      <c r="H1748" s="4"/>
      <c r="I1748" s="4"/>
      <c r="J1748" s="4"/>
      <c r="K1748" s="4"/>
      <c r="L1748" s="4"/>
      <c r="M1748" s="4"/>
    </row>
    <row r="1749" spans="1:13" ht="15" customHeight="1" x14ac:dyDescent="0.35">
      <c r="A1749" t="str">
        <f t="shared" si="27"/>
        <v>P672ST09C2631</v>
      </c>
      <c r="B1749" t="str">
        <f>IFERROR(VLOOKUP($A1749,'[5]Study Budget Mapping '!$O$2:$P$532,2,0),"TBA")</f>
        <v>TBA</v>
      </c>
      <c r="D1749" s="2" t="s">
        <v>335</v>
      </c>
      <c r="E1749" s="2" t="s">
        <v>23</v>
      </c>
      <c r="F1749" s="3">
        <v>821000</v>
      </c>
      <c r="G1749" s="3">
        <v>821000</v>
      </c>
      <c r="H1749" s="4"/>
      <c r="I1749" s="4"/>
      <c r="J1749" s="4"/>
      <c r="K1749" s="4"/>
      <c r="L1749" s="4"/>
      <c r="M1749" s="4"/>
    </row>
    <row r="1750" spans="1:13" ht="15" customHeight="1" x14ac:dyDescent="0.35">
      <c r="A1750" t="str">
        <f t="shared" si="27"/>
        <v>P672ST09C2631</v>
      </c>
      <c r="B1750" t="str">
        <f>IFERROR(VLOOKUP($A1750,'[5]Study Budget Mapping '!$O$2:$P$532,2,0),"TBA")</f>
        <v>TBA</v>
      </c>
      <c r="D1750" s="2" t="s">
        <v>335</v>
      </c>
      <c r="E1750" s="2" t="s">
        <v>24</v>
      </c>
      <c r="F1750" s="3">
        <v>1535000</v>
      </c>
      <c r="G1750" s="3">
        <v>1535000</v>
      </c>
      <c r="H1750" s="4"/>
      <c r="I1750" s="4"/>
      <c r="J1750" s="4"/>
      <c r="K1750" s="4"/>
      <c r="L1750" s="4"/>
      <c r="M1750" s="4"/>
    </row>
    <row r="1751" spans="1:13" ht="15" customHeight="1" x14ac:dyDescent="0.35">
      <c r="A1751" t="str">
        <f t="shared" si="27"/>
        <v>P672ST09C2631</v>
      </c>
      <c r="B1751" t="str">
        <f>IFERROR(VLOOKUP($A1751,'[5]Study Budget Mapping '!$O$2:$P$532,2,0),"TBA")</f>
        <v>TBA</v>
      </c>
      <c r="D1751" s="2" t="s">
        <v>335</v>
      </c>
      <c r="E1751" s="2" t="s">
        <v>32</v>
      </c>
      <c r="F1751" s="3">
        <v>341000</v>
      </c>
      <c r="G1751" s="3">
        <v>341000</v>
      </c>
      <c r="H1751" s="4"/>
      <c r="I1751" s="4"/>
      <c r="J1751" s="4"/>
      <c r="K1751" s="4"/>
      <c r="L1751" s="4"/>
      <c r="M1751" s="4"/>
    </row>
    <row r="1752" spans="1:13" ht="15" customHeight="1" x14ac:dyDescent="0.35">
      <c r="A1752" t="str">
        <f t="shared" si="27"/>
        <v>P672ST13C2631</v>
      </c>
      <c r="B1752" t="str">
        <f>IFERROR(VLOOKUP($A1752,'[5]Study Budget Mapping '!$O$2:$P$532,2,0),"TBA")</f>
        <v>TBA</v>
      </c>
      <c r="D1752" s="2" t="s">
        <v>336</v>
      </c>
      <c r="E1752" s="2" t="s">
        <v>13</v>
      </c>
      <c r="F1752" s="3">
        <v>3900000</v>
      </c>
      <c r="G1752" s="3">
        <v>3900000</v>
      </c>
      <c r="H1752" s="4"/>
      <c r="I1752" s="4"/>
      <c r="J1752" s="4"/>
      <c r="K1752" s="4"/>
      <c r="L1752" s="4"/>
      <c r="M1752" s="4"/>
    </row>
    <row r="1753" spans="1:13" ht="15" customHeight="1" x14ac:dyDescent="0.35">
      <c r="A1753" t="str">
        <f t="shared" si="27"/>
        <v>P672ST13C2631</v>
      </c>
      <c r="B1753" t="str">
        <f>IFERROR(VLOOKUP($A1753,'[5]Study Budget Mapping '!$O$2:$P$532,2,0),"TBA")</f>
        <v>TBA</v>
      </c>
      <c r="D1753" s="2" t="s">
        <v>336</v>
      </c>
      <c r="E1753" s="2" t="s">
        <v>19</v>
      </c>
      <c r="F1753" s="3">
        <v>60000</v>
      </c>
      <c r="G1753" s="3">
        <v>60000</v>
      </c>
      <c r="H1753" s="4"/>
      <c r="I1753" s="4"/>
      <c r="J1753" s="4"/>
      <c r="K1753" s="4"/>
      <c r="L1753" s="4"/>
      <c r="M1753" s="4"/>
    </row>
    <row r="1754" spans="1:13" ht="15" customHeight="1" x14ac:dyDescent="0.35">
      <c r="A1754" t="str">
        <f t="shared" si="27"/>
        <v>P672ST13C2631</v>
      </c>
      <c r="B1754" t="str">
        <f>IFERROR(VLOOKUP($A1754,'[5]Study Budget Mapping '!$O$2:$P$532,2,0),"TBA")</f>
        <v>TBA</v>
      </c>
      <c r="D1754" s="2" t="s">
        <v>336</v>
      </c>
      <c r="E1754" s="2" t="s">
        <v>20</v>
      </c>
      <c r="F1754" s="3">
        <v>320000</v>
      </c>
      <c r="G1754" s="3">
        <v>320000</v>
      </c>
      <c r="H1754" s="4"/>
      <c r="I1754" s="4"/>
      <c r="J1754" s="4"/>
      <c r="K1754" s="4"/>
      <c r="L1754" s="4"/>
      <c r="M1754" s="4"/>
    </row>
    <row r="1755" spans="1:13" ht="15" customHeight="1" x14ac:dyDescent="0.35">
      <c r="A1755" t="str">
        <f t="shared" si="27"/>
        <v>P672ST13C2631</v>
      </c>
      <c r="B1755" t="str">
        <f>IFERROR(VLOOKUP($A1755,'[5]Study Budget Mapping '!$O$2:$P$532,2,0),"TBA")</f>
        <v>TBA</v>
      </c>
      <c r="D1755" s="2" t="s">
        <v>336</v>
      </c>
      <c r="E1755" s="2" t="s">
        <v>15</v>
      </c>
      <c r="F1755" s="3">
        <v>1560000</v>
      </c>
      <c r="G1755" s="3">
        <v>1560000</v>
      </c>
      <c r="H1755" s="4"/>
      <c r="I1755" s="4"/>
      <c r="J1755" s="4"/>
      <c r="K1755" s="4"/>
      <c r="L1755" s="4"/>
      <c r="M1755" s="4"/>
    </row>
    <row r="1756" spans="1:13" ht="15" customHeight="1" x14ac:dyDescent="0.35">
      <c r="A1756" t="str">
        <f t="shared" si="27"/>
        <v>P672ST13C2631</v>
      </c>
      <c r="B1756" t="str">
        <f>IFERROR(VLOOKUP($A1756,'[5]Study Budget Mapping '!$O$2:$P$532,2,0),"TBA")</f>
        <v>TBA</v>
      </c>
      <c r="D1756" s="2" t="s">
        <v>336</v>
      </c>
      <c r="E1756" s="2" t="s">
        <v>22</v>
      </c>
      <c r="F1756" s="3">
        <v>660000</v>
      </c>
      <c r="G1756" s="3">
        <v>660000</v>
      </c>
      <c r="H1756" s="4"/>
      <c r="I1756" s="4"/>
      <c r="J1756" s="4"/>
      <c r="K1756" s="4"/>
      <c r="L1756" s="4"/>
      <c r="M1756" s="4"/>
    </row>
    <row r="1757" spans="1:13" ht="15" customHeight="1" x14ac:dyDescent="0.35">
      <c r="A1757" t="str">
        <f t="shared" si="27"/>
        <v>P672ST13C2631</v>
      </c>
      <c r="B1757" t="str">
        <f>IFERROR(VLOOKUP($A1757,'[5]Study Budget Mapping '!$O$2:$P$532,2,0),"TBA")</f>
        <v>TBA</v>
      </c>
      <c r="D1757" s="2" t="s">
        <v>336</v>
      </c>
      <c r="E1757" s="2" t="s">
        <v>16</v>
      </c>
      <c r="F1757" s="3">
        <v>150000</v>
      </c>
      <c r="G1757" s="3">
        <v>150000</v>
      </c>
      <c r="H1757" s="4"/>
      <c r="I1757" s="4"/>
      <c r="J1757" s="4"/>
      <c r="K1757" s="4"/>
      <c r="L1757" s="4"/>
      <c r="M1757" s="4"/>
    </row>
    <row r="1758" spans="1:13" ht="15" customHeight="1" x14ac:dyDescent="0.35">
      <c r="A1758" t="str">
        <f t="shared" si="27"/>
        <v>P673ST20C6311</v>
      </c>
      <c r="B1758" t="str">
        <f>IFERROR(VLOOKUP($A1758,'[5]Study Budget Mapping '!$O$2:$P$532,2,0),"TBA")</f>
        <v>TBA</v>
      </c>
      <c r="D1758" s="2" t="s">
        <v>337</v>
      </c>
      <c r="E1758" s="2" t="s">
        <v>13</v>
      </c>
      <c r="F1758" s="3">
        <v>1490000</v>
      </c>
      <c r="G1758" s="3">
        <v>1320000</v>
      </c>
      <c r="H1758" s="4"/>
      <c r="I1758" s="4"/>
      <c r="J1758" s="4"/>
      <c r="K1758" s="4"/>
      <c r="L1758" s="4"/>
      <c r="M1758" s="4"/>
    </row>
    <row r="1759" spans="1:13" ht="15" customHeight="1" x14ac:dyDescent="0.35">
      <c r="A1759" t="str">
        <f t="shared" si="27"/>
        <v>P673ST20C6311</v>
      </c>
      <c r="B1759" t="str">
        <f>IFERROR(VLOOKUP($A1759,'[5]Study Budget Mapping '!$O$2:$P$532,2,0),"TBA")</f>
        <v>TBA</v>
      </c>
      <c r="D1759" s="2" t="s">
        <v>337</v>
      </c>
      <c r="E1759" s="2" t="s">
        <v>14</v>
      </c>
      <c r="F1759" s="3">
        <v>40000</v>
      </c>
      <c r="G1759" s="3">
        <v>40000</v>
      </c>
      <c r="H1759" s="4"/>
      <c r="I1759" s="4"/>
      <c r="J1759" s="4"/>
      <c r="K1759" s="4"/>
      <c r="L1759" s="4"/>
      <c r="M1759" s="4"/>
    </row>
    <row r="1760" spans="1:13" ht="15" customHeight="1" x14ac:dyDescent="0.35">
      <c r="A1760" t="str">
        <f t="shared" si="27"/>
        <v>P673ST20C6311</v>
      </c>
      <c r="B1760" t="str">
        <f>IFERROR(VLOOKUP($A1760,'[5]Study Budget Mapping '!$O$2:$P$532,2,0),"TBA")</f>
        <v>TBA</v>
      </c>
      <c r="D1760" s="2" t="s">
        <v>337</v>
      </c>
      <c r="E1760" s="2" t="s">
        <v>20</v>
      </c>
      <c r="F1760" s="3">
        <v>0</v>
      </c>
      <c r="G1760" s="3">
        <v>190000</v>
      </c>
      <c r="H1760" s="4"/>
      <c r="I1760" s="4"/>
      <c r="J1760" s="4"/>
      <c r="K1760" s="4"/>
      <c r="L1760" s="4"/>
      <c r="M1760" s="4"/>
    </row>
    <row r="1761" spans="1:13" ht="15" customHeight="1" x14ac:dyDescent="0.35">
      <c r="A1761" t="str">
        <f t="shared" si="27"/>
        <v>P673ST20C6311</v>
      </c>
      <c r="B1761" t="str">
        <f>IFERROR(VLOOKUP($A1761,'[5]Study Budget Mapping '!$O$2:$P$532,2,0),"TBA")</f>
        <v>TBA</v>
      </c>
      <c r="D1761" s="2" t="s">
        <v>337</v>
      </c>
      <c r="E1761" s="2" t="s">
        <v>15</v>
      </c>
      <c r="F1761" s="3">
        <v>438000</v>
      </c>
      <c r="G1761" s="3">
        <v>0</v>
      </c>
      <c r="H1761" s="4"/>
      <c r="I1761" s="4"/>
      <c r="J1761" s="4"/>
      <c r="K1761" s="4"/>
      <c r="L1761" s="4"/>
      <c r="M1761" s="4"/>
    </row>
    <row r="1762" spans="1:13" ht="15" customHeight="1" x14ac:dyDescent="0.35">
      <c r="A1762" t="str">
        <f t="shared" si="27"/>
        <v>P673ST20C6311</v>
      </c>
      <c r="B1762" t="str">
        <f>IFERROR(VLOOKUP($A1762,'[5]Study Budget Mapping '!$O$2:$P$532,2,0),"TBA")</f>
        <v>TBA</v>
      </c>
      <c r="D1762" s="2" t="s">
        <v>337</v>
      </c>
      <c r="E1762" s="2" t="s">
        <v>16</v>
      </c>
      <c r="F1762" s="3">
        <v>2000</v>
      </c>
      <c r="G1762" s="3">
        <v>0</v>
      </c>
      <c r="H1762" s="4"/>
      <c r="I1762" s="4"/>
      <c r="J1762" s="4"/>
      <c r="K1762" s="4"/>
      <c r="L1762" s="4"/>
      <c r="M1762" s="4"/>
    </row>
    <row r="1763" spans="1:13" ht="15" customHeight="1" x14ac:dyDescent="0.35">
      <c r="A1763" t="str">
        <f t="shared" si="27"/>
        <v>P673ST20C6311</v>
      </c>
      <c r="B1763" t="str">
        <f>IFERROR(VLOOKUP($A1763,'[5]Study Budget Mapping '!$O$2:$P$532,2,0),"TBA")</f>
        <v>TBA</v>
      </c>
      <c r="D1763" s="2" t="s">
        <v>337</v>
      </c>
      <c r="E1763" s="2" t="s">
        <v>17</v>
      </c>
      <c r="F1763" s="3">
        <v>0</v>
      </c>
      <c r="G1763" s="3">
        <v>90000</v>
      </c>
      <c r="H1763" s="4"/>
      <c r="I1763" s="4"/>
      <c r="J1763" s="4"/>
      <c r="K1763" s="4"/>
      <c r="L1763" s="4"/>
      <c r="M1763" s="4"/>
    </row>
    <row r="1764" spans="1:13" ht="15" customHeight="1" x14ac:dyDescent="0.35">
      <c r="A1764" t="str">
        <f t="shared" si="27"/>
        <v>P673ST20C6311</v>
      </c>
      <c r="B1764" t="str">
        <f>IFERROR(VLOOKUP($A1764,'[5]Study Budget Mapping '!$O$2:$P$532,2,0),"TBA")</f>
        <v>TBA</v>
      </c>
      <c r="D1764" s="2" t="s">
        <v>337</v>
      </c>
      <c r="E1764" s="2" t="s">
        <v>23</v>
      </c>
      <c r="F1764" s="3">
        <v>0</v>
      </c>
      <c r="G1764" s="3">
        <v>580000</v>
      </c>
      <c r="H1764" s="4"/>
      <c r="I1764" s="4"/>
      <c r="J1764" s="4"/>
      <c r="K1764" s="4"/>
      <c r="L1764" s="4"/>
      <c r="M1764" s="4"/>
    </row>
    <row r="1765" spans="1:13" ht="15" customHeight="1" x14ac:dyDescent="0.35">
      <c r="A1765" t="str">
        <f t="shared" si="27"/>
        <v>P674CV00C1021</v>
      </c>
      <c r="B1765" t="str">
        <f>IFERROR(VLOOKUP($A1765,'[5]Study Budget Mapping '!$O$2:$P$532,2,0),"TBA")</f>
        <v>TBA</v>
      </c>
      <c r="D1765" s="2" t="s">
        <v>338</v>
      </c>
      <c r="E1765" s="2" t="s">
        <v>13</v>
      </c>
      <c r="F1765" s="3">
        <v>849031.43</v>
      </c>
      <c r="G1765" s="3">
        <v>1370000</v>
      </c>
      <c r="H1765" s="4"/>
      <c r="I1765" s="4"/>
      <c r="J1765" s="4"/>
      <c r="K1765" s="4"/>
      <c r="L1765" s="4"/>
      <c r="M1765" s="4"/>
    </row>
    <row r="1766" spans="1:13" ht="15" customHeight="1" x14ac:dyDescent="0.35">
      <c r="A1766" t="str">
        <f t="shared" si="27"/>
        <v>P674CV00C1021</v>
      </c>
      <c r="B1766" t="str">
        <f>IFERROR(VLOOKUP($A1766,'[5]Study Budget Mapping '!$O$2:$P$532,2,0),"TBA")</f>
        <v>TBA</v>
      </c>
      <c r="D1766" s="2" t="s">
        <v>338</v>
      </c>
      <c r="E1766" s="2" t="s">
        <v>14</v>
      </c>
      <c r="F1766" s="3">
        <v>455954</v>
      </c>
      <c r="G1766" s="3">
        <v>860000</v>
      </c>
      <c r="H1766" s="4"/>
      <c r="I1766" s="4"/>
      <c r="J1766" s="4"/>
      <c r="K1766" s="4"/>
      <c r="L1766" s="4"/>
      <c r="M1766" s="4"/>
    </row>
    <row r="1767" spans="1:13" ht="15" customHeight="1" x14ac:dyDescent="0.35">
      <c r="A1767" t="str">
        <f t="shared" si="27"/>
        <v>P674CV00C1021</v>
      </c>
      <c r="B1767" t="str">
        <f>IFERROR(VLOOKUP($A1767,'[5]Study Budget Mapping '!$O$2:$P$532,2,0),"TBA")</f>
        <v>TBA</v>
      </c>
      <c r="D1767" s="2" t="s">
        <v>338</v>
      </c>
      <c r="E1767" s="2" t="s">
        <v>17</v>
      </c>
      <c r="F1767" s="3">
        <v>65080</v>
      </c>
      <c r="G1767" s="3">
        <v>100000</v>
      </c>
      <c r="H1767" s="4"/>
      <c r="I1767" s="4"/>
      <c r="J1767" s="4"/>
      <c r="K1767" s="4"/>
      <c r="L1767" s="4"/>
      <c r="M1767" s="4"/>
    </row>
    <row r="1768" spans="1:13" ht="15" customHeight="1" x14ac:dyDescent="0.35">
      <c r="A1768" t="str">
        <f t="shared" si="27"/>
        <v>P674CV00C1021</v>
      </c>
      <c r="B1768" t="str">
        <f>IFERROR(VLOOKUP($A1768,'[5]Study Budget Mapping '!$O$2:$P$532,2,0),"TBA")</f>
        <v>TBA</v>
      </c>
      <c r="D1768" s="2" t="s">
        <v>338</v>
      </c>
      <c r="E1768" s="2" t="s">
        <v>23</v>
      </c>
      <c r="F1768" s="3">
        <v>190680</v>
      </c>
      <c r="G1768" s="3">
        <v>290000</v>
      </c>
      <c r="H1768" s="4"/>
      <c r="I1768" s="4"/>
      <c r="J1768" s="4"/>
      <c r="K1768" s="4"/>
      <c r="L1768" s="4"/>
      <c r="M1768" s="4"/>
    </row>
    <row r="1769" spans="1:13" ht="15" customHeight="1" x14ac:dyDescent="0.35">
      <c r="A1769" t="str">
        <f t="shared" si="27"/>
        <v>P674CV00C1021</v>
      </c>
      <c r="B1769" t="str">
        <f>IFERROR(VLOOKUP($A1769,'[5]Study Budget Mapping '!$O$2:$P$532,2,0),"TBA")</f>
        <v>TBA</v>
      </c>
      <c r="D1769" s="2" t="s">
        <v>338</v>
      </c>
      <c r="E1769" s="2" t="s">
        <v>24</v>
      </c>
      <c r="F1769" s="3">
        <v>37306</v>
      </c>
      <c r="G1769" s="3">
        <v>50000</v>
      </c>
      <c r="H1769" s="4"/>
      <c r="I1769" s="4"/>
      <c r="J1769" s="4"/>
      <c r="K1769" s="4"/>
      <c r="L1769" s="4"/>
      <c r="M1769" s="4"/>
    </row>
    <row r="1770" spans="1:13" ht="15" customHeight="1" x14ac:dyDescent="0.35">
      <c r="A1770" t="str">
        <f t="shared" si="27"/>
        <v>P674CV00C1021</v>
      </c>
      <c r="B1770" t="str">
        <f>IFERROR(VLOOKUP($A1770,'[5]Study Budget Mapping '!$O$2:$P$532,2,0),"TBA")</f>
        <v>TBA</v>
      </c>
      <c r="D1770" s="2" t="s">
        <v>338</v>
      </c>
      <c r="E1770" s="2" t="s">
        <v>32</v>
      </c>
      <c r="F1770" s="3">
        <v>237780</v>
      </c>
      <c r="G1770" s="3">
        <v>430000</v>
      </c>
      <c r="H1770" s="4"/>
      <c r="I1770" s="4"/>
      <c r="J1770" s="4"/>
      <c r="K1770" s="4"/>
      <c r="L1770" s="4"/>
      <c r="M1770" s="4"/>
    </row>
    <row r="1771" spans="1:13" ht="15" customHeight="1" x14ac:dyDescent="0.35">
      <c r="A1771" t="str">
        <f t="shared" si="27"/>
        <v>P674CV00C1022</v>
      </c>
      <c r="B1771" t="str">
        <f>IFERROR(VLOOKUP($A1771,'[5]Study Budget Mapping '!$O$2:$P$532,2,0),"TBA")</f>
        <v>TBA</v>
      </c>
      <c r="D1771" s="2" t="s">
        <v>339</v>
      </c>
      <c r="E1771" s="2" t="s">
        <v>13</v>
      </c>
      <c r="F1771" s="3">
        <v>670000</v>
      </c>
      <c r="G1771" s="3">
        <v>670000</v>
      </c>
      <c r="H1771" s="4"/>
      <c r="I1771" s="4"/>
      <c r="J1771" s="4"/>
      <c r="K1771" s="4"/>
      <c r="L1771" s="4"/>
      <c r="M1771" s="4"/>
    </row>
    <row r="1772" spans="1:13" ht="15" customHeight="1" x14ac:dyDescent="0.35">
      <c r="A1772" t="str">
        <f t="shared" si="27"/>
        <v>P674CV00C1022</v>
      </c>
      <c r="B1772" t="str">
        <f>IFERROR(VLOOKUP($A1772,'[5]Study Budget Mapping '!$O$2:$P$532,2,0),"TBA")</f>
        <v>TBA</v>
      </c>
      <c r="D1772" s="2" t="s">
        <v>339</v>
      </c>
      <c r="E1772" s="2" t="s">
        <v>14</v>
      </c>
      <c r="F1772" s="3">
        <v>220000</v>
      </c>
      <c r="G1772" s="3">
        <v>220000</v>
      </c>
      <c r="H1772" s="4"/>
      <c r="I1772" s="4"/>
      <c r="J1772" s="4"/>
      <c r="K1772" s="4"/>
      <c r="L1772" s="4"/>
      <c r="M1772" s="4"/>
    </row>
    <row r="1773" spans="1:13" ht="15" customHeight="1" x14ac:dyDescent="0.35">
      <c r="A1773" t="str">
        <f t="shared" si="27"/>
        <v>P674CV00C1022</v>
      </c>
      <c r="B1773" t="str">
        <f>IFERROR(VLOOKUP($A1773,'[5]Study Budget Mapping '!$O$2:$P$532,2,0),"TBA")</f>
        <v>TBA</v>
      </c>
      <c r="D1773" s="2" t="s">
        <v>339</v>
      </c>
      <c r="E1773" s="2" t="s">
        <v>19</v>
      </c>
      <c r="F1773" s="3">
        <v>10000</v>
      </c>
      <c r="G1773" s="3">
        <v>10000</v>
      </c>
      <c r="H1773" s="4"/>
      <c r="I1773" s="4"/>
      <c r="J1773" s="4"/>
      <c r="K1773" s="4"/>
      <c r="L1773" s="4"/>
      <c r="M1773" s="4"/>
    </row>
    <row r="1774" spans="1:13" ht="15" customHeight="1" x14ac:dyDescent="0.35">
      <c r="A1774" t="str">
        <f t="shared" si="27"/>
        <v>P674CV00C1022</v>
      </c>
      <c r="B1774" t="str">
        <f>IFERROR(VLOOKUP($A1774,'[5]Study Budget Mapping '!$O$2:$P$532,2,0),"TBA")</f>
        <v>TBA</v>
      </c>
      <c r="D1774" s="2" t="s">
        <v>339</v>
      </c>
      <c r="E1774" s="2" t="s">
        <v>17</v>
      </c>
      <c r="F1774" s="3">
        <v>90000</v>
      </c>
      <c r="G1774" s="3">
        <v>90000</v>
      </c>
      <c r="H1774" s="4"/>
      <c r="I1774" s="4"/>
      <c r="J1774" s="4"/>
      <c r="K1774" s="4"/>
      <c r="L1774" s="4"/>
      <c r="M1774" s="4"/>
    </row>
    <row r="1775" spans="1:13" ht="15" customHeight="1" x14ac:dyDescent="0.35">
      <c r="A1775" t="str">
        <f t="shared" si="27"/>
        <v>P674CV00C1022</v>
      </c>
      <c r="B1775" t="str">
        <f>IFERROR(VLOOKUP($A1775,'[5]Study Budget Mapping '!$O$2:$P$532,2,0),"TBA")</f>
        <v>TBA</v>
      </c>
      <c r="D1775" s="2" t="s">
        <v>339</v>
      </c>
      <c r="E1775" s="2" t="s">
        <v>24</v>
      </c>
      <c r="F1775" s="3">
        <v>70000</v>
      </c>
      <c r="G1775" s="3">
        <v>70000</v>
      </c>
      <c r="H1775" s="4"/>
      <c r="I1775" s="4"/>
      <c r="J1775" s="4"/>
      <c r="K1775" s="4"/>
      <c r="L1775" s="4"/>
      <c r="M1775" s="4"/>
    </row>
    <row r="1776" spans="1:13" ht="15" customHeight="1" x14ac:dyDescent="0.35">
      <c r="A1776" t="str">
        <f t="shared" si="27"/>
        <v>P674CV00C1022</v>
      </c>
      <c r="B1776" t="str">
        <f>IFERROR(VLOOKUP($A1776,'[5]Study Budget Mapping '!$O$2:$P$532,2,0),"TBA")</f>
        <v>TBA</v>
      </c>
      <c r="D1776" s="2" t="s">
        <v>339</v>
      </c>
      <c r="E1776" s="2" t="s">
        <v>32</v>
      </c>
      <c r="F1776" s="3">
        <v>250000</v>
      </c>
      <c r="G1776" s="3">
        <v>250000</v>
      </c>
      <c r="H1776" s="4"/>
      <c r="I1776" s="4"/>
      <c r="J1776" s="4"/>
      <c r="K1776" s="4"/>
      <c r="L1776" s="4"/>
      <c r="M1776" s="4"/>
    </row>
    <row r="1777" spans="1:13" ht="15" customHeight="1" x14ac:dyDescent="0.35">
      <c r="A1777" t="str">
        <f t="shared" si="27"/>
        <v>P674CV00C1023</v>
      </c>
      <c r="B1777" t="str">
        <f>IFERROR(VLOOKUP($A1777,'[5]Study Budget Mapping '!$O$2:$P$532,2,0),"TBA")</f>
        <v>TBA</v>
      </c>
      <c r="D1777" s="2" t="s">
        <v>340</v>
      </c>
      <c r="E1777" s="2" t="s">
        <v>13</v>
      </c>
      <c r="F1777" s="3">
        <v>710000</v>
      </c>
      <c r="G1777" s="3">
        <v>725000</v>
      </c>
      <c r="H1777" s="4"/>
      <c r="I1777" s="4"/>
      <c r="J1777" s="4"/>
      <c r="K1777" s="4"/>
      <c r="L1777" s="4"/>
      <c r="M1777" s="4"/>
    </row>
    <row r="1778" spans="1:13" ht="15" customHeight="1" x14ac:dyDescent="0.35">
      <c r="A1778" t="str">
        <f t="shared" si="27"/>
        <v>P674CV00C1023</v>
      </c>
      <c r="B1778" t="str">
        <f>IFERROR(VLOOKUP($A1778,'[5]Study Budget Mapping '!$O$2:$P$532,2,0),"TBA")</f>
        <v>TBA</v>
      </c>
      <c r="D1778" s="2" t="s">
        <v>340</v>
      </c>
      <c r="E1778" s="2" t="s">
        <v>14</v>
      </c>
      <c r="F1778" s="3">
        <v>121000</v>
      </c>
      <c r="G1778" s="3">
        <v>126000</v>
      </c>
      <c r="H1778" s="4"/>
      <c r="I1778" s="4"/>
      <c r="J1778" s="4"/>
      <c r="K1778" s="4"/>
      <c r="L1778" s="4"/>
      <c r="M1778" s="4"/>
    </row>
    <row r="1779" spans="1:13" ht="15" customHeight="1" x14ac:dyDescent="0.35">
      <c r="A1779" t="str">
        <f t="shared" si="27"/>
        <v>P674CV00C1023</v>
      </c>
      <c r="B1779" t="str">
        <f>IFERROR(VLOOKUP($A1779,'[5]Study Budget Mapping '!$O$2:$P$532,2,0),"TBA")</f>
        <v>TBA</v>
      </c>
      <c r="D1779" s="2" t="s">
        <v>340</v>
      </c>
      <c r="E1779" s="2" t="s">
        <v>19</v>
      </c>
      <c r="F1779" s="3">
        <v>3000</v>
      </c>
      <c r="G1779" s="3">
        <v>5000</v>
      </c>
      <c r="H1779" s="4"/>
      <c r="I1779" s="4"/>
      <c r="J1779" s="4"/>
      <c r="K1779" s="4"/>
      <c r="L1779" s="4"/>
      <c r="M1779" s="4"/>
    </row>
    <row r="1780" spans="1:13" ht="15" customHeight="1" x14ac:dyDescent="0.35">
      <c r="A1780" t="str">
        <f t="shared" si="27"/>
        <v>P674CV00C1023</v>
      </c>
      <c r="B1780" t="str">
        <f>IFERROR(VLOOKUP($A1780,'[5]Study Budget Mapping '!$O$2:$P$532,2,0),"TBA")</f>
        <v>TBA</v>
      </c>
      <c r="D1780" s="2" t="s">
        <v>340</v>
      </c>
      <c r="E1780" s="2" t="s">
        <v>17</v>
      </c>
      <c r="F1780" s="3">
        <v>98000</v>
      </c>
      <c r="G1780" s="3">
        <v>110000</v>
      </c>
      <c r="H1780" s="4"/>
      <c r="I1780" s="4"/>
      <c r="J1780" s="4"/>
      <c r="K1780" s="4"/>
      <c r="L1780" s="4"/>
      <c r="M1780" s="4"/>
    </row>
    <row r="1781" spans="1:13" ht="15" customHeight="1" x14ac:dyDescent="0.35">
      <c r="A1781" t="str">
        <f t="shared" si="27"/>
        <v>P674CV00C1023</v>
      </c>
      <c r="B1781" t="str">
        <f>IFERROR(VLOOKUP($A1781,'[5]Study Budget Mapping '!$O$2:$P$532,2,0),"TBA")</f>
        <v>TBA</v>
      </c>
      <c r="D1781" s="2" t="s">
        <v>340</v>
      </c>
      <c r="E1781" s="2" t="s">
        <v>24</v>
      </c>
      <c r="F1781" s="3">
        <v>28000</v>
      </c>
      <c r="G1781" s="3">
        <v>28000</v>
      </c>
      <c r="H1781" s="4"/>
      <c r="I1781" s="4"/>
      <c r="J1781" s="4"/>
      <c r="K1781" s="4"/>
      <c r="L1781" s="4"/>
      <c r="M1781" s="4"/>
    </row>
    <row r="1782" spans="1:13" ht="15" customHeight="1" x14ac:dyDescent="0.35">
      <c r="A1782" t="str">
        <f t="shared" si="27"/>
        <v>P674CV00C1024</v>
      </c>
      <c r="B1782" t="str">
        <f>IFERROR(VLOOKUP($A1782,'[5]Study Budget Mapping '!$O$2:$P$532,2,0),"TBA")</f>
        <v>TBA</v>
      </c>
      <c r="D1782" s="2" t="s">
        <v>341</v>
      </c>
      <c r="E1782" s="2" t="s">
        <v>13</v>
      </c>
      <c r="F1782" s="3">
        <v>1260000</v>
      </c>
      <c r="G1782" s="3">
        <v>2680000</v>
      </c>
      <c r="H1782" s="4"/>
      <c r="I1782" s="4"/>
      <c r="J1782" s="4"/>
      <c r="K1782" s="4"/>
      <c r="L1782" s="4"/>
      <c r="M1782" s="4"/>
    </row>
    <row r="1783" spans="1:13" ht="15" customHeight="1" x14ac:dyDescent="0.35">
      <c r="A1783" t="str">
        <f t="shared" si="27"/>
        <v>P674CV00C1024</v>
      </c>
      <c r="B1783" t="str">
        <f>IFERROR(VLOOKUP($A1783,'[5]Study Budget Mapping '!$O$2:$P$532,2,0),"TBA")</f>
        <v>TBA</v>
      </c>
      <c r="D1783" s="2" t="s">
        <v>341</v>
      </c>
      <c r="E1783" s="2" t="s">
        <v>14</v>
      </c>
      <c r="F1783" s="3">
        <v>410000</v>
      </c>
      <c r="G1783" s="3">
        <v>540000</v>
      </c>
      <c r="H1783" s="4"/>
      <c r="I1783" s="4"/>
      <c r="J1783" s="4"/>
      <c r="K1783" s="4"/>
      <c r="L1783" s="4"/>
      <c r="M1783" s="4"/>
    </row>
    <row r="1784" spans="1:13" ht="15" customHeight="1" x14ac:dyDescent="0.35">
      <c r="A1784" t="str">
        <f t="shared" si="27"/>
        <v>P674CV00C1024</v>
      </c>
      <c r="B1784" t="str">
        <f>IFERROR(VLOOKUP($A1784,'[5]Study Budget Mapping '!$O$2:$P$532,2,0),"TBA")</f>
        <v>TBA</v>
      </c>
      <c r="D1784" s="2" t="s">
        <v>341</v>
      </c>
      <c r="E1784" s="2" t="s">
        <v>19</v>
      </c>
      <c r="F1784" s="3">
        <v>20000</v>
      </c>
      <c r="G1784" s="3">
        <v>20000</v>
      </c>
      <c r="H1784" s="4"/>
      <c r="I1784" s="4"/>
      <c r="J1784" s="4"/>
      <c r="K1784" s="4"/>
      <c r="L1784" s="4"/>
      <c r="M1784" s="4"/>
    </row>
    <row r="1785" spans="1:13" ht="15" customHeight="1" x14ac:dyDescent="0.35">
      <c r="A1785" t="str">
        <f t="shared" si="27"/>
        <v>P674CV00C1024</v>
      </c>
      <c r="B1785" t="str">
        <f>IFERROR(VLOOKUP($A1785,'[5]Study Budget Mapping '!$O$2:$P$532,2,0),"TBA")</f>
        <v>TBA</v>
      </c>
      <c r="D1785" s="2" t="s">
        <v>341</v>
      </c>
      <c r="E1785" s="2" t="s">
        <v>22</v>
      </c>
      <c r="F1785" s="3">
        <v>0</v>
      </c>
      <c r="G1785" s="3">
        <v>442000</v>
      </c>
      <c r="H1785" s="4"/>
      <c r="I1785" s="4"/>
      <c r="J1785" s="4"/>
      <c r="K1785" s="4"/>
      <c r="L1785" s="4"/>
      <c r="M1785" s="4"/>
    </row>
    <row r="1786" spans="1:13" ht="15" customHeight="1" x14ac:dyDescent="0.35">
      <c r="A1786" t="str">
        <f t="shared" si="27"/>
        <v>P674CV00C1024</v>
      </c>
      <c r="B1786" t="str">
        <f>IFERROR(VLOOKUP($A1786,'[5]Study Budget Mapping '!$O$2:$P$532,2,0),"TBA")</f>
        <v>TBA</v>
      </c>
      <c r="D1786" s="2" t="s">
        <v>341</v>
      </c>
      <c r="E1786" s="2" t="s">
        <v>17</v>
      </c>
      <c r="F1786" s="3">
        <v>100000</v>
      </c>
      <c r="G1786" s="3">
        <v>120000</v>
      </c>
      <c r="H1786" s="4"/>
      <c r="I1786" s="4"/>
      <c r="J1786" s="4"/>
      <c r="K1786" s="4"/>
      <c r="L1786" s="4"/>
      <c r="M1786" s="4"/>
    </row>
    <row r="1787" spans="1:13" ht="15" customHeight="1" x14ac:dyDescent="0.35">
      <c r="A1787" t="str">
        <f t="shared" si="27"/>
        <v>P674CV00C1024</v>
      </c>
      <c r="B1787" t="str">
        <f>IFERROR(VLOOKUP($A1787,'[5]Study Budget Mapping '!$O$2:$P$532,2,0),"TBA")</f>
        <v>TBA</v>
      </c>
      <c r="D1787" s="2" t="s">
        <v>341</v>
      </c>
      <c r="E1787" s="2" t="s">
        <v>24</v>
      </c>
      <c r="F1787" s="3">
        <v>50000</v>
      </c>
      <c r="G1787" s="3">
        <v>50000</v>
      </c>
      <c r="H1787" s="4"/>
      <c r="I1787" s="4"/>
      <c r="J1787" s="4"/>
      <c r="K1787" s="4"/>
      <c r="L1787" s="4"/>
      <c r="M1787" s="4"/>
    </row>
    <row r="1788" spans="1:13" ht="15" customHeight="1" x14ac:dyDescent="0.35">
      <c r="A1788" t="str">
        <f t="shared" si="27"/>
        <v>P674CV00C1024</v>
      </c>
      <c r="B1788" t="str">
        <f>IFERROR(VLOOKUP($A1788,'[5]Study Budget Mapping '!$O$2:$P$532,2,0),"TBA")</f>
        <v>TBA</v>
      </c>
      <c r="D1788" s="2" t="s">
        <v>341</v>
      </c>
      <c r="E1788" s="2" t="s">
        <v>32</v>
      </c>
      <c r="F1788" s="3">
        <v>100000</v>
      </c>
      <c r="G1788" s="3">
        <v>180000</v>
      </c>
      <c r="H1788" s="4"/>
      <c r="I1788" s="4"/>
      <c r="J1788" s="4"/>
      <c r="K1788" s="4"/>
      <c r="L1788" s="4"/>
      <c r="M1788" s="4"/>
    </row>
    <row r="1789" spans="1:13" ht="15" customHeight="1" x14ac:dyDescent="0.35">
      <c r="A1789" t="str">
        <f t="shared" si="27"/>
        <v>P674CV00C2421</v>
      </c>
      <c r="B1789" t="str">
        <f>IFERROR(VLOOKUP($A1789,'[5]Study Budget Mapping '!$O$2:$P$532,2,0),"TBA")</f>
        <v>TBA</v>
      </c>
      <c r="D1789" s="2" t="s">
        <v>342</v>
      </c>
      <c r="E1789" s="2" t="s">
        <v>13</v>
      </c>
      <c r="F1789" s="3">
        <v>2400000</v>
      </c>
      <c r="G1789" s="3">
        <v>2400000</v>
      </c>
      <c r="H1789" s="4"/>
      <c r="I1789" s="4"/>
      <c r="J1789" s="4"/>
      <c r="K1789" s="4"/>
      <c r="L1789" s="4"/>
      <c r="M1789" s="4"/>
    </row>
    <row r="1790" spans="1:13" ht="15" customHeight="1" x14ac:dyDescent="0.35">
      <c r="A1790" t="str">
        <f t="shared" si="27"/>
        <v>P674CV00C2421</v>
      </c>
      <c r="B1790" t="str">
        <f>IFERROR(VLOOKUP($A1790,'[5]Study Budget Mapping '!$O$2:$P$532,2,0),"TBA")</f>
        <v>TBA</v>
      </c>
      <c r="D1790" s="2" t="s">
        <v>342</v>
      </c>
      <c r="E1790" s="2" t="s">
        <v>14</v>
      </c>
      <c r="F1790" s="3">
        <v>2000000</v>
      </c>
      <c r="G1790" s="3">
        <v>2000000</v>
      </c>
      <c r="H1790" s="4"/>
      <c r="I1790" s="4"/>
      <c r="J1790" s="4"/>
      <c r="K1790" s="4"/>
      <c r="L1790" s="4"/>
      <c r="M1790" s="4"/>
    </row>
    <row r="1791" spans="1:13" ht="15" customHeight="1" x14ac:dyDescent="0.35">
      <c r="A1791" t="str">
        <f t="shared" si="27"/>
        <v>P674CV00C2421</v>
      </c>
      <c r="B1791" t="str">
        <f>IFERROR(VLOOKUP($A1791,'[5]Study Budget Mapping '!$O$2:$P$532,2,0),"TBA")</f>
        <v>TBA</v>
      </c>
      <c r="D1791" s="2" t="s">
        <v>342</v>
      </c>
      <c r="E1791" s="2" t="s">
        <v>19</v>
      </c>
      <c r="F1791" s="3">
        <v>1200000</v>
      </c>
      <c r="G1791" s="3">
        <v>1200000</v>
      </c>
      <c r="H1791" s="4"/>
      <c r="I1791" s="4"/>
      <c r="J1791" s="4"/>
      <c r="K1791" s="4"/>
      <c r="L1791" s="4"/>
      <c r="M1791" s="4"/>
    </row>
    <row r="1792" spans="1:13" ht="15" customHeight="1" x14ac:dyDescent="0.35">
      <c r="A1792" t="str">
        <f t="shared" si="27"/>
        <v>P674CV00C2421</v>
      </c>
      <c r="B1792" t="str">
        <f>IFERROR(VLOOKUP($A1792,'[5]Study Budget Mapping '!$O$2:$P$532,2,0),"TBA")</f>
        <v>TBA</v>
      </c>
      <c r="D1792" s="2" t="s">
        <v>342</v>
      </c>
      <c r="E1792" s="2" t="s">
        <v>15</v>
      </c>
      <c r="F1792" s="3">
        <v>5680000</v>
      </c>
      <c r="G1792" s="3">
        <v>5680000</v>
      </c>
      <c r="H1792" s="4"/>
      <c r="I1792" s="4"/>
      <c r="J1792" s="4"/>
      <c r="K1792" s="4"/>
      <c r="L1792" s="4"/>
      <c r="M1792" s="4"/>
    </row>
    <row r="1793" spans="1:13" ht="15" customHeight="1" x14ac:dyDescent="0.35">
      <c r="A1793" t="str">
        <f t="shared" si="27"/>
        <v>P674CV00C2421</v>
      </c>
      <c r="B1793" t="str">
        <f>IFERROR(VLOOKUP($A1793,'[5]Study Budget Mapping '!$O$2:$P$532,2,0),"TBA")</f>
        <v>TBA</v>
      </c>
      <c r="D1793" s="2" t="s">
        <v>342</v>
      </c>
      <c r="E1793" s="2" t="s">
        <v>16</v>
      </c>
      <c r="F1793" s="3">
        <v>2960000</v>
      </c>
      <c r="G1793" s="3">
        <v>2960000</v>
      </c>
      <c r="H1793" s="4"/>
      <c r="I1793" s="4"/>
      <c r="J1793" s="4"/>
      <c r="K1793" s="4"/>
      <c r="L1793" s="4"/>
      <c r="M1793" s="4"/>
    </row>
    <row r="1794" spans="1:13" ht="15" customHeight="1" x14ac:dyDescent="0.35">
      <c r="A1794" t="str">
        <f t="shared" si="27"/>
        <v>P674CV00C2421</v>
      </c>
      <c r="B1794" t="str">
        <f>IFERROR(VLOOKUP($A1794,'[5]Study Budget Mapping '!$O$2:$P$532,2,0),"TBA")</f>
        <v>TBA</v>
      </c>
      <c r="D1794" s="2" t="s">
        <v>342</v>
      </c>
      <c r="E1794" s="2" t="s">
        <v>17</v>
      </c>
      <c r="F1794" s="3">
        <v>240000</v>
      </c>
      <c r="G1794" s="3">
        <v>240000</v>
      </c>
      <c r="H1794" s="4"/>
      <c r="I1794" s="4"/>
      <c r="J1794" s="4"/>
      <c r="K1794" s="4"/>
      <c r="L1794" s="4"/>
      <c r="M1794" s="4"/>
    </row>
    <row r="1795" spans="1:13" ht="15" customHeight="1" x14ac:dyDescent="0.35">
      <c r="A1795" t="str">
        <f t="shared" ref="A1795:A1858" si="28">TRIM(_xlfn.TEXTBEFORE(D1795,"-",1))</f>
        <v>P674CV00C2421</v>
      </c>
      <c r="B1795" t="str">
        <f>IFERROR(VLOOKUP($A1795,'[5]Study Budget Mapping '!$O$2:$P$532,2,0),"TBA")</f>
        <v>TBA</v>
      </c>
      <c r="D1795" s="2" t="s">
        <v>342</v>
      </c>
      <c r="E1795" s="2" t="s">
        <v>23</v>
      </c>
      <c r="F1795" s="3">
        <v>260000</v>
      </c>
      <c r="G1795" s="3">
        <v>260000</v>
      </c>
      <c r="H1795" s="4"/>
      <c r="I1795" s="4"/>
      <c r="J1795" s="4"/>
      <c r="K1795" s="4"/>
      <c r="L1795" s="4"/>
      <c r="M1795" s="4"/>
    </row>
    <row r="1796" spans="1:13" ht="15" customHeight="1" x14ac:dyDescent="0.35">
      <c r="A1796" t="str">
        <f t="shared" si="28"/>
        <v>P674CV00C2421</v>
      </c>
      <c r="B1796" t="str">
        <f>IFERROR(VLOOKUP($A1796,'[5]Study Budget Mapping '!$O$2:$P$532,2,0),"TBA")</f>
        <v>TBA</v>
      </c>
      <c r="D1796" s="2" t="s">
        <v>342</v>
      </c>
      <c r="E1796" s="2" t="s">
        <v>24</v>
      </c>
      <c r="F1796" s="3">
        <v>2500000</v>
      </c>
      <c r="G1796" s="3">
        <v>2500000</v>
      </c>
      <c r="H1796" s="4"/>
      <c r="I1796" s="4"/>
      <c r="J1796" s="4"/>
      <c r="K1796" s="4"/>
      <c r="L1796" s="4"/>
      <c r="M1796" s="4"/>
    </row>
    <row r="1797" spans="1:13" ht="15" customHeight="1" x14ac:dyDescent="0.35">
      <c r="A1797" t="str">
        <f t="shared" si="28"/>
        <v>P674CV00C2422</v>
      </c>
      <c r="B1797" t="str">
        <f>IFERROR(VLOOKUP($A1797,'[5]Study Budget Mapping '!$O$2:$P$532,2,0),"TBA")</f>
        <v>TBA</v>
      </c>
      <c r="D1797" s="2" t="s">
        <v>343</v>
      </c>
      <c r="E1797" s="2" t="s">
        <v>13</v>
      </c>
      <c r="F1797" s="3">
        <v>700000</v>
      </c>
      <c r="G1797" s="3">
        <v>700000</v>
      </c>
      <c r="H1797" s="4"/>
      <c r="I1797" s="4"/>
      <c r="J1797" s="4"/>
      <c r="K1797" s="4"/>
      <c r="L1797" s="4"/>
      <c r="M1797" s="4"/>
    </row>
    <row r="1798" spans="1:13" ht="15" customHeight="1" x14ac:dyDescent="0.35">
      <c r="A1798" t="str">
        <f t="shared" si="28"/>
        <v>P674CV00C2422</v>
      </c>
      <c r="B1798" t="str">
        <f>IFERROR(VLOOKUP($A1798,'[5]Study Budget Mapping '!$O$2:$P$532,2,0),"TBA")</f>
        <v>TBA</v>
      </c>
      <c r="D1798" s="2" t="s">
        <v>343</v>
      </c>
      <c r="E1798" s="2" t="s">
        <v>14</v>
      </c>
      <c r="F1798" s="3">
        <v>790000</v>
      </c>
      <c r="G1798" s="3">
        <v>790000</v>
      </c>
      <c r="H1798" s="4"/>
      <c r="I1798" s="4"/>
      <c r="J1798" s="4"/>
      <c r="K1798" s="4"/>
      <c r="L1798" s="4"/>
      <c r="M1798" s="4"/>
    </row>
    <row r="1799" spans="1:13" ht="15" customHeight="1" x14ac:dyDescent="0.35">
      <c r="A1799" t="str">
        <f t="shared" si="28"/>
        <v>P674CV00C2422</v>
      </c>
      <c r="B1799" t="str">
        <f>IFERROR(VLOOKUP($A1799,'[5]Study Budget Mapping '!$O$2:$P$532,2,0),"TBA")</f>
        <v>TBA</v>
      </c>
      <c r="D1799" s="2" t="s">
        <v>343</v>
      </c>
      <c r="E1799" s="2" t="s">
        <v>19</v>
      </c>
      <c r="F1799" s="3">
        <v>905000</v>
      </c>
      <c r="G1799" s="3">
        <v>905000</v>
      </c>
      <c r="H1799" s="4"/>
      <c r="I1799" s="4"/>
      <c r="J1799" s="4"/>
      <c r="K1799" s="4"/>
      <c r="L1799" s="4"/>
      <c r="M1799" s="4"/>
    </row>
    <row r="1800" spans="1:13" ht="15" customHeight="1" x14ac:dyDescent="0.35">
      <c r="A1800" t="str">
        <f t="shared" si="28"/>
        <v>P674CV00C2422</v>
      </c>
      <c r="B1800" t="str">
        <f>IFERROR(VLOOKUP($A1800,'[5]Study Budget Mapping '!$O$2:$P$532,2,0),"TBA")</f>
        <v>TBA</v>
      </c>
      <c r="D1800" s="2" t="s">
        <v>343</v>
      </c>
      <c r="E1800" s="2" t="s">
        <v>17</v>
      </c>
      <c r="F1800" s="3">
        <v>220000</v>
      </c>
      <c r="G1800" s="3">
        <v>220000</v>
      </c>
      <c r="H1800" s="4"/>
      <c r="I1800" s="4"/>
      <c r="J1800" s="4"/>
      <c r="K1800" s="4"/>
      <c r="L1800" s="4"/>
      <c r="M1800" s="4"/>
    </row>
    <row r="1801" spans="1:13" ht="15" customHeight="1" x14ac:dyDescent="0.35">
      <c r="A1801" t="str">
        <f t="shared" si="28"/>
        <v>P674CV00C2422</v>
      </c>
      <c r="B1801" t="str">
        <f>IFERROR(VLOOKUP($A1801,'[5]Study Budget Mapping '!$O$2:$P$532,2,0),"TBA")</f>
        <v>TBA</v>
      </c>
      <c r="D1801" s="2" t="s">
        <v>343</v>
      </c>
      <c r="E1801" s="2" t="s">
        <v>24</v>
      </c>
      <c r="F1801" s="3">
        <v>180000</v>
      </c>
      <c r="G1801" s="3">
        <v>180000</v>
      </c>
      <c r="H1801" s="4"/>
      <c r="I1801" s="4"/>
      <c r="J1801" s="4"/>
      <c r="K1801" s="4"/>
      <c r="L1801" s="4"/>
      <c r="M1801" s="4"/>
    </row>
    <row r="1802" spans="1:13" ht="15" customHeight="1" x14ac:dyDescent="0.35">
      <c r="A1802" t="str">
        <f t="shared" si="28"/>
        <v>P674CV00C2422</v>
      </c>
      <c r="B1802" t="str">
        <f>IFERROR(VLOOKUP($A1802,'[5]Study Budget Mapping '!$O$2:$P$532,2,0),"TBA")</f>
        <v>TBA</v>
      </c>
      <c r="D1802" s="2" t="s">
        <v>343</v>
      </c>
      <c r="E1802" s="2" t="s">
        <v>32</v>
      </c>
      <c r="F1802" s="3">
        <v>250000</v>
      </c>
      <c r="G1802" s="3">
        <v>250000</v>
      </c>
      <c r="H1802" s="4"/>
      <c r="I1802" s="4"/>
      <c r="J1802" s="4"/>
      <c r="K1802" s="4"/>
      <c r="L1802" s="4"/>
      <c r="M1802" s="4"/>
    </row>
    <row r="1803" spans="1:13" ht="15" customHeight="1" x14ac:dyDescent="0.35">
      <c r="A1803" t="str">
        <f t="shared" si="28"/>
        <v>P674CV00C2431</v>
      </c>
      <c r="B1803" t="str">
        <f>IFERROR(VLOOKUP($A1803,'[5]Study Budget Mapping '!$O$2:$P$532,2,0),"TBA")</f>
        <v>TBA</v>
      </c>
      <c r="D1803" s="2" t="s">
        <v>344</v>
      </c>
      <c r="E1803" s="2" t="s">
        <v>13</v>
      </c>
      <c r="F1803" s="3">
        <v>600000</v>
      </c>
      <c r="G1803" s="3">
        <v>680000</v>
      </c>
      <c r="H1803" s="4"/>
      <c r="I1803" s="4"/>
      <c r="J1803" s="4"/>
      <c r="K1803" s="4"/>
      <c r="L1803" s="4"/>
      <c r="M1803" s="4"/>
    </row>
    <row r="1804" spans="1:13" ht="15" customHeight="1" x14ac:dyDescent="0.35">
      <c r="A1804" t="str">
        <f t="shared" si="28"/>
        <v>P674CV00C2431</v>
      </c>
      <c r="B1804" t="str">
        <f>IFERROR(VLOOKUP($A1804,'[5]Study Budget Mapping '!$O$2:$P$532,2,0),"TBA")</f>
        <v>TBA</v>
      </c>
      <c r="D1804" s="2" t="s">
        <v>344</v>
      </c>
      <c r="E1804" s="2" t="s">
        <v>14</v>
      </c>
      <c r="F1804" s="3">
        <v>360000</v>
      </c>
      <c r="G1804" s="3">
        <v>830000</v>
      </c>
      <c r="H1804" s="4"/>
      <c r="I1804" s="4"/>
      <c r="J1804" s="4"/>
      <c r="K1804" s="4"/>
      <c r="L1804" s="4"/>
      <c r="M1804" s="4"/>
    </row>
    <row r="1805" spans="1:13" ht="15" customHeight="1" x14ac:dyDescent="0.35">
      <c r="A1805" t="str">
        <f t="shared" si="28"/>
        <v>P674CV00C2431</v>
      </c>
      <c r="B1805" t="str">
        <f>IFERROR(VLOOKUP($A1805,'[5]Study Budget Mapping '!$O$2:$P$532,2,0),"TBA")</f>
        <v>TBA</v>
      </c>
      <c r="D1805" s="2" t="s">
        <v>344</v>
      </c>
      <c r="E1805" s="2" t="s">
        <v>19</v>
      </c>
      <c r="F1805" s="3">
        <v>1344000</v>
      </c>
      <c r="G1805" s="3">
        <v>2050000</v>
      </c>
      <c r="H1805" s="4"/>
      <c r="I1805" s="4"/>
      <c r="J1805" s="4"/>
      <c r="K1805" s="4"/>
      <c r="L1805" s="4"/>
      <c r="M1805" s="4"/>
    </row>
    <row r="1806" spans="1:13" ht="15" customHeight="1" x14ac:dyDescent="0.35">
      <c r="A1806" t="str">
        <f t="shared" si="28"/>
        <v>P674CV00C2431</v>
      </c>
      <c r="B1806" t="str">
        <f>IFERROR(VLOOKUP($A1806,'[5]Study Budget Mapping '!$O$2:$P$532,2,0),"TBA")</f>
        <v>TBA</v>
      </c>
      <c r="D1806" s="2" t="s">
        <v>344</v>
      </c>
      <c r="E1806" s="2" t="s">
        <v>15</v>
      </c>
      <c r="F1806" s="3">
        <v>2440000</v>
      </c>
      <c r="G1806" s="3">
        <v>3590000</v>
      </c>
      <c r="H1806" s="4"/>
      <c r="I1806" s="4"/>
      <c r="J1806" s="4"/>
      <c r="K1806" s="4"/>
      <c r="L1806" s="4"/>
      <c r="M1806" s="4"/>
    </row>
    <row r="1807" spans="1:13" ht="15" customHeight="1" x14ac:dyDescent="0.35">
      <c r="A1807" t="str">
        <f t="shared" si="28"/>
        <v>P674CV00C2431</v>
      </c>
      <c r="B1807" t="str">
        <f>IFERROR(VLOOKUP($A1807,'[5]Study Budget Mapping '!$O$2:$P$532,2,0),"TBA")</f>
        <v>TBA</v>
      </c>
      <c r="D1807" s="2" t="s">
        <v>344</v>
      </c>
      <c r="E1807" s="2" t="s">
        <v>22</v>
      </c>
      <c r="F1807" s="3">
        <v>0</v>
      </c>
      <c r="G1807" s="3">
        <v>800000</v>
      </c>
      <c r="H1807" s="4"/>
      <c r="I1807" s="4"/>
      <c r="J1807" s="4"/>
      <c r="K1807" s="4"/>
      <c r="L1807" s="4"/>
      <c r="M1807" s="4"/>
    </row>
    <row r="1808" spans="1:13" ht="15" customHeight="1" x14ac:dyDescent="0.35">
      <c r="A1808" t="str">
        <f t="shared" si="28"/>
        <v>P674CV00C2431</v>
      </c>
      <c r="B1808" t="str">
        <f>IFERROR(VLOOKUP($A1808,'[5]Study Budget Mapping '!$O$2:$P$532,2,0),"TBA")</f>
        <v>TBA</v>
      </c>
      <c r="D1808" s="2" t="s">
        <v>344</v>
      </c>
      <c r="E1808" s="2" t="s">
        <v>16</v>
      </c>
      <c r="F1808" s="3">
        <v>2130000</v>
      </c>
      <c r="G1808" s="3">
        <v>1420000</v>
      </c>
      <c r="H1808" s="4"/>
      <c r="I1808" s="4"/>
      <c r="J1808" s="4"/>
      <c r="K1808" s="4"/>
      <c r="L1808" s="4"/>
      <c r="M1808" s="4"/>
    </row>
    <row r="1809" spans="1:13" ht="15" customHeight="1" x14ac:dyDescent="0.35">
      <c r="A1809" t="str">
        <f t="shared" si="28"/>
        <v>P674CV00C2431</v>
      </c>
      <c r="B1809" t="str">
        <f>IFERROR(VLOOKUP($A1809,'[5]Study Budget Mapping '!$O$2:$P$532,2,0),"TBA")</f>
        <v>TBA</v>
      </c>
      <c r="D1809" s="2" t="s">
        <v>344</v>
      </c>
      <c r="E1809" s="2" t="s">
        <v>17</v>
      </c>
      <c r="F1809" s="3">
        <v>235000</v>
      </c>
      <c r="G1809" s="3">
        <v>490000</v>
      </c>
      <c r="H1809" s="4"/>
      <c r="I1809" s="4"/>
      <c r="J1809" s="4"/>
      <c r="K1809" s="4"/>
      <c r="L1809" s="4"/>
      <c r="M1809" s="4"/>
    </row>
    <row r="1810" spans="1:13" ht="15" customHeight="1" x14ac:dyDescent="0.35">
      <c r="A1810" t="str">
        <f t="shared" si="28"/>
        <v>P674CV00C2431</v>
      </c>
      <c r="B1810" t="str">
        <f>IFERROR(VLOOKUP($A1810,'[5]Study Budget Mapping '!$O$2:$P$532,2,0),"TBA")</f>
        <v>TBA</v>
      </c>
      <c r="D1810" s="2" t="s">
        <v>344</v>
      </c>
      <c r="E1810" s="2" t="s">
        <v>26</v>
      </c>
      <c r="F1810" s="3">
        <v>570000</v>
      </c>
      <c r="G1810" s="3">
        <v>650000</v>
      </c>
      <c r="H1810" s="4"/>
      <c r="I1810" s="4"/>
      <c r="J1810" s="4"/>
      <c r="K1810" s="4"/>
      <c r="L1810" s="4"/>
      <c r="M1810" s="4"/>
    </row>
    <row r="1811" spans="1:13" ht="15" customHeight="1" x14ac:dyDescent="0.35">
      <c r="A1811" t="str">
        <f t="shared" si="28"/>
        <v>P674CV00C2431</v>
      </c>
      <c r="B1811" t="str">
        <f>IFERROR(VLOOKUP($A1811,'[5]Study Budget Mapping '!$O$2:$P$532,2,0),"TBA")</f>
        <v>TBA</v>
      </c>
      <c r="D1811" s="2" t="s">
        <v>344</v>
      </c>
      <c r="E1811" s="2" t="s">
        <v>23</v>
      </c>
      <c r="F1811" s="3">
        <v>0</v>
      </c>
      <c r="G1811" s="3">
        <v>225000</v>
      </c>
      <c r="H1811" s="4"/>
      <c r="I1811" s="4"/>
      <c r="J1811" s="4"/>
      <c r="K1811" s="4"/>
      <c r="L1811" s="4"/>
      <c r="M1811" s="4"/>
    </row>
    <row r="1812" spans="1:13" ht="15" customHeight="1" x14ac:dyDescent="0.35">
      <c r="A1812" t="str">
        <f t="shared" si="28"/>
        <v>P674CV00C2431</v>
      </c>
      <c r="B1812" t="str">
        <f>IFERROR(VLOOKUP($A1812,'[5]Study Budget Mapping '!$O$2:$P$532,2,0),"TBA")</f>
        <v>TBA</v>
      </c>
      <c r="D1812" s="2" t="s">
        <v>344</v>
      </c>
      <c r="E1812" s="2" t="s">
        <v>24</v>
      </c>
      <c r="F1812" s="3">
        <v>400000</v>
      </c>
      <c r="G1812" s="3">
        <v>1090000</v>
      </c>
      <c r="H1812" s="4"/>
      <c r="I1812" s="4"/>
      <c r="J1812" s="4"/>
      <c r="K1812" s="4"/>
      <c r="L1812" s="4"/>
      <c r="M1812" s="4"/>
    </row>
    <row r="1813" spans="1:13" ht="15" customHeight="1" x14ac:dyDescent="0.35">
      <c r="A1813" t="str">
        <f t="shared" si="28"/>
        <v>P674CV00C2431</v>
      </c>
      <c r="B1813" t="str">
        <f>IFERROR(VLOOKUP($A1813,'[5]Study Budget Mapping '!$O$2:$P$532,2,0),"TBA")</f>
        <v>TBA</v>
      </c>
      <c r="D1813" s="2" t="s">
        <v>344</v>
      </c>
      <c r="E1813" s="2" t="s">
        <v>32</v>
      </c>
      <c r="F1813" s="3">
        <v>0</v>
      </c>
      <c r="G1813" s="3">
        <v>85000</v>
      </c>
      <c r="H1813" s="4"/>
      <c r="I1813" s="4"/>
      <c r="J1813" s="4"/>
      <c r="K1813" s="4"/>
      <c r="L1813" s="4"/>
      <c r="M1813" s="4"/>
    </row>
    <row r="1814" spans="1:13" ht="15" customHeight="1" x14ac:dyDescent="0.35">
      <c r="A1814" t="str">
        <f t="shared" si="28"/>
        <v>P674CV00C2921</v>
      </c>
      <c r="B1814" t="str">
        <f>IFERROR(VLOOKUP($A1814,'[5]Study Budget Mapping '!$O$2:$P$532,2,0),"TBA")</f>
        <v>TBA</v>
      </c>
      <c r="D1814" s="2" t="s">
        <v>345</v>
      </c>
      <c r="E1814" s="2" t="s">
        <v>13</v>
      </c>
      <c r="F1814" s="3">
        <v>976000</v>
      </c>
      <c r="G1814" s="3">
        <v>1160000</v>
      </c>
      <c r="H1814" s="4"/>
      <c r="I1814" s="4"/>
      <c r="J1814" s="4"/>
      <c r="K1814" s="4"/>
      <c r="L1814" s="4"/>
      <c r="M1814" s="4"/>
    </row>
    <row r="1815" spans="1:13" ht="15" customHeight="1" x14ac:dyDescent="0.35">
      <c r="A1815" t="str">
        <f t="shared" si="28"/>
        <v>P674CV00C2921</v>
      </c>
      <c r="B1815" t="str">
        <f>IFERROR(VLOOKUP($A1815,'[5]Study Budget Mapping '!$O$2:$P$532,2,0),"TBA")</f>
        <v>TBA</v>
      </c>
      <c r="D1815" s="2" t="s">
        <v>345</v>
      </c>
      <c r="E1815" s="2" t="s">
        <v>14</v>
      </c>
      <c r="F1815" s="3">
        <v>761000</v>
      </c>
      <c r="G1815" s="3">
        <v>1640000</v>
      </c>
      <c r="H1815" s="4"/>
      <c r="I1815" s="4"/>
      <c r="J1815" s="4"/>
      <c r="K1815" s="4"/>
      <c r="L1815" s="4"/>
      <c r="M1815" s="4"/>
    </row>
    <row r="1816" spans="1:13" ht="15" customHeight="1" x14ac:dyDescent="0.35">
      <c r="A1816" t="str">
        <f t="shared" si="28"/>
        <v>P674CV00C2921</v>
      </c>
      <c r="B1816" t="str">
        <f>IFERROR(VLOOKUP($A1816,'[5]Study Budget Mapping '!$O$2:$P$532,2,0),"TBA")</f>
        <v>TBA</v>
      </c>
      <c r="D1816" s="2" t="s">
        <v>345</v>
      </c>
      <c r="E1816" s="2" t="s">
        <v>19</v>
      </c>
      <c r="F1816" s="3">
        <v>1454000</v>
      </c>
      <c r="G1816" s="3">
        <v>1340000</v>
      </c>
      <c r="H1816" s="4"/>
      <c r="I1816" s="4"/>
      <c r="J1816" s="4"/>
      <c r="K1816" s="4"/>
      <c r="L1816" s="4"/>
      <c r="M1816" s="4"/>
    </row>
    <row r="1817" spans="1:13" ht="15" customHeight="1" x14ac:dyDescent="0.35">
      <c r="A1817" t="str">
        <f t="shared" si="28"/>
        <v>P674CV00C2921</v>
      </c>
      <c r="B1817" t="str">
        <f>IFERROR(VLOOKUP($A1817,'[5]Study Budget Mapping '!$O$2:$P$532,2,0),"TBA")</f>
        <v>TBA</v>
      </c>
      <c r="D1817" s="2" t="s">
        <v>345</v>
      </c>
      <c r="E1817" s="2" t="s">
        <v>15</v>
      </c>
      <c r="F1817" s="3">
        <v>3384000</v>
      </c>
      <c r="G1817" s="3">
        <v>3250000</v>
      </c>
      <c r="H1817" s="4"/>
      <c r="I1817" s="4"/>
      <c r="J1817" s="4"/>
      <c r="K1817" s="4"/>
      <c r="L1817" s="4"/>
      <c r="M1817" s="4"/>
    </row>
    <row r="1818" spans="1:13" ht="15" customHeight="1" x14ac:dyDescent="0.35">
      <c r="A1818" t="str">
        <f t="shared" si="28"/>
        <v>P674CV00C2921</v>
      </c>
      <c r="B1818" t="str">
        <f>IFERROR(VLOOKUP($A1818,'[5]Study Budget Mapping '!$O$2:$P$532,2,0),"TBA")</f>
        <v>TBA</v>
      </c>
      <c r="D1818" s="2" t="s">
        <v>345</v>
      </c>
      <c r="E1818" s="2" t="s">
        <v>22</v>
      </c>
      <c r="F1818" s="3">
        <v>0</v>
      </c>
      <c r="G1818" s="3">
        <v>370000</v>
      </c>
      <c r="H1818" s="4"/>
      <c r="I1818" s="4"/>
      <c r="J1818" s="4"/>
      <c r="K1818" s="4"/>
      <c r="L1818" s="4"/>
      <c r="M1818" s="4"/>
    </row>
    <row r="1819" spans="1:13" ht="15" customHeight="1" x14ac:dyDescent="0.35">
      <c r="A1819" t="str">
        <f t="shared" si="28"/>
        <v>P674CV00C2921</v>
      </c>
      <c r="B1819" t="str">
        <f>IFERROR(VLOOKUP($A1819,'[5]Study Budget Mapping '!$O$2:$P$532,2,0),"TBA")</f>
        <v>TBA</v>
      </c>
      <c r="D1819" s="2" t="s">
        <v>345</v>
      </c>
      <c r="E1819" s="2" t="s">
        <v>16</v>
      </c>
      <c r="F1819" s="3">
        <v>0</v>
      </c>
      <c r="G1819" s="3">
        <v>240000</v>
      </c>
      <c r="H1819" s="4"/>
      <c r="I1819" s="4"/>
      <c r="J1819" s="4"/>
      <c r="K1819" s="4"/>
      <c r="L1819" s="4"/>
      <c r="M1819" s="4"/>
    </row>
    <row r="1820" spans="1:13" ht="15" customHeight="1" x14ac:dyDescent="0.35">
      <c r="A1820" t="str">
        <f t="shared" si="28"/>
        <v>P674CV00C2921</v>
      </c>
      <c r="B1820" t="str">
        <f>IFERROR(VLOOKUP($A1820,'[5]Study Budget Mapping '!$O$2:$P$532,2,0),"TBA")</f>
        <v>TBA</v>
      </c>
      <c r="D1820" s="2" t="s">
        <v>345</v>
      </c>
      <c r="E1820" s="2" t="s">
        <v>17</v>
      </c>
      <c r="F1820" s="3">
        <v>190000</v>
      </c>
      <c r="G1820" s="3">
        <v>340000</v>
      </c>
      <c r="H1820" s="4"/>
      <c r="I1820" s="4"/>
      <c r="J1820" s="4"/>
      <c r="K1820" s="4"/>
      <c r="L1820" s="4"/>
      <c r="M1820" s="4"/>
    </row>
    <row r="1821" spans="1:13" ht="15" customHeight="1" x14ac:dyDescent="0.35">
      <c r="A1821" t="str">
        <f t="shared" si="28"/>
        <v>P674CV00C2921</v>
      </c>
      <c r="B1821" t="str">
        <f>IFERROR(VLOOKUP($A1821,'[5]Study Budget Mapping '!$O$2:$P$532,2,0),"TBA")</f>
        <v>TBA</v>
      </c>
      <c r="D1821" s="2" t="s">
        <v>345</v>
      </c>
      <c r="E1821" s="2" t="s">
        <v>24</v>
      </c>
      <c r="F1821" s="3">
        <v>700000</v>
      </c>
      <c r="G1821" s="3">
        <v>700000</v>
      </c>
      <c r="H1821" s="4"/>
      <c r="I1821" s="4"/>
      <c r="J1821" s="4"/>
      <c r="K1821" s="4"/>
      <c r="L1821" s="4"/>
      <c r="M1821" s="4"/>
    </row>
    <row r="1822" spans="1:13" ht="15" customHeight="1" x14ac:dyDescent="0.35">
      <c r="A1822" t="str">
        <f t="shared" si="28"/>
        <v>P674CV00C2921</v>
      </c>
      <c r="B1822" t="str">
        <f>IFERROR(VLOOKUP($A1822,'[5]Study Budget Mapping '!$O$2:$P$532,2,0),"TBA")</f>
        <v>TBA</v>
      </c>
      <c r="D1822" s="2" t="s">
        <v>345</v>
      </c>
      <c r="E1822" s="2" t="s">
        <v>32</v>
      </c>
      <c r="F1822" s="3">
        <v>76000</v>
      </c>
      <c r="G1822" s="3">
        <v>0</v>
      </c>
      <c r="H1822" s="4"/>
      <c r="I1822" s="4"/>
      <c r="J1822" s="4"/>
      <c r="K1822" s="4"/>
      <c r="L1822" s="4"/>
      <c r="M1822" s="4"/>
    </row>
    <row r="1823" spans="1:13" ht="15" customHeight="1" x14ac:dyDescent="0.35">
      <c r="A1823" t="str">
        <f t="shared" si="28"/>
        <v>P674CV00C3731</v>
      </c>
      <c r="B1823" t="str">
        <f>IFERROR(VLOOKUP($A1823,'[5]Study Budget Mapping '!$O$2:$P$532,2,0),"TBA")</f>
        <v>TBA</v>
      </c>
      <c r="D1823" s="2" t="s">
        <v>346</v>
      </c>
      <c r="E1823" s="2" t="s">
        <v>15</v>
      </c>
      <c r="F1823" s="3">
        <v>5000000</v>
      </c>
      <c r="G1823" s="3">
        <v>5000000</v>
      </c>
      <c r="H1823" s="4"/>
      <c r="I1823" s="4"/>
      <c r="J1823" s="4"/>
      <c r="K1823" s="4"/>
      <c r="L1823" s="4"/>
      <c r="M1823" s="4"/>
    </row>
    <row r="1824" spans="1:13" ht="15" customHeight="1" x14ac:dyDescent="0.35">
      <c r="A1824" t="str">
        <f t="shared" si="28"/>
        <v>P674CV00C3732</v>
      </c>
      <c r="B1824" t="str">
        <f>IFERROR(VLOOKUP($A1824,'[5]Study Budget Mapping '!$O$2:$P$532,2,0),"TBA")</f>
        <v>TBA</v>
      </c>
      <c r="D1824" s="2" t="s">
        <v>347</v>
      </c>
      <c r="E1824" s="2" t="s">
        <v>13</v>
      </c>
      <c r="F1824" s="3">
        <v>12400000</v>
      </c>
      <c r="G1824" s="3">
        <v>17950000</v>
      </c>
      <c r="H1824" s="4"/>
      <c r="I1824" s="4"/>
      <c r="J1824" s="4"/>
      <c r="K1824" s="4"/>
      <c r="L1824" s="4"/>
      <c r="M1824" s="4"/>
    </row>
    <row r="1825" spans="1:13" ht="15" customHeight="1" x14ac:dyDescent="0.35">
      <c r="A1825" t="str">
        <f t="shared" si="28"/>
        <v>P674CV00C3732</v>
      </c>
      <c r="B1825" t="str">
        <f>IFERROR(VLOOKUP($A1825,'[5]Study Budget Mapping '!$O$2:$P$532,2,0),"TBA")</f>
        <v>TBA</v>
      </c>
      <c r="D1825" s="2" t="s">
        <v>347</v>
      </c>
      <c r="E1825" s="2" t="s">
        <v>14</v>
      </c>
      <c r="F1825" s="3">
        <v>6760000</v>
      </c>
      <c r="G1825" s="3">
        <v>7870000</v>
      </c>
      <c r="H1825" s="4"/>
      <c r="I1825" s="4"/>
      <c r="J1825" s="4"/>
      <c r="K1825" s="4"/>
      <c r="L1825" s="4"/>
      <c r="M1825" s="4"/>
    </row>
    <row r="1826" spans="1:13" ht="15" customHeight="1" x14ac:dyDescent="0.35">
      <c r="A1826" t="str">
        <f t="shared" si="28"/>
        <v>P674CV00C3732</v>
      </c>
      <c r="B1826" t="str">
        <f>IFERROR(VLOOKUP($A1826,'[5]Study Budget Mapping '!$O$2:$P$532,2,0),"TBA")</f>
        <v>TBA</v>
      </c>
      <c r="D1826" s="2" t="s">
        <v>347</v>
      </c>
      <c r="E1826" s="2" t="s">
        <v>19</v>
      </c>
      <c r="F1826" s="3">
        <v>6847000</v>
      </c>
      <c r="G1826" s="3">
        <v>8936000</v>
      </c>
      <c r="H1826" s="4"/>
      <c r="I1826" s="4"/>
      <c r="J1826" s="4"/>
      <c r="K1826" s="4"/>
      <c r="L1826" s="4"/>
      <c r="M1826" s="4"/>
    </row>
    <row r="1827" spans="1:13" ht="15" customHeight="1" x14ac:dyDescent="0.35">
      <c r="A1827" t="str">
        <f t="shared" si="28"/>
        <v>P674CV00C3732</v>
      </c>
      <c r="B1827" t="str">
        <f>IFERROR(VLOOKUP($A1827,'[5]Study Budget Mapping '!$O$2:$P$532,2,0),"TBA")</f>
        <v>TBA</v>
      </c>
      <c r="D1827" s="2" t="s">
        <v>347</v>
      </c>
      <c r="E1827" s="2" t="s">
        <v>15</v>
      </c>
      <c r="F1827" s="3">
        <v>25750000</v>
      </c>
      <c r="G1827" s="3">
        <v>46990000</v>
      </c>
      <c r="H1827" s="4"/>
      <c r="I1827" s="4"/>
      <c r="J1827" s="4"/>
      <c r="K1827" s="4"/>
      <c r="L1827" s="4"/>
      <c r="M1827" s="4"/>
    </row>
    <row r="1828" spans="1:13" ht="15" customHeight="1" x14ac:dyDescent="0.35">
      <c r="A1828" t="str">
        <f t="shared" si="28"/>
        <v>P674CV00C3732</v>
      </c>
      <c r="B1828" t="str">
        <f>IFERROR(VLOOKUP($A1828,'[5]Study Budget Mapping '!$O$2:$P$532,2,0),"TBA")</f>
        <v>TBA</v>
      </c>
      <c r="D1828" s="2" t="s">
        <v>347</v>
      </c>
      <c r="E1828" s="2" t="s">
        <v>22</v>
      </c>
      <c r="F1828" s="3">
        <v>0</v>
      </c>
      <c r="G1828" s="3">
        <v>3335000</v>
      </c>
      <c r="H1828" s="4"/>
      <c r="I1828" s="4"/>
      <c r="J1828" s="4"/>
      <c r="K1828" s="4"/>
      <c r="L1828" s="4"/>
      <c r="M1828" s="4"/>
    </row>
    <row r="1829" spans="1:13" ht="15" customHeight="1" x14ac:dyDescent="0.35">
      <c r="A1829" t="str">
        <f t="shared" si="28"/>
        <v>P674CV00C3732</v>
      </c>
      <c r="B1829" t="str">
        <f>IFERROR(VLOOKUP($A1829,'[5]Study Budget Mapping '!$O$2:$P$532,2,0),"TBA")</f>
        <v>TBA</v>
      </c>
      <c r="D1829" s="2" t="s">
        <v>347</v>
      </c>
      <c r="E1829" s="2" t="s">
        <v>16</v>
      </c>
      <c r="F1829" s="3">
        <v>6770000</v>
      </c>
      <c r="G1829" s="3">
        <v>5000000</v>
      </c>
      <c r="H1829" s="4"/>
      <c r="I1829" s="4"/>
      <c r="J1829" s="4"/>
      <c r="K1829" s="4"/>
      <c r="L1829" s="4"/>
      <c r="M1829" s="4"/>
    </row>
    <row r="1830" spans="1:13" ht="15" customHeight="1" x14ac:dyDescent="0.35">
      <c r="A1830" t="str">
        <f t="shared" si="28"/>
        <v>P674CV00C3732</v>
      </c>
      <c r="B1830" t="str">
        <f>IFERROR(VLOOKUP($A1830,'[5]Study Budget Mapping '!$O$2:$P$532,2,0),"TBA")</f>
        <v>TBA</v>
      </c>
      <c r="D1830" s="2" t="s">
        <v>347</v>
      </c>
      <c r="E1830" s="2" t="s">
        <v>17</v>
      </c>
      <c r="F1830" s="3">
        <v>380000</v>
      </c>
      <c r="G1830" s="3">
        <v>570000</v>
      </c>
      <c r="H1830" s="4"/>
      <c r="I1830" s="4"/>
      <c r="J1830" s="4"/>
      <c r="K1830" s="4"/>
      <c r="L1830" s="4"/>
      <c r="M1830" s="4"/>
    </row>
    <row r="1831" spans="1:13" ht="15" customHeight="1" x14ac:dyDescent="0.35">
      <c r="A1831" t="str">
        <f t="shared" si="28"/>
        <v>P674CV00C3732</v>
      </c>
      <c r="B1831" t="str">
        <f>IFERROR(VLOOKUP($A1831,'[5]Study Budget Mapping '!$O$2:$P$532,2,0),"TBA")</f>
        <v>TBA</v>
      </c>
      <c r="D1831" s="2" t="s">
        <v>347</v>
      </c>
      <c r="E1831" s="2" t="s">
        <v>23</v>
      </c>
      <c r="F1831" s="3">
        <v>940000</v>
      </c>
      <c r="G1831" s="3">
        <v>1120000</v>
      </c>
      <c r="H1831" s="4"/>
      <c r="I1831" s="4"/>
      <c r="J1831" s="4"/>
      <c r="K1831" s="4"/>
      <c r="L1831" s="4"/>
      <c r="M1831" s="4"/>
    </row>
    <row r="1832" spans="1:13" ht="15" customHeight="1" x14ac:dyDescent="0.35">
      <c r="A1832" t="str">
        <f t="shared" si="28"/>
        <v>P674CV00C3732</v>
      </c>
      <c r="B1832" t="str">
        <f>IFERROR(VLOOKUP($A1832,'[5]Study Budget Mapping '!$O$2:$P$532,2,0),"TBA")</f>
        <v>TBA</v>
      </c>
      <c r="D1832" s="2" t="s">
        <v>347</v>
      </c>
      <c r="E1832" s="2" t="s">
        <v>24</v>
      </c>
      <c r="F1832" s="3">
        <v>3940075</v>
      </c>
      <c r="G1832" s="3">
        <v>7000000</v>
      </c>
      <c r="H1832" s="4"/>
      <c r="I1832" s="4"/>
      <c r="J1832" s="4"/>
      <c r="K1832" s="4"/>
      <c r="L1832" s="4"/>
      <c r="M1832" s="4"/>
    </row>
    <row r="1833" spans="1:13" ht="15" customHeight="1" x14ac:dyDescent="0.35">
      <c r="A1833" t="str">
        <f t="shared" si="28"/>
        <v>P674CV00C3732</v>
      </c>
      <c r="B1833" t="str">
        <f>IFERROR(VLOOKUP($A1833,'[5]Study Budget Mapping '!$O$2:$P$532,2,0),"TBA")</f>
        <v>TBA</v>
      </c>
      <c r="D1833" s="2" t="s">
        <v>347</v>
      </c>
      <c r="E1833" s="2" t="s">
        <v>32</v>
      </c>
      <c r="F1833" s="3">
        <v>370000</v>
      </c>
      <c r="G1833" s="3">
        <v>1290000</v>
      </c>
      <c r="H1833" s="4"/>
      <c r="I1833" s="4"/>
      <c r="J1833" s="4"/>
      <c r="K1833" s="4"/>
      <c r="L1833" s="4"/>
      <c r="M1833" s="4"/>
    </row>
    <row r="1834" spans="1:13" ht="15" customHeight="1" x14ac:dyDescent="0.35">
      <c r="A1834" t="str">
        <f t="shared" si="28"/>
        <v>P674CV00C3733</v>
      </c>
      <c r="B1834" t="str">
        <f>IFERROR(VLOOKUP($A1834,'[5]Study Budget Mapping '!$O$2:$P$532,2,0),"TBA")</f>
        <v>TBA</v>
      </c>
      <c r="D1834" s="2" t="s">
        <v>348</v>
      </c>
      <c r="E1834" s="2" t="s">
        <v>13</v>
      </c>
      <c r="F1834" s="3">
        <v>2438000</v>
      </c>
      <c r="G1834" s="3">
        <v>5570000</v>
      </c>
      <c r="H1834" s="4"/>
      <c r="I1834" s="4"/>
      <c r="J1834" s="4"/>
      <c r="K1834" s="4"/>
      <c r="L1834" s="4"/>
      <c r="M1834" s="4"/>
    </row>
    <row r="1835" spans="1:13" ht="15" customHeight="1" x14ac:dyDescent="0.35">
      <c r="A1835" t="str">
        <f t="shared" si="28"/>
        <v>P674CV00C3733</v>
      </c>
      <c r="B1835" t="str">
        <f>IFERROR(VLOOKUP($A1835,'[5]Study Budget Mapping '!$O$2:$P$532,2,0),"TBA")</f>
        <v>TBA</v>
      </c>
      <c r="D1835" s="2" t="s">
        <v>348</v>
      </c>
      <c r="E1835" s="2" t="s">
        <v>14</v>
      </c>
      <c r="F1835" s="3">
        <v>1790000</v>
      </c>
      <c r="G1835" s="3">
        <v>3362000</v>
      </c>
      <c r="H1835" s="4"/>
      <c r="I1835" s="4"/>
      <c r="J1835" s="4"/>
      <c r="K1835" s="4"/>
      <c r="L1835" s="4"/>
      <c r="M1835" s="4"/>
    </row>
    <row r="1836" spans="1:13" ht="15" customHeight="1" x14ac:dyDescent="0.35">
      <c r="A1836" t="str">
        <f t="shared" si="28"/>
        <v>P674CV00C3733</v>
      </c>
      <c r="B1836" t="str">
        <f>IFERROR(VLOOKUP($A1836,'[5]Study Budget Mapping '!$O$2:$P$532,2,0),"TBA")</f>
        <v>TBA</v>
      </c>
      <c r="D1836" s="2" t="s">
        <v>348</v>
      </c>
      <c r="E1836" s="2" t="s">
        <v>19</v>
      </c>
      <c r="F1836" s="3">
        <v>3890000</v>
      </c>
      <c r="G1836" s="3">
        <v>5235000</v>
      </c>
      <c r="H1836" s="4"/>
      <c r="I1836" s="4"/>
      <c r="J1836" s="4"/>
      <c r="K1836" s="4"/>
      <c r="L1836" s="4"/>
      <c r="M1836" s="4"/>
    </row>
    <row r="1837" spans="1:13" ht="15" customHeight="1" x14ac:dyDescent="0.35">
      <c r="A1837" t="str">
        <f t="shared" si="28"/>
        <v>P674CV00C3733</v>
      </c>
      <c r="B1837" t="str">
        <f>IFERROR(VLOOKUP($A1837,'[5]Study Budget Mapping '!$O$2:$P$532,2,0),"TBA")</f>
        <v>TBA</v>
      </c>
      <c r="D1837" s="2" t="s">
        <v>348</v>
      </c>
      <c r="E1837" s="2" t="s">
        <v>21</v>
      </c>
      <c r="F1837" s="3">
        <v>0</v>
      </c>
      <c r="G1837" s="3">
        <v>84900000</v>
      </c>
      <c r="H1837" s="4"/>
      <c r="I1837" s="4"/>
      <c r="J1837" s="4"/>
      <c r="K1837" s="4"/>
      <c r="L1837" s="4"/>
      <c r="M1837" s="4"/>
    </row>
    <row r="1838" spans="1:13" ht="15" customHeight="1" x14ac:dyDescent="0.35">
      <c r="A1838" t="str">
        <f t="shared" si="28"/>
        <v>P674CV00C3733</v>
      </c>
      <c r="B1838" t="str">
        <f>IFERROR(VLOOKUP($A1838,'[5]Study Budget Mapping '!$O$2:$P$532,2,0),"TBA")</f>
        <v>TBA</v>
      </c>
      <c r="D1838" s="2" t="s">
        <v>348</v>
      </c>
      <c r="E1838" s="2" t="s">
        <v>15</v>
      </c>
      <c r="F1838" s="3">
        <v>13600000</v>
      </c>
      <c r="G1838" s="3">
        <v>15695000</v>
      </c>
      <c r="H1838" s="4"/>
      <c r="I1838" s="4"/>
      <c r="J1838" s="4"/>
      <c r="K1838" s="4"/>
      <c r="L1838" s="4"/>
      <c r="M1838" s="4"/>
    </row>
    <row r="1839" spans="1:13" ht="15" customHeight="1" x14ac:dyDescent="0.35">
      <c r="A1839" t="str">
        <f t="shared" si="28"/>
        <v>P674CV00C3733</v>
      </c>
      <c r="B1839" t="str">
        <f>IFERROR(VLOOKUP($A1839,'[5]Study Budget Mapping '!$O$2:$P$532,2,0),"TBA")</f>
        <v>TBA</v>
      </c>
      <c r="D1839" s="2" t="s">
        <v>348</v>
      </c>
      <c r="E1839" s="2" t="s">
        <v>22</v>
      </c>
      <c r="F1839" s="3">
        <v>0</v>
      </c>
      <c r="G1839" s="3">
        <v>2550000</v>
      </c>
      <c r="H1839" s="4"/>
      <c r="I1839" s="4"/>
      <c r="J1839" s="4"/>
      <c r="K1839" s="4"/>
      <c r="L1839" s="4"/>
      <c r="M1839" s="4"/>
    </row>
    <row r="1840" spans="1:13" ht="15" customHeight="1" x14ac:dyDescent="0.35">
      <c r="A1840" t="str">
        <f t="shared" si="28"/>
        <v>P674CV00C3733</v>
      </c>
      <c r="B1840" t="str">
        <f>IFERROR(VLOOKUP($A1840,'[5]Study Budget Mapping '!$O$2:$P$532,2,0),"TBA")</f>
        <v>TBA</v>
      </c>
      <c r="D1840" s="2" t="s">
        <v>348</v>
      </c>
      <c r="E1840" s="2" t="s">
        <v>16</v>
      </c>
      <c r="F1840" s="3">
        <v>2394000</v>
      </c>
      <c r="G1840" s="3">
        <v>4745000</v>
      </c>
      <c r="H1840" s="4"/>
      <c r="I1840" s="4"/>
      <c r="J1840" s="4"/>
      <c r="K1840" s="4"/>
      <c r="L1840" s="4"/>
      <c r="M1840" s="4"/>
    </row>
    <row r="1841" spans="1:13" ht="15" customHeight="1" x14ac:dyDescent="0.35">
      <c r="A1841" t="str">
        <f t="shared" si="28"/>
        <v>P674CV00C3733</v>
      </c>
      <c r="B1841" t="str">
        <f>IFERROR(VLOOKUP($A1841,'[5]Study Budget Mapping '!$O$2:$P$532,2,0),"TBA")</f>
        <v>TBA</v>
      </c>
      <c r="D1841" s="2" t="s">
        <v>348</v>
      </c>
      <c r="E1841" s="2" t="s">
        <v>17</v>
      </c>
      <c r="F1841" s="3">
        <v>390000</v>
      </c>
      <c r="G1841" s="3">
        <v>480000</v>
      </c>
      <c r="H1841" s="4"/>
      <c r="I1841" s="4"/>
      <c r="J1841" s="4"/>
      <c r="K1841" s="4"/>
      <c r="L1841" s="4"/>
      <c r="M1841" s="4"/>
    </row>
    <row r="1842" spans="1:13" ht="15" customHeight="1" x14ac:dyDescent="0.35">
      <c r="A1842" t="str">
        <f t="shared" si="28"/>
        <v>P674CV00C3733</v>
      </c>
      <c r="B1842" t="str">
        <f>IFERROR(VLOOKUP($A1842,'[5]Study Budget Mapping '!$O$2:$P$532,2,0),"TBA")</f>
        <v>TBA</v>
      </c>
      <c r="D1842" s="2" t="s">
        <v>348</v>
      </c>
      <c r="E1842" s="2" t="s">
        <v>23</v>
      </c>
      <c r="F1842" s="3">
        <v>950000</v>
      </c>
      <c r="G1842" s="3">
        <v>1500000</v>
      </c>
      <c r="H1842" s="4"/>
      <c r="I1842" s="4"/>
      <c r="J1842" s="4"/>
      <c r="K1842" s="4"/>
      <c r="L1842" s="4"/>
      <c r="M1842" s="4"/>
    </row>
    <row r="1843" spans="1:13" ht="15" customHeight="1" x14ac:dyDescent="0.35">
      <c r="A1843" t="str">
        <f t="shared" si="28"/>
        <v>P674CV00C3733</v>
      </c>
      <c r="B1843" t="str">
        <f>IFERROR(VLOOKUP($A1843,'[5]Study Budget Mapping '!$O$2:$P$532,2,0),"TBA")</f>
        <v>TBA</v>
      </c>
      <c r="D1843" s="2" t="s">
        <v>348</v>
      </c>
      <c r="E1843" s="2" t="s">
        <v>24</v>
      </c>
      <c r="F1843" s="3">
        <v>14790000</v>
      </c>
      <c r="G1843" s="3">
        <v>14570000</v>
      </c>
      <c r="H1843" s="4"/>
      <c r="I1843" s="4"/>
      <c r="J1843" s="4"/>
      <c r="K1843" s="4"/>
      <c r="L1843" s="4"/>
      <c r="M1843" s="4"/>
    </row>
    <row r="1844" spans="1:13" ht="15" customHeight="1" x14ac:dyDescent="0.35">
      <c r="A1844" t="str">
        <f t="shared" si="28"/>
        <v>P674CV00C3733</v>
      </c>
      <c r="B1844" t="str">
        <f>IFERROR(VLOOKUP($A1844,'[5]Study Budget Mapping '!$O$2:$P$532,2,0),"TBA")</f>
        <v>TBA</v>
      </c>
      <c r="D1844" s="2" t="s">
        <v>348</v>
      </c>
      <c r="E1844" s="2" t="s">
        <v>32</v>
      </c>
      <c r="F1844" s="3">
        <v>3100000</v>
      </c>
      <c r="G1844" s="3">
        <v>2170000</v>
      </c>
      <c r="H1844" s="4"/>
      <c r="I1844" s="4"/>
      <c r="J1844" s="4"/>
      <c r="K1844" s="4"/>
      <c r="L1844" s="4"/>
      <c r="M1844" s="4"/>
    </row>
    <row r="1845" spans="1:13" ht="15" customHeight="1" x14ac:dyDescent="0.35">
      <c r="A1845" t="str">
        <f t="shared" si="28"/>
        <v>P674CV00C3734</v>
      </c>
      <c r="B1845" t="str">
        <f>IFERROR(VLOOKUP($A1845,'[5]Study Budget Mapping '!$O$2:$P$532,2,0),"TBA")</f>
        <v>TBA</v>
      </c>
      <c r="D1845" s="2" t="s">
        <v>349</v>
      </c>
      <c r="E1845" s="2" t="s">
        <v>13</v>
      </c>
      <c r="F1845" s="3">
        <v>3600000</v>
      </c>
      <c r="G1845" s="3">
        <v>3660000</v>
      </c>
      <c r="H1845" s="4"/>
      <c r="I1845" s="4"/>
      <c r="J1845" s="4"/>
      <c r="K1845" s="4"/>
      <c r="L1845" s="4"/>
      <c r="M1845" s="4"/>
    </row>
    <row r="1846" spans="1:13" ht="15" customHeight="1" x14ac:dyDescent="0.35">
      <c r="A1846" t="str">
        <f t="shared" si="28"/>
        <v>P674CV00C3734</v>
      </c>
      <c r="B1846" t="str">
        <f>IFERROR(VLOOKUP($A1846,'[5]Study Budget Mapping '!$O$2:$P$532,2,0),"TBA")</f>
        <v>TBA</v>
      </c>
      <c r="D1846" s="2" t="s">
        <v>349</v>
      </c>
      <c r="E1846" s="2" t="s">
        <v>14</v>
      </c>
      <c r="F1846" s="3">
        <v>1635000</v>
      </c>
      <c r="G1846" s="3">
        <v>2915000</v>
      </c>
      <c r="H1846" s="4"/>
      <c r="I1846" s="4"/>
      <c r="J1846" s="4"/>
      <c r="K1846" s="4"/>
      <c r="L1846" s="4"/>
      <c r="M1846" s="4"/>
    </row>
    <row r="1847" spans="1:13" ht="15" customHeight="1" x14ac:dyDescent="0.35">
      <c r="A1847" t="str">
        <f t="shared" si="28"/>
        <v>P674CV00C3734</v>
      </c>
      <c r="B1847" t="str">
        <f>IFERROR(VLOOKUP($A1847,'[5]Study Budget Mapping '!$O$2:$P$532,2,0),"TBA")</f>
        <v>TBA</v>
      </c>
      <c r="D1847" s="2" t="s">
        <v>349</v>
      </c>
      <c r="E1847" s="2" t="s">
        <v>19</v>
      </c>
      <c r="F1847" s="3">
        <v>4605000</v>
      </c>
      <c r="G1847" s="3">
        <v>5775000</v>
      </c>
      <c r="H1847" s="4"/>
      <c r="I1847" s="4"/>
      <c r="J1847" s="4"/>
      <c r="K1847" s="4"/>
      <c r="L1847" s="4"/>
      <c r="M1847" s="4"/>
    </row>
    <row r="1848" spans="1:13" ht="15" customHeight="1" x14ac:dyDescent="0.35">
      <c r="A1848" t="str">
        <f t="shared" si="28"/>
        <v>P674CV00C3734</v>
      </c>
      <c r="B1848" t="str">
        <f>IFERROR(VLOOKUP($A1848,'[5]Study Budget Mapping '!$O$2:$P$532,2,0),"TBA")</f>
        <v>TBA</v>
      </c>
      <c r="D1848" s="2" t="s">
        <v>349</v>
      </c>
      <c r="E1848" s="2" t="s">
        <v>21</v>
      </c>
      <c r="F1848" s="3">
        <v>0</v>
      </c>
      <c r="G1848" s="3">
        <v>45100000</v>
      </c>
      <c r="H1848" s="4"/>
      <c r="I1848" s="4"/>
      <c r="J1848" s="4"/>
      <c r="K1848" s="4"/>
      <c r="L1848" s="4"/>
      <c r="M1848" s="4"/>
    </row>
    <row r="1849" spans="1:13" ht="15" customHeight="1" x14ac:dyDescent="0.35">
      <c r="A1849" t="str">
        <f t="shared" si="28"/>
        <v>P674CV00C3734</v>
      </c>
      <c r="B1849" t="str">
        <f>IFERROR(VLOOKUP($A1849,'[5]Study Budget Mapping '!$O$2:$P$532,2,0),"TBA")</f>
        <v>TBA</v>
      </c>
      <c r="D1849" s="2" t="s">
        <v>349</v>
      </c>
      <c r="E1849" s="2" t="s">
        <v>15</v>
      </c>
      <c r="F1849" s="3">
        <v>11050000</v>
      </c>
      <c r="G1849" s="3">
        <v>12400000</v>
      </c>
      <c r="H1849" s="4"/>
      <c r="I1849" s="4"/>
      <c r="J1849" s="4"/>
      <c r="K1849" s="4"/>
      <c r="L1849" s="4"/>
      <c r="M1849" s="4"/>
    </row>
    <row r="1850" spans="1:13" ht="15" customHeight="1" x14ac:dyDescent="0.35">
      <c r="A1850" t="str">
        <f t="shared" si="28"/>
        <v>P674CV00C3734</v>
      </c>
      <c r="B1850" t="str">
        <f>IFERROR(VLOOKUP($A1850,'[5]Study Budget Mapping '!$O$2:$P$532,2,0),"TBA")</f>
        <v>TBA</v>
      </c>
      <c r="D1850" s="2" t="s">
        <v>349</v>
      </c>
      <c r="E1850" s="2" t="s">
        <v>22</v>
      </c>
      <c r="F1850" s="3">
        <v>0</v>
      </c>
      <c r="G1850" s="3">
        <v>2145000</v>
      </c>
      <c r="H1850" s="4"/>
      <c r="I1850" s="4"/>
      <c r="J1850" s="4"/>
      <c r="K1850" s="4"/>
      <c r="L1850" s="4"/>
      <c r="M1850" s="4"/>
    </row>
    <row r="1851" spans="1:13" ht="15" customHeight="1" x14ac:dyDescent="0.35">
      <c r="A1851" t="str">
        <f t="shared" si="28"/>
        <v>P674CV00C3734</v>
      </c>
      <c r="B1851" t="str">
        <f>IFERROR(VLOOKUP($A1851,'[5]Study Budget Mapping '!$O$2:$P$532,2,0),"TBA")</f>
        <v>TBA</v>
      </c>
      <c r="D1851" s="2" t="s">
        <v>349</v>
      </c>
      <c r="E1851" s="2" t="s">
        <v>16</v>
      </c>
      <c r="F1851" s="3">
        <v>2360000</v>
      </c>
      <c r="G1851" s="3">
        <v>4815000</v>
      </c>
      <c r="H1851" s="4"/>
      <c r="I1851" s="4"/>
      <c r="J1851" s="4"/>
      <c r="K1851" s="4"/>
      <c r="L1851" s="4"/>
      <c r="M1851" s="4"/>
    </row>
    <row r="1852" spans="1:13" ht="15" customHeight="1" x14ac:dyDescent="0.35">
      <c r="A1852" t="str">
        <f t="shared" si="28"/>
        <v>P674CV00C3734</v>
      </c>
      <c r="B1852" t="str">
        <f>IFERROR(VLOOKUP($A1852,'[5]Study Budget Mapping '!$O$2:$P$532,2,0),"TBA")</f>
        <v>TBA</v>
      </c>
      <c r="D1852" s="2" t="s">
        <v>349</v>
      </c>
      <c r="E1852" s="2" t="s">
        <v>17</v>
      </c>
      <c r="F1852" s="3">
        <v>420000</v>
      </c>
      <c r="G1852" s="3">
        <v>510000</v>
      </c>
      <c r="H1852" s="4"/>
      <c r="I1852" s="4"/>
      <c r="J1852" s="4"/>
      <c r="K1852" s="4"/>
      <c r="L1852" s="4"/>
      <c r="M1852" s="4"/>
    </row>
    <row r="1853" spans="1:13" ht="15" customHeight="1" x14ac:dyDescent="0.35">
      <c r="A1853" t="str">
        <f t="shared" si="28"/>
        <v>P674CV00C3734</v>
      </c>
      <c r="B1853" t="str">
        <f>IFERROR(VLOOKUP($A1853,'[5]Study Budget Mapping '!$O$2:$P$532,2,0),"TBA")</f>
        <v>TBA</v>
      </c>
      <c r="D1853" s="2" t="s">
        <v>349</v>
      </c>
      <c r="E1853" s="2" t="s">
        <v>23</v>
      </c>
      <c r="F1853" s="3">
        <v>950000</v>
      </c>
      <c r="G1853" s="3">
        <v>1260000</v>
      </c>
      <c r="H1853" s="4"/>
      <c r="I1853" s="4"/>
      <c r="J1853" s="4"/>
      <c r="K1853" s="4"/>
      <c r="L1853" s="4"/>
      <c r="M1853" s="4"/>
    </row>
    <row r="1854" spans="1:13" ht="15" customHeight="1" x14ac:dyDescent="0.35">
      <c r="A1854" t="str">
        <f t="shared" si="28"/>
        <v>P674CV00C3734</v>
      </c>
      <c r="B1854" t="str">
        <f>IFERROR(VLOOKUP($A1854,'[5]Study Budget Mapping '!$O$2:$P$532,2,0),"TBA")</f>
        <v>TBA</v>
      </c>
      <c r="D1854" s="2" t="s">
        <v>349</v>
      </c>
      <c r="E1854" s="2" t="s">
        <v>24</v>
      </c>
      <c r="F1854" s="3">
        <v>21250000</v>
      </c>
      <c r="G1854" s="3">
        <v>15035000</v>
      </c>
      <c r="H1854" s="4"/>
      <c r="I1854" s="4"/>
      <c r="J1854" s="4"/>
      <c r="K1854" s="4"/>
      <c r="L1854" s="4"/>
      <c r="M1854" s="4"/>
    </row>
    <row r="1855" spans="1:13" ht="15" customHeight="1" x14ac:dyDescent="0.35">
      <c r="A1855" t="str">
        <f t="shared" si="28"/>
        <v>P674CV00C3734</v>
      </c>
      <c r="B1855" t="str">
        <f>IFERROR(VLOOKUP($A1855,'[5]Study Budget Mapping '!$O$2:$P$532,2,0),"TBA")</f>
        <v>TBA</v>
      </c>
      <c r="D1855" s="2" t="s">
        <v>349</v>
      </c>
      <c r="E1855" s="2" t="s">
        <v>32</v>
      </c>
      <c r="F1855" s="3">
        <v>2900000</v>
      </c>
      <c r="G1855" s="3">
        <v>2470000</v>
      </c>
      <c r="H1855" s="4"/>
      <c r="I1855" s="4"/>
      <c r="J1855" s="4"/>
      <c r="K1855" s="4"/>
      <c r="L1855" s="4"/>
      <c r="M1855" s="4"/>
    </row>
    <row r="1856" spans="1:13" ht="15" customHeight="1" x14ac:dyDescent="0.35">
      <c r="A1856" t="str">
        <f t="shared" si="28"/>
        <v>P674CV00C3921</v>
      </c>
      <c r="B1856" t="str">
        <f>IFERROR(VLOOKUP($A1856,'[5]Study Budget Mapping '!$O$2:$P$532,2,0),"TBA")</f>
        <v>TBA</v>
      </c>
      <c r="D1856" s="2" t="s">
        <v>350</v>
      </c>
      <c r="E1856" s="2" t="s">
        <v>13</v>
      </c>
      <c r="F1856" s="3">
        <v>1370000</v>
      </c>
      <c r="G1856" s="3">
        <v>890000</v>
      </c>
      <c r="H1856" s="4"/>
      <c r="I1856" s="4"/>
      <c r="J1856" s="4"/>
      <c r="K1856" s="4"/>
      <c r="L1856" s="4"/>
      <c r="M1856" s="4"/>
    </row>
    <row r="1857" spans="1:13" ht="15" customHeight="1" x14ac:dyDescent="0.35">
      <c r="A1857" t="str">
        <f t="shared" si="28"/>
        <v>P674CV00C3921</v>
      </c>
      <c r="B1857" t="str">
        <f>IFERROR(VLOOKUP($A1857,'[5]Study Budget Mapping '!$O$2:$P$532,2,0),"TBA")</f>
        <v>TBA</v>
      </c>
      <c r="D1857" s="2" t="s">
        <v>350</v>
      </c>
      <c r="E1857" s="2" t="s">
        <v>14</v>
      </c>
      <c r="F1857" s="3">
        <v>1200000</v>
      </c>
      <c r="G1857" s="3">
        <v>382000</v>
      </c>
      <c r="H1857" s="4"/>
      <c r="I1857" s="4"/>
      <c r="J1857" s="4"/>
      <c r="K1857" s="4"/>
      <c r="L1857" s="4"/>
      <c r="M1857" s="4"/>
    </row>
    <row r="1858" spans="1:13" ht="15" customHeight="1" x14ac:dyDescent="0.35">
      <c r="A1858" t="str">
        <f t="shared" si="28"/>
        <v>P674CV00C3921</v>
      </c>
      <c r="B1858" t="str">
        <f>IFERROR(VLOOKUP($A1858,'[5]Study Budget Mapping '!$O$2:$P$532,2,0),"TBA")</f>
        <v>TBA</v>
      </c>
      <c r="D1858" s="2" t="s">
        <v>350</v>
      </c>
      <c r="E1858" s="2" t="s">
        <v>15</v>
      </c>
      <c r="F1858" s="3">
        <v>4620000</v>
      </c>
      <c r="G1858" s="3">
        <v>3005000</v>
      </c>
      <c r="H1858" s="4"/>
      <c r="I1858" s="4"/>
      <c r="J1858" s="4"/>
      <c r="K1858" s="4"/>
      <c r="L1858" s="4"/>
      <c r="M1858" s="4"/>
    </row>
    <row r="1859" spans="1:13" ht="15" customHeight="1" x14ac:dyDescent="0.35">
      <c r="A1859" t="str">
        <f t="shared" ref="A1859:A1922" si="29">TRIM(_xlfn.TEXTBEFORE(D1859,"-",1))</f>
        <v>P674CV00C3921</v>
      </c>
      <c r="B1859" t="str">
        <f>IFERROR(VLOOKUP($A1859,'[5]Study Budget Mapping '!$O$2:$P$532,2,0),"TBA")</f>
        <v>TBA</v>
      </c>
      <c r="D1859" s="2" t="s">
        <v>350</v>
      </c>
      <c r="E1859" s="2" t="s">
        <v>22</v>
      </c>
      <c r="F1859" s="3">
        <v>0</v>
      </c>
      <c r="G1859" s="3">
        <v>922678</v>
      </c>
      <c r="H1859" s="4"/>
      <c r="I1859" s="4"/>
      <c r="J1859" s="4"/>
      <c r="K1859" s="4"/>
      <c r="L1859" s="4"/>
      <c r="M1859" s="4"/>
    </row>
    <row r="1860" spans="1:13" ht="15" customHeight="1" x14ac:dyDescent="0.35">
      <c r="A1860" t="str">
        <f t="shared" si="29"/>
        <v>P674CV00C3921</v>
      </c>
      <c r="B1860" t="str">
        <f>IFERROR(VLOOKUP($A1860,'[5]Study Budget Mapping '!$O$2:$P$532,2,0),"TBA")</f>
        <v>TBA</v>
      </c>
      <c r="D1860" s="2" t="s">
        <v>350</v>
      </c>
      <c r="E1860" s="2" t="s">
        <v>16</v>
      </c>
      <c r="F1860" s="3">
        <v>2330000</v>
      </c>
      <c r="G1860" s="3">
        <v>788000</v>
      </c>
      <c r="H1860" s="4"/>
      <c r="I1860" s="4"/>
      <c r="J1860" s="4"/>
      <c r="K1860" s="4"/>
      <c r="L1860" s="4"/>
      <c r="M1860" s="4"/>
    </row>
    <row r="1861" spans="1:13" ht="15" customHeight="1" x14ac:dyDescent="0.35">
      <c r="A1861" t="str">
        <f t="shared" si="29"/>
        <v>P674CV00C3921</v>
      </c>
      <c r="B1861" t="str">
        <f>IFERROR(VLOOKUP($A1861,'[5]Study Budget Mapping '!$O$2:$P$532,2,0),"TBA")</f>
        <v>TBA</v>
      </c>
      <c r="D1861" s="2" t="s">
        <v>350</v>
      </c>
      <c r="E1861" s="2" t="s">
        <v>17</v>
      </c>
      <c r="F1861" s="3">
        <v>300000</v>
      </c>
      <c r="G1861" s="3">
        <v>254000</v>
      </c>
      <c r="H1861" s="4"/>
      <c r="I1861" s="4"/>
      <c r="J1861" s="4"/>
      <c r="K1861" s="4"/>
      <c r="L1861" s="4"/>
      <c r="M1861" s="4"/>
    </row>
    <row r="1862" spans="1:13" ht="15" customHeight="1" x14ac:dyDescent="0.35">
      <c r="A1862" t="str">
        <f t="shared" si="29"/>
        <v>P674CV00C3921</v>
      </c>
      <c r="B1862" t="str">
        <f>IFERROR(VLOOKUP($A1862,'[5]Study Budget Mapping '!$O$2:$P$532,2,0),"TBA")</f>
        <v>TBA</v>
      </c>
      <c r="D1862" s="2" t="s">
        <v>350</v>
      </c>
      <c r="E1862" s="2" t="s">
        <v>24</v>
      </c>
      <c r="F1862" s="3">
        <v>1200000</v>
      </c>
      <c r="G1862" s="3">
        <v>1510000</v>
      </c>
      <c r="H1862" s="4"/>
      <c r="I1862" s="4"/>
      <c r="J1862" s="4"/>
      <c r="K1862" s="4"/>
      <c r="L1862" s="4"/>
      <c r="M1862" s="4"/>
    </row>
    <row r="1863" spans="1:13" ht="15" customHeight="1" x14ac:dyDescent="0.35">
      <c r="A1863" t="str">
        <f t="shared" si="29"/>
        <v>P674CV00C3931</v>
      </c>
      <c r="B1863" t="str">
        <f>IFERROR(VLOOKUP($A1863,'[5]Study Budget Mapping '!$O$2:$P$532,2,0),"TBA")</f>
        <v>TBA</v>
      </c>
      <c r="D1863" s="2" t="s">
        <v>351</v>
      </c>
      <c r="E1863" s="2" t="s">
        <v>13</v>
      </c>
      <c r="F1863" s="3">
        <v>6870000</v>
      </c>
      <c r="G1863" s="3">
        <v>7690000</v>
      </c>
      <c r="H1863" s="4"/>
      <c r="I1863" s="4"/>
      <c r="J1863" s="4"/>
      <c r="K1863" s="4"/>
      <c r="L1863" s="4"/>
      <c r="M1863" s="4"/>
    </row>
    <row r="1864" spans="1:13" ht="15" customHeight="1" x14ac:dyDescent="0.35">
      <c r="A1864" t="str">
        <f t="shared" si="29"/>
        <v>P674CV00C3931</v>
      </c>
      <c r="B1864" t="str">
        <f>IFERROR(VLOOKUP($A1864,'[5]Study Budget Mapping '!$O$2:$P$532,2,0),"TBA")</f>
        <v>TBA</v>
      </c>
      <c r="D1864" s="2" t="s">
        <v>351</v>
      </c>
      <c r="E1864" s="2" t="s">
        <v>14</v>
      </c>
      <c r="F1864" s="3">
        <v>3800000</v>
      </c>
      <c r="G1864" s="3">
        <v>3465000</v>
      </c>
      <c r="H1864" s="4"/>
      <c r="I1864" s="4"/>
      <c r="J1864" s="4"/>
      <c r="K1864" s="4"/>
      <c r="L1864" s="4"/>
      <c r="M1864" s="4"/>
    </row>
    <row r="1865" spans="1:13" ht="15" customHeight="1" x14ac:dyDescent="0.35">
      <c r="A1865" t="str">
        <f t="shared" si="29"/>
        <v>P674CV00C3931</v>
      </c>
      <c r="B1865" t="str">
        <f>IFERROR(VLOOKUP($A1865,'[5]Study Budget Mapping '!$O$2:$P$532,2,0),"TBA")</f>
        <v>TBA</v>
      </c>
      <c r="D1865" s="2" t="s">
        <v>351</v>
      </c>
      <c r="E1865" s="2" t="s">
        <v>19</v>
      </c>
      <c r="F1865" s="3">
        <v>8080000</v>
      </c>
      <c r="G1865" s="3">
        <v>7515000</v>
      </c>
      <c r="H1865" s="4"/>
      <c r="I1865" s="4"/>
      <c r="J1865" s="4"/>
      <c r="K1865" s="4"/>
      <c r="L1865" s="4"/>
      <c r="M1865" s="4"/>
    </row>
    <row r="1866" spans="1:13" ht="15" customHeight="1" x14ac:dyDescent="0.35">
      <c r="A1866" t="str">
        <f t="shared" si="29"/>
        <v>P674CV00C3931</v>
      </c>
      <c r="B1866" t="str">
        <f>IFERROR(VLOOKUP($A1866,'[5]Study Budget Mapping '!$O$2:$P$532,2,0),"TBA")</f>
        <v>TBA</v>
      </c>
      <c r="D1866" s="2" t="s">
        <v>351</v>
      </c>
      <c r="E1866" s="2" t="s">
        <v>15</v>
      </c>
      <c r="F1866" s="3">
        <v>18580000</v>
      </c>
      <c r="G1866" s="3">
        <v>27890000</v>
      </c>
      <c r="H1866" s="4"/>
      <c r="I1866" s="4"/>
      <c r="J1866" s="4"/>
      <c r="K1866" s="4"/>
      <c r="L1866" s="4"/>
      <c r="M1866" s="4"/>
    </row>
    <row r="1867" spans="1:13" ht="15" customHeight="1" x14ac:dyDescent="0.35">
      <c r="A1867" t="str">
        <f t="shared" si="29"/>
        <v>P674CV00C3931</v>
      </c>
      <c r="B1867" t="str">
        <f>IFERROR(VLOOKUP($A1867,'[5]Study Budget Mapping '!$O$2:$P$532,2,0),"TBA")</f>
        <v>TBA</v>
      </c>
      <c r="D1867" s="2" t="s">
        <v>351</v>
      </c>
      <c r="E1867" s="2" t="s">
        <v>22</v>
      </c>
      <c r="F1867" s="3">
        <v>2902000</v>
      </c>
      <c r="G1867" s="3">
        <v>1990000</v>
      </c>
      <c r="H1867" s="4"/>
      <c r="I1867" s="4"/>
      <c r="J1867" s="4"/>
      <c r="K1867" s="4"/>
      <c r="L1867" s="4"/>
      <c r="M1867" s="4"/>
    </row>
    <row r="1868" spans="1:13" ht="15" customHeight="1" x14ac:dyDescent="0.35">
      <c r="A1868" t="str">
        <f t="shared" si="29"/>
        <v>P674CV00C3931</v>
      </c>
      <c r="B1868" t="str">
        <f>IFERROR(VLOOKUP($A1868,'[5]Study Budget Mapping '!$O$2:$P$532,2,0),"TBA")</f>
        <v>TBA</v>
      </c>
      <c r="D1868" s="2" t="s">
        <v>351</v>
      </c>
      <c r="E1868" s="2" t="s">
        <v>17</v>
      </c>
      <c r="F1868" s="3">
        <v>640000</v>
      </c>
      <c r="G1868" s="3">
        <v>560000</v>
      </c>
      <c r="H1868" s="4"/>
      <c r="I1868" s="4"/>
      <c r="J1868" s="4"/>
      <c r="K1868" s="4"/>
      <c r="L1868" s="4"/>
      <c r="M1868" s="4"/>
    </row>
    <row r="1869" spans="1:13" ht="15" customHeight="1" x14ac:dyDescent="0.35">
      <c r="A1869" t="str">
        <f t="shared" si="29"/>
        <v>P674CV00C3931</v>
      </c>
      <c r="B1869" t="str">
        <f>IFERROR(VLOOKUP($A1869,'[5]Study Budget Mapping '!$O$2:$P$532,2,0),"TBA")</f>
        <v>TBA</v>
      </c>
      <c r="D1869" s="2" t="s">
        <v>351</v>
      </c>
      <c r="E1869" s="2" t="s">
        <v>26</v>
      </c>
      <c r="F1869" s="3">
        <v>450000</v>
      </c>
      <c r="G1869" s="3">
        <v>450000</v>
      </c>
      <c r="H1869" s="4"/>
      <c r="I1869" s="4"/>
      <c r="J1869" s="4"/>
      <c r="K1869" s="4"/>
      <c r="L1869" s="4"/>
      <c r="M1869" s="4"/>
    </row>
    <row r="1870" spans="1:13" ht="15" customHeight="1" x14ac:dyDescent="0.35">
      <c r="A1870" t="str">
        <f t="shared" si="29"/>
        <v>P674CV00C3931</v>
      </c>
      <c r="B1870" t="str">
        <f>IFERROR(VLOOKUP($A1870,'[5]Study Budget Mapping '!$O$2:$P$532,2,0),"TBA")</f>
        <v>TBA</v>
      </c>
      <c r="D1870" s="2" t="s">
        <v>351</v>
      </c>
      <c r="E1870" s="2" t="s">
        <v>24</v>
      </c>
      <c r="F1870" s="3">
        <v>9151200</v>
      </c>
      <c r="G1870" s="3">
        <v>9450000</v>
      </c>
      <c r="H1870" s="4"/>
      <c r="I1870" s="4"/>
      <c r="J1870" s="4"/>
      <c r="K1870" s="4"/>
      <c r="L1870" s="4"/>
      <c r="M1870" s="4"/>
    </row>
    <row r="1871" spans="1:13" ht="15" customHeight="1" x14ac:dyDescent="0.35">
      <c r="A1871" t="str">
        <f t="shared" si="29"/>
        <v>P674CV00C3931</v>
      </c>
      <c r="B1871" t="str">
        <f>IFERROR(VLOOKUP($A1871,'[5]Study Budget Mapping '!$O$2:$P$532,2,0),"TBA")</f>
        <v>TBA</v>
      </c>
      <c r="D1871" s="2" t="s">
        <v>351</v>
      </c>
      <c r="E1871" s="2" t="s">
        <v>32</v>
      </c>
      <c r="F1871" s="3">
        <v>3440000</v>
      </c>
      <c r="G1871" s="3">
        <v>2800000</v>
      </c>
      <c r="H1871" s="4"/>
      <c r="I1871" s="4"/>
      <c r="J1871" s="4"/>
      <c r="K1871" s="4"/>
      <c r="L1871" s="4"/>
      <c r="M1871" s="4"/>
    </row>
    <row r="1872" spans="1:13" ht="15" customHeight="1" x14ac:dyDescent="0.35">
      <c r="A1872" t="str">
        <f t="shared" si="29"/>
        <v>P674CV00C3931</v>
      </c>
      <c r="B1872" t="str">
        <f>IFERROR(VLOOKUP($A1872,'[5]Study Budget Mapping '!$O$2:$P$532,2,0),"TBA")</f>
        <v>TBA</v>
      </c>
      <c r="D1872" s="2" t="s">
        <v>351</v>
      </c>
      <c r="E1872" s="2" t="s">
        <v>274</v>
      </c>
      <c r="F1872" s="3">
        <v>0</v>
      </c>
      <c r="G1872" s="3">
        <v>500000</v>
      </c>
      <c r="H1872" s="4"/>
      <c r="I1872" s="4"/>
      <c r="J1872" s="4"/>
      <c r="K1872" s="4"/>
      <c r="L1872" s="4"/>
      <c r="M1872" s="4"/>
    </row>
    <row r="1873" spans="1:13" ht="15" customHeight="1" x14ac:dyDescent="0.35">
      <c r="A1873" t="str">
        <f t="shared" si="29"/>
        <v>P674OD01C2431</v>
      </c>
      <c r="B1873" t="str">
        <f>IFERROR(VLOOKUP($A1873,'[5]Study Budget Mapping '!$O$2:$P$532,2,0),"TBA")</f>
        <v>TBA</v>
      </c>
      <c r="D1873" s="2" t="s">
        <v>352</v>
      </c>
      <c r="E1873" s="2" t="s">
        <v>15</v>
      </c>
      <c r="F1873" s="3">
        <v>6000000</v>
      </c>
      <c r="G1873" s="3">
        <v>6000000</v>
      </c>
      <c r="H1873" s="4"/>
      <c r="I1873" s="4"/>
      <c r="J1873" s="4"/>
      <c r="K1873" s="4"/>
      <c r="L1873" s="4"/>
      <c r="M1873" s="4"/>
    </row>
    <row r="1874" spans="1:13" ht="15" customHeight="1" x14ac:dyDescent="0.35">
      <c r="A1874" t="str">
        <f t="shared" si="29"/>
        <v>P674OD01C3731</v>
      </c>
      <c r="B1874" t="str">
        <f>IFERROR(VLOOKUP($A1874,'[5]Study Budget Mapping '!$O$2:$P$532,2,0),"TBA")</f>
        <v>TBA</v>
      </c>
      <c r="D1874" s="2" t="s">
        <v>353</v>
      </c>
      <c r="E1874" s="2" t="s">
        <v>13</v>
      </c>
      <c r="F1874" s="3">
        <v>87770000</v>
      </c>
      <c r="G1874" s="3">
        <v>87770000</v>
      </c>
      <c r="H1874" s="4"/>
      <c r="I1874" s="4"/>
      <c r="J1874" s="4"/>
      <c r="K1874" s="4"/>
      <c r="L1874" s="4"/>
      <c r="M1874" s="4"/>
    </row>
    <row r="1875" spans="1:13" ht="15" customHeight="1" x14ac:dyDescent="0.35">
      <c r="A1875" t="str">
        <f t="shared" si="29"/>
        <v>P674OD01C3731</v>
      </c>
      <c r="B1875" t="str">
        <f>IFERROR(VLOOKUP($A1875,'[5]Study Budget Mapping '!$O$2:$P$532,2,0),"TBA")</f>
        <v>TBA</v>
      </c>
      <c r="D1875" s="2" t="s">
        <v>353</v>
      </c>
      <c r="E1875" s="2" t="s">
        <v>14</v>
      </c>
      <c r="F1875" s="3">
        <v>11390000</v>
      </c>
      <c r="G1875" s="3">
        <v>11390000</v>
      </c>
      <c r="H1875" s="4"/>
      <c r="I1875" s="4"/>
      <c r="J1875" s="4"/>
      <c r="K1875" s="4"/>
      <c r="L1875" s="4"/>
      <c r="M1875" s="4"/>
    </row>
    <row r="1876" spans="1:13" ht="15" customHeight="1" x14ac:dyDescent="0.35">
      <c r="A1876" t="str">
        <f t="shared" si="29"/>
        <v>P674OD01C3731</v>
      </c>
      <c r="B1876" t="str">
        <f>IFERROR(VLOOKUP($A1876,'[5]Study Budget Mapping '!$O$2:$P$532,2,0),"TBA")</f>
        <v>TBA</v>
      </c>
      <c r="D1876" s="2" t="s">
        <v>353</v>
      </c>
      <c r="E1876" s="2" t="s">
        <v>19</v>
      </c>
      <c r="F1876" s="3">
        <v>19450000</v>
      </c>
      <c r="G1876" s="3">
        <v>19450000</v>
      </c>
      <c r="H1876" s="4"/>
      <c r="I1876" s="4"/>
      <c r="J1876" s="4"/>
      <c r="K1876" s="4"/>
      <c r="L1876" s="4"/>
      <c r="M1876" s="4"/>
    </row>
    <row r="1877" spans="1:13" ht="15" customHeight="1" x14ac:dyDescent="0.35">
      <c r="A1877" t="str">
        <f t="shared" si="29"/>
        <v>P674OD01C3731</v>
      </c>
      <c r="B1877" t="str">
        <f>IFERROR(VLOOKUP($A1877,'[5]Study Budget Mapping '!$O$2:$P$532,2,0),"TBA")</f>
        <v>TBA</v>
      </c>
      <c r="D1877" s="2" t="s">
        <v>353</v>
      </c>
      <c r="E1877" s="2" t="s">
        <v>20</v>
      </c>
      <c r="F1877" s="3">
        <v>13380000</v>
      </c>
      <c r="G1877" s="3">
        <v>13380000</v>
      </c>
      <c r="H1877" s="4"/>
      <c r="I1877" s="4"/>
      <c r="J1877" s="4"/>
      <c r="K1877" s="4"/>
      <c r="L1877" s="4"/>
      <c r="M1877" s="4"/>
    </row>
    <row r="1878" spans="1:13" ht="15" customHeight="1" x14ac:dyDescent="0.35">
      <c r="A1878" t="str">
        <f t="shared" si="29"/>
        <v>P674OD01C3731</v>
      </c>
      <c r="B1878" t="str">
        <f>IFERROR(VLOOKUP($A1878,'[5]Study Budget Mapping '!$O$2:$P$532,2,0),"TBA")</f>
        <v>TBA</v>
      </c>
      <c r="D1878" s="2" t="s">
        <v>353</v>
      </c>
      <c r="E1878" s="2" t="s">
        <v>31</v>
      </c>
      <c r="F1878" s="3">
        <v>500000</v>
      </c>
      <c r="G1878" s="3">
        <v>500000</v>
      </c>
      <c r="H1878" s="4"/>
      <c r="I1878" s="4"/>
      <c r="J1878" s="4"/>
      <c r="K1878" s="4"/>
      <c r="L1878" s="4"/>
      <c r="M1878" s="4"/>
    </row>
    <row r="1879" spans="1:13" ht="15" customHeight="1" x14ac:dyDescent="0.35">
      <c r="A1879" t="str">
        <f t="shared" si="29"/>
        <v>P674OD01C3731</v>
      </c>
      <c r="B1879" t="str">
        <f>IFERROR(VLOOKUP($A1879,'[5]Study Budget Mapping '!$O$2:$P$532,2,0),"TBA")</f>
        <v>TBA</v>
      </c>
      <c r="D1879" s="2" t="s">
        <v>353</v>
      </c>
      <c r="E1879" s="2" t="s">
        <v>21</v>
      </c>
      <c r="F1879" s="3">
        <v>1710000</v>
      </c>
      <c r="G1879" s="3">
        <v>1710000</v>
      </c>
      <c r="H1879" s="4"/>
      <c r="I1879" s="4"/>
      <c r="J1879" s="4"/>
      <c r="K1879" s="4"/>
      <c r="L1879" s="4"/>
      <c r="M1879" s="4"/>
    </row>
    <row r="1880" spans="1:13" ht="15" customHeight="1" x14ac:dyDescent="0.35">
      <c r="A1880" t="str">
        <f t="shared" si="29"/>
        <v>P674OD01C3731</v>
      </c>
      <c r="B1880" t="str">
        <f>IFERROR(VLOOKUP($A1880,'[5]Study Budget Mapping '!$O$2:$P$532,2,0),"TBA")</f>
        <v>TBA</v>
      </c>
      <c r="D1880" s="2" t="s">
        <v>353</v>
      </c>
      <c r="E1880" s="2" t="s">
        <v>15</v>
      </c>
      <c r="F1880" s="3">
        <v>42620000</v>
      </c>
      <c r="G1880" s="3">
        <v>42620000</v>
      </c>
      <c r="H1880" s="4"/>
      <c r="I1880" s="4"/>
      <c r="J1880" s="4"/>
      <c r="K1880" s="4"/>
      <c r="L1880" s="4"/>
      <c r="M1880" s="4"/>
    </row>
    <row r="1881" spans="1:13" ht="15" customHeight="1" x14ac:dyDescent="0.35">
      <c r="A1881" t="str">
        <f t="shared" si="29"/>
        <v>P674OD01C3731</v>
      </c>
      <c r="B1881" t="str">
        <f>IFERROR(VLOOKUP($A1881,'[5]Study Budget Mapping '!$O$2:$P$532,2,0),"TBA")</f>
        <v>TBA</v>
      </c>
      <c r="D1881" s="2" t="s">
        <v>353</v>
      </c>
      <c r="E1881" s="2" t="s">
        <v>22</v>
      </c>
      <c r="F1881" s="3">
        <v>2600000</v>
      </c>
      <c r="G1881" s="3">
        <v>2600000</v>
      </c>
      <c r="H1881" s="4"/>
      <c r="I1881" s="4"/>
      <c r="J1881" s="4"/>
      <c r="K1881" s="4"/>
      <c r="L1881" s="4"/>
      <c r="M1881" s="4"/>
    </row>
    <row r="1882" spans="1:13" ht="15" customHeight="1" x14ac:dyDescent="0.35">
      <c r="A1882" t="str">
        <f t="shared" si="29"/>
        <v>P674OD01C3731</v>
      </c>
      <c r="B1882" t="str">
        <f>IFERROR(VLOOKUP($A1882,'[5]Study Budget Mapping '!$O$2:$P$532,2,0),"TBA")</f>
        <v>TBA</v>
      </c>
      <c r="D1882" s="2" t="s">
        <v>353</v>
      </c>
      <c r="E1882" s="2" t="s">
        <v>16</v>
      </c>
      <c r="F1882" s="3">
        <v>5790000</v>
      </c>
      <c r="G1882" s="3">
        <v>5790000</v>
      </c>
      <c r="H1882" s="4"/>
      <c r="I1882" s="4"/>
      <c r="J1882" s="4"/>
      <c r="K1882" s="4"/>
      <c r="L1882" s="4"/>
      <c r="M1882" s="4"/>
    </row>
    <row r="1883" spans="1:13" ht="15" customHeight="1" x14ac:dyDescent="0.35">
      <c r="A1883" t="str">
        <f t="shared" si="29"/>
        <v>P674OD01C3731</v>
      </c>
      <c r="B1883" t="str">
        <f>IFERROR(VLOOKUP($A1883,'[5]Study Budget Mapping '!$O$2:$P$532,2,0),"TBA")</f>
        <v>TBA</v>
      </c>
      <c r="D1883" s="2" t="s">
        <v>353</v>
      </c>
      <c r="E1883" s="2" t="s">
        <v>17</v>
      </c>
      <c r="F1883" s="3">
        <v>750000</v>
      </c>
      <c r="G1883" s="3">
        <v>750000</v>
      </c>
      <c r="H1883" s="4"/>
      <c r="I1883" s="4"/>
      <c r="J1883" s="4"/>
      <c r="K1883" s="4"/>
      <c r="L1883" s="4"/>
      <c r="M1883" s="4"/>
    </row>
    <row r="1884" spans="1:13" ht="15" customHeight="1" x14ac:dyDescent="0.35">
      <c r="A1884" t="str">
        <f t="shared" si="29"/>
        <v>P674OD01C3731</v>
      </c>
      <c r="B1884" t="str">
        <f>IFERROR(VLOOKUP($A1884,'[5]Study Budget Mapping '!$O$2:$P$532,2,0),"TBA")</f>
        <v>TBA</v>
      </c>
      <c r="D1884" s="2" t="s">
        <v>353</v>
      </c>
      <c r="E1884" s="2" t="s">
        <v>23</v>
      </c>
      <c r="F1884" s="3">
        <v>3310000</v>
      </c>
      <c r="G1884" s="3">
        <v>3310000</v>
      </c>
      <c r="H1884" s="4"/>
      <c r="I1884" s="4"/>
      <c r="J1884" s="4"/>
      <c r="K1884" s="4"/>
      <c r="L1884" s="4"/>
      <c r="M1884" s="4"/>
    </row>
    <row r="1885" spans="1:13" ht="15" customHeight="1" x14ac:dyDescent="0.35">
      <c r="A1885" t="str">
        <f t="shared" si="29"/>
        <v>P674OD01C3731</v>
      </c>
      <c r="B1885" t="str">
        <f>IFERROR(VLOOKUP($A1885,'[5]Study Budget Mapping '!$O$2:$P$532,2,0),"TBA")</f>
        <v>TBA</v>
      </c>
      <c r="D1885" s="2" t="s">
        <v>353</v>
      </c>
      <c r="E1885" s="2" t="s">
        <v>24</v>
      </c>
      <c r="F1885" s="3">
        <v>8050000</v>
      </c>
      <c r="G1885" s="3">
        <v>8050000</v>
      </c>
      <c r="H1885" s="4"/>
      <c r="I1885" s="4"/>
      <c r="J1885" s="4"/>
      <c r="K1885" s="4"/>
      <c r="L1885" s="4"/>
      <c r="M1885" s="4"/>
    </row>
    <row r="1886" spans="1:13" ht="15" customHeight="1" x14ac:dyDescent="0.35">
      <c r="A1886" t="str">
        <f t="shared" si="29"/>
        <v>P674OD01C3731</v>
      </c>
      <c r="B1886" t="str">
        <f>IFERROR(VLOOKUP($A1886,'[5]Study Budget Mapping '!$O$2:$P$532,2,0),"TBA")</f>
        <v>TBA</v>
      </c>
      <c r="D1886" s="2" t="s">
        <v>353</v>
      </c>
      <c r="E1886" s="2" t="s">
        <v>32</v>
      </c>
      <c r="F1886" s="3">
        <v>2930000</v>
      </c>
      <c r="G1886" s="3">
        <v>2930000</v>
      </c>
      <c r="H1886" s="4"/>
      <c r="I1886" s="4"/>
      <c r="J1886" s="4"/>
      <c r="K1886" s="4"/>
      <c r="L1886" s="4"/>
      <c r="M1886" s="4"/>
    </row>
    <row r="1887" spans="1:13" ht="15" customHeight="1" x14ac:dyDescent="0.35">
      <c r="A1887" t="str">
        <f t="shared" si="29"/>
        <v>P674OD01C3732</v>
      </c>
      <c r="B1887" t="str">
        <f>IFERROR(VLOOKUP($A1887,'[5]Study Budget Mapping '!$O$2:$P$532,2,0),"TBA")</f>
        <v>TBA</v>
      </c>
      <c r="D1887" s="2" t="s">
        <v>354</v>
      </c>
      <c r="E1887" s="2" t="s">
        <v>15</v>
      </c>
      <c r="F1887" s="3">
        <v>10000000</v>
      </c>
      <c r="G1887" s="3">
        <v>10000000</v>
      </c>
      <c r="H1887" s="4"/>
      <c r="I1887" s="4"/>
      <c r="J1887" s="4"/>
      <c r="K1887" s="4"/>
      <c r="L1887" s="4"/>
      <c r="M1887" s="4"/>
    </row>
    <row r="1888" spans="1:13" ht="15" customHeight="1" x14ac:dyDescent="0.35">
      <c r="A1888" t="str">
        <f t="shared" si="29"/>
        <v>P674HE00C4931</v>
      </c>
      <c r="B1888" t="str">
        <f>IFERROR(VLOOKUP($A1888,'[5]Study Budget Mapping '!$O$2:$P$532,2,0),"TBA")</f>
        <v>TBA</v>
      </c>
      <c r="D1888" s="2" t="s">
        <v>355</v>
      </c>
      <c r="E1888" s="2" t="s">
        <v>13</v>
      </c>
      <c r="F1888" s="3">
        <v>60000</v>
      </c>
      <c r="G1888" s="3">
        <v>60000</v>
      </c>
      <c r="H1888" s="4"/>
      <c r="I1888" s="4"/>
      <c r="J1888" s="4"/>
      <c r="K1888" s="4"/>
      <c r="L1888" s="4"/>
      <c r="M1888" s="4"/>
    </row>
    <row r="1889" spans="1:13" ht="15" customHeight="1" x14ac:dyDescent="0.35">
      <c r="A1889" t="str">
        <f t="shared" si="29"/>
        <v>P674HE00C4931</v>
      </c>
      <c r="B1889" t="str">
        <f>IFERROR(VLOOKUP($A1889,'[5]Study Budget Mapping '!$O$2:$P$532,2,0),"TBA")</f>
        <v>TBA</v>
      </c>
      <c r="D1889" s="2" t="s">
        <v>355</v>
      </c>
      <c r="E1889" s="2" t="s">
        <v>14</v>
      </c>
      <c r="F1889" s="3">
        <v>265000</v>
      </c>
      <c r="G1889" s="3">
        <v>265000</v>
      </c>
      <c r="H1889" s="4"/>
      <c r="I1889" s="4"/>
      <c r="J1889" s="4"/>
      <c r="K1889" s="4"/>
      <c r="L1889" s="4"/>
      <c r="M1889" s="4"/>
    </row>
    <row r="1890" spans="1:13" ht="15" customHeight="1" x14ac:dyDescent="0.35">
      <c r="A1890" t="str">
        <f t="shared" si="29"/>
        <v>P674HE00C4931</v>
      </c>
      <c r="B1890" t="str">
        <f>IFERROR(VLOOKUP($A1890,'[5]Study Budget Mapping '!$O$2:$P$532,2,0),"TBA")</f>
        <v>TBA</v>
      </c>
      <c r="D1890" s="2" t="s">
        <v>355</v>
      </c>
      <c r="E1890" s="2" t="s">
        <v>19</v>
      </c>
      <c r="F1890" s="3">
        <v>200000</v>
      </c>
      <c r="G1890" s="3">
        <v>200000</v>
      </c>
      <c r="H1890" s="4"/>
      <c r="I1890" s="4"/>
      <c r="J1890" s="4"/>
      <c r="K1890" s="4"/>
      <c r="L1890" s="4"/>
      <c r="M1890" s="4"/>
    </row>
    <row r="1891" spans="1:13" ht="15" customHeight="1" x14ac:dyDescent="0.35">
      <c r="A1891" t="str">
        <f t="shared" si="29"/>
        <v>P674HE00C4931</v>
      </c>
      <c r="B1891" t="str">
        <f>IFERROR(VLOOKUP($A1891,'[5]Study Budget Mapping '!$O$2:$P$532,2,0),"TBA")</f>
        <v>TBA</v>
      </c>
      <c r="D1891" s="2" t="s">
        <v>355</v>
      </c>
      <c r="E1891" s="2" t="s">
        <v>15</v>
      </c>
      <c r="F1891" s="3">
        <v>780000</v>
      </c>
      <c r="G1891" s="3">
        <v>780000</v>
      </c>
      <c r="H1891" s="4"/>
      <c r="I1891" s="4"/>
      <c r="J1891" s="4"/>
      <c r="K1891" s="4"/>
      <c r="L1891" s="4"/>
      <c r="M1891" s="4"/>
    </row>
    <row r="1892" spans="1:13" ht="15" customHeight="1" x14ac:dyDescent="0.35">
      <c r="A1892" t="str">
        <f t="shared" si="29"/>
        <v>P674HE00C4931</v>
      </c>
      <c r="B1892" t="str">
        <f>IFERROR(VLOOKUP($A1892,'[5]Study Budget Mapping '!$O$2:$P$532,2,0),"TBA")</f>
        <v>TBA</v>
      </c>
      <c r="D1892" s="2" t="s">
        <v>355</v>
      </c>
      <c r="E1892" s="2" t="s">
        <v>22</v>
      </c>
      <c r="F1892" s="3">
        <v>830000</v>
      </c>
      <c r="G1892" s="3">
        <v>830000</v>
      </c>
      <c r="H1892" s="4"/>
      <c r="I1892" s="4"/>
      <c r="J1892" s="4"/>
      <c r="K1892" s="4"/>
      <c r="L1892" s="4"/>
      <c r="M1892" s="4"/>
    </row>
    <row r="1893" spans="1:13" ht="15" customHeight="1" x14ac:dyDescent="0.35">
      <c r="A1893" t="str">
        <f t="shared" si="29"/>
        <v>P674HE00C4931</v>
      </c>
      <c r="B1893" t="str">
        <f>IFERROR(VLOOKUP($A1893,'[5]Study Budget Mapping '!$O$2:$P$532,2,0),"TBA")</f>
        <v>TBA</v>
      </c>
      <c r="D1893" s="2" t="s">
        <v>355</v>
      </c>
      <c r="E1893" s="2" t="s">
        <v>16</v>
      </c>
      <c r="F1893" s="3">
        <v>275000</v>
      </c>
      <c r="G1893" s="3">
        <v>275000</v>
      </c>
      <c r="H1893" s="4"/>
      <c r="I1893" s="4"/>
      <c r="J1893" s="4"/>
      <c r="K1893" s="4"/>
      <c r="L1893" s="4"/>
      <c r="M1893" s="4"/>
    </row>
    <row r="1894" spans="1:13" ht="15" customHeight="1" x14ac:dyDescent="0.35">
      <c r="A1894" t="str">
        <f t="shared" si="29"/>
        <v>P674HE00C4931</v>
      </c>
      <c r="B1894" t="str">
        <f>IFERROR(VLOOKUP($A1894,'[5]Study Budget Mapping '!$O$2:$P$532,2,0),"TBA")</f>
        <v>TBA</v>
      </c>
      <c r="D1894" s="2" t="s">
        <v>355</v>
      </c>
      <c r="E1894" s="2" t="s">
        <v>17</v>
      </c>
      <c r="F1894" s="3">
        <v>345000</v>
      </c>
      <c r="G1894" s="3">
        <v>345000</v>
      </c>
      <c r="H1894" s="4"/>
      <c r="I1894" s="4"/>
      <c r="J1894" s="4"/>
      <c r="K1894" s="4"/>
      <c r="L1894" s="4"/>
      <c r="M1894" s="4"/>
    </row>
    <row r="1895" spans="1:13" ht="15" customHeight="1" x14ac:dyDescent="0.35">
      <c r="A1895" t="str">
        <f t="shared" si="29"/>
        <v>P674HE00C4931</v>
      </c>
      <c r="B1895" t="str">
        <f>IFERROR(VLOOKUP($A1895,'[5]Study Budget Mapping '!$O$2:$P$532,2,0),"TBA")</f>
        <v>TBA</v>
      </c>
      <c r="D1895" s="2" t="s">
        <v>355</v>
      </c>
      <c r="E1895" s="2" t="s">
        <v>23</v>
      </c>
      <c r="F1895" s="3">
        <v>610000</v>
      </c>
      <c r="G1895" s="3">
        <v>610000</v>
      </c>
      <c r="H1895" s="4"/>
      <c r="I1895" s="4"/>
      <c r="J1895" s="4"/>
      <c r="K1895" s="4"/>
      <c r="L1895" s="4"/>
      <c r="M1895" s="4"/>
    </row>
    <row r="1896" spans="1:13" ht="15" customHeight="1" x14ac:dyDescent="0.35">
      <c r="A1896" t="str">
        <f t="shared" si="29"/>
        <v>P674HE06C3731</v>
      </c>
      <c r="B1896" t="str">
        <f>IFERROR(VLOOKUP($A1896,'[5]Study Budget Mapping '!$O$2:$P$532,2,0),"TBA")</f>
        <v>TBA</v>
      </c>
      <c r="D1896" s="2" t="s">
        <v>356</v>
      </c>
      <c r="E1896" s="2" t="s">
        <v>13</v>
      </c>
      <c r="F1896" s="3">
        <v>3520000</v>
      </c>
      <c r="G1896" s="3">
        <v>3520000</v>
      </c>
      <c r="H1896" s="4"/>
      <c r="I1896" s="4"/>
      <c r="J1896" s="4"/>
      <c r="K1896" s="4"/>
      <c r="L1896" s="4"/>
      <c r="M1896" s="4"/>
    </row>
    <row r="1897" spans="1:13" ht="15" customHeight="1" x14ac:dyDescent="0.35">
      <c r="A1897" t="str">
        <f t="shared" si="29"/>
        <v>P674HE06C3731</v>
      </c>
      <c r="B1897" t="str">
        <f>IFERROR(VLOOKUP($A1897,'[5]Study Budget Mapping '!$O$2:$P$532,2,0),"TBA")</f>
        <v>TBA</v>
      </c>
      <c r="D1897" s="2" t="s">
        <v>356</v>
      </c>
      <c r="E1897" s="2" t="s">
        <v>14</v>
      </c>
      <c r="F1897" s="3">
        <v>1180000</v>
      </c>
      <c r="G1897" s="3">
        <v>1180000</v>
      </c>
      <c r="H1897" s="4"/>
      <c r="I1897" s="4"/>
      <c r="J1897" s="4"/>
      <c r="K1897" s="4"/>
      <c r="L1897" s="4"/>
      <c r="M1897" s="4"/>
    </row>
    <row r="1898" spans="1:13" ht="15" customHeight="1" x14ac:dyDescent="0.35">
      <c r="A1898" t="str">
        <f t="shared" si="29"/>
        <v>P674HE06C3731</v>
      </c>
      <c r="B1898" t="str">
        <f>IFERROR(VLOOKUP($A1898,'[5]Study Budget Mapping '!$O$2:$P$532,2,0),"TBA")</f>
        <v>TBA</v>
      </c>
      <c r="D1898" s="2" t="s">
        <v>356</v>
      </c>
      <c r="E1898" s="2" t="s">
        <v>19</v>
      </c>
      <c r="F1898" s="3">
        <v>1640000</v>
      </c>
      <c r="G1898" s="3">
        <v>1640000</v>
      </c>
      <c r="H1898" s="4"/>
      <c r="I1898" s="4"/>
      <c r="J1898" s="4"/>
      <c r="K1898" s="4"/>
      <c r="L1898" s="4"/>
      <c r="M1898" s="4"/>
    </row>
    <row r="1899" spans="1:13" ht="15" customHeight="1" x14ac:dyDescent="0.35">
      <c r="A1899" t="str">
        <f t="shared" si="29"/>
        <v>P674HE06C3731</v>
      </c>
      <c r="B1899" t="str">
        <f>IFERROR(VLOOKUP($A1899,'[5]Study Budget Mapping '!$O$2:$P$532,2,0),"TBA")</f>
        <v>TBA</v>
      </c>
      <c r="D1899" s="2" t="s">
        <v>356</v>
      </c>
      <c r="E1899" s="2" t="s">
        <v>15</v>
      </c>
      <c r="F1899" s="3">
        <v>4940000</v>
      </c>
      <c r="G1899" s="3">
        <v>4940000</v>
      </c>
      <c r="H1899" s="4"/>
      <c r="I1899" s="4"/>
      <c r="J1899" s="4"/>
      <c r="K1899" s="4"/>
      <c r="L1899" s="4"/>
      <c r="M1899" s="4"/>
    </row>
    <row r="1900" spans="1:13" ht="15" customHeight="1" x14ac:dyDescent="0.35">
      <c r="A1900" t="str">
        <f t="shared" si="29"/>
        <v>P674HE06C3731</v>
      </c>
      <c r="B1900" t="str">
        <f>IFERROR(VLOOKUP($A1900,'[5]Study Budget Mapping '!$O$2:$P$532,2,0),"TBA")</f>
        <v>TBA</v>
      </c>
      <c r="D1900" s="2" t="s">
        <v>356</v>
      </c>
      <c r="E1900" s="2" t="s">
        <v>22</v>
      </c>
      <c r="F1900" s="3">
        <v>1550000</v>
      </c>
      <c r="G1900" s="3">
        <v>1550000</v>
      </c>
      <c r="H1900" s="4"/>
      <c r="I1900" s="4"/>
      <c r="J1900" s="4"/>
      <c r="K1900" s="4"/>
      <c r="L1900" s="4"/>
      <c r="M1900" s="4"/>
    </row>
    <row r="1901" spans="1:13" ht="15" customHeight="1" x14ac:dyDescent="0.35">
      <c r="A1901" t="str">
        <f t="shared" si="29"/>
        <v>P674HE06C3731</v>
      </c>
      <c r="B1901" t="str">
        <f>IFERROR(VLOOKUP($A1901,'[5]Study Budget Mapping '!$O$2:$P$532,2,0),"TBA")</f>
        <v>TBA</v>
      </c>
      <c r="D1901" s="2" t="s">
        <v>356</v>
      </c>
      <c r="E1901" s="2" t="s">
        <v>16</v>
      </c>
      <c r="F1901" s="3">
        <v>830000</v>
      </c>
      <c r="G1901" s="3">
        <v>830000</v>
      </c>
      <c r="H1901" s="4"/>
      <c r="I1901" s="4"/>
      <c r="J1901" s="4"/>
      <c r="K1901" s="4"/>
      <c r="L1901" s="4"/>
      <c r="M1901" s="4"/>
    </row>
    <row r="1902" spans="1:13" ht="15" customHeight="1" x14ac:dyDescent="0.35">
      <c r="A1902" t="str">
        <f t="shared" si="29"/>
        <v>P674HE06C3731</v>
      </c>
      <c r="B1902" t="str">
        <f>IFERROR(VLOOKUP($A1902,'[5]Study Budget Mapping '!$O$2:$P$532,2,0),"TBA")</f>
        <v>TBA</v>
      </c>
      <c r="D1902" s="2" t="s">
        <v>356</v>
      </c>
      <c r="E1902" s="2" t="s">
        <v>17</v>
      </c>
      <c r="F1902" s="3">
        <v>570000</v>
      </c>
      <c r="G1902" s="3">
        <v>570000</v>
      </c>
      <c r="H1902" s="4"/>
      <c r="I1902" s="4"/>
      <c r="J1902" s="4"/>
      <c r="K1902" s="4"/>
      <c r="L1902" s="4"/>
      <c r="M1902" s="4"/>
    </row>
    <row r="1903" spans="1:13" ht="15" customHeight="1" x14ac:dyDescent="0.35">
      <c r="A1903" t="str">
        <f t="shared" si="29"/>
        <v>P674HE06C3731</v>
      </c>
      <c r="B1903" t="str">
        <f>IFERROR(VLOOKUP($A1903,'[5]Study Budget Mapping '!$O$2:$P$532,2,0),"TBA")</f>
        <v>TBA</v>
      </c>
      <c r="D1903" s="2" t="s">
        <v>356</v>
      </c>
      <c r="E1903" s="2" t="s">
        <v>23</v>
      </c>
      <c r="F1903" s="3">
        <v>150000</v>
      </c>
      <c r="G1903" s="3">
        <v>150000</v>
      </c>
      <c r="H1903" s="4"/>
      <c r="I1903" s="4"/>
      <c r="J1903" s="4"/>
      <c r="K1903" s="4"/>
      <c r="L1903" s="4"/>
      <c r="M1903" s="4"/>
    </row>
    <row r="1904" spans="1:13" ht="15" customHeight="1" x14ac:dyDescent="0.35">
      <c r="A1904" t="str">
        <f t="shared" si="29"/>
        <v>P674HE06C3731</v>
      </c>
      <c r="B1904" t="str">
        <f>IFERROR(VLOOKUP($A1904,'[5]Study Budget Mapping '!$O$2:$P$532,2,0),"TBA")</f>
        <v>TBA</v>
      </c>
      <c r="D1904" s="2" t="s">
        <v>356</v>
      </c>
      <c r="E1904" s="2" t="s">
        <v>24</v>
      </c>
      <c r="F1904" s="3">
        <v>1440000</v>
      </c>
      <c r="G1904" s="3">
        <v>1440000</v>
      </c>
      <c r="H1904" s="4"/>
      <c r="I1904" s="4"/>
      <c r="J1904" s="4"/>
      <c r="K1904" s="4"/>
      <c r="L1904" s="4"/>
      <c r="M1904" s="4"/>
    </row>
    <row r="1905" spans="1:13" ht="15" customHeight="1" x14ac:dyDescent="0.35">
      <c r="A1905" t="str">
        <f t="shared" si="29"/>
        <v>P674HE06C3731</v>
      </c>
      <c r="B1905" t="str">
        <f>IFERROR(VLOOKUP($A1905,'[5]Study Budget Mapping '!$O$2:$P$532,2,0),"TBA")</f>
        <v>TBA</v>
      </c>
      <c r="D1905" s="2" t="s">
        <v>356</v>
      </c>
      <c r="E1905" s="2" t="s">
        <v>32</v>
      </c>
      <c r="F1905" s="3">
        <v>350000</v>
      </c>
      <c r="G1905" s="3">
        <v>350000</v>
      </c>
      <c r="H1905" s="4"/>
      <c r="I1905" s="4"/>
      <c r="J1905" s="4"/>
      <c r="K1905" s="4"/>
      <c r="L1905" s="4"/>
      <c r="M1905" s="4"/>
    </row>
    <row r="1906" spans="1:13" ht="15" customHeight="1" x14ac:dyDescent="0.35">
      <c r="A1906" t="str">
        <f t="shared" si="29"/>
        <v>P674OD01C1021</v>
      </c>
      <c r="B1906" t="str">
        <f>IFERROR(VLOOKUP($A1906,'[5]Study Budget Mapping '!$O$2:$P$532,2,0),"TBA")</f>
        <v>TBA</v>
      </c>
      <c r="D1906" s="2" t="s">
        <v>357</v>
      </c>
      <c r="E1906" s="2" t="s">
        <v>13</v>
      </c>
      <c r="F1906" s="3">
        <v>2360000</v>
      </c>
      <c r="G1906" s="3">
        <v>2360000</v>
      </c>
      <c r="H1906" s="4"/>
      <c r="I1906" s="4"/>
      <c r="J1906" s="4"/>
      <c r="K1906" s="4"/>
      <c r="L1906" s="4"/>
      <c r="M1906" s="4"/>
    </row>
    <row r="1907" spans="1:13" ht="15" customHeight="1" x14ac:dyDescent="0.35">
      <c r="A1907" t="str">
        <f t="shared" si="29"/>
        <v>P674OD01C1021</v>
      </c>
      <c r="B1907" t="str">
        <f>IFERROR(VLOOKUP($A1907,'[5]Study Budget Mapping '!$O$2:$P$532,2,0),"TBA")</f>
        <v>TBA</v>
      </c>
      <c r="D1907" s="2" t="s">
        <v>357</v>
      </c>
      <c r="E1907" s="2" t="s">
        <v>14</v>
      </c>
      <c r="F1907" s="3">
        <v>430000</v>
      </c>
      <c r="G1907" s="3">
        <v>430000</v>
      </c>
      <c r="H1907" s="4"/>
      <c r="I1907" s="4"/>
      <c r="J1907" s="4"/>
      <c r="K1907" s="4"/>
      <c r="L1907" s="4"/>
      <c r="M1907" s="4"/>
    </row>
    <row r="1908" spans="1:13" ht="15" customHeight="1" x14ac:dyDescent="0.35">
      <c r="A1908" t="str">
        <f t="shared" si="29"/>
        <v>P674OD01C1021</v>
      </c>
      <c r="B1908" t="str">
        <f>IFERROR(VLOOKUP($A1908,'[5]Study Budget Mapping '!$O$2:$P$532,2,0),"TBA")</f>
        <v>TBA</v>
      </c>
      <c r="D1908" s="2" t="s">
        <v>357</v>
      </c>
      <c r="E1908" s="2" t="s">
        <v>19</v>
      </c>
      <c r="F1908" s="3">
        <v>460000</v>
      </c>
      <c r="G1908" s="3">
        <v>460000</v>
      </c>
      <c r="H1908" s="4"/>
      <c r="I1908" s="4"/>
      <c r="J1908" s="4"/>
      <c r="K1908" s="4"/>
      <c r="L1908" s="4"/>
      <c r="M1908" s="4"/>
    </row>
    <row r="1909" spans="1:13" ht="15" customHeight="1" x14ac:dyDescent="0.35">
      <c r="A1909" t="str">
        <f t="shared" si="29"/>
        <v>P674OD01C1021</v>
      </c>
      <c r="B1909" t="str">
        <f>IFERROR(VLOOKUP($A1909,'[5]Study Budget Mapping '!$O$2:$P$532,2,0),"TBA")</f>
        <v>TBA</v>
      </c>
      <c r="D1909" s="2" t="s">
        <v>357</v>
      </c>
      <c r="E1909" s="2" t="s">
        <v>20</v>
      </c>
      <c r="F1909" s="3">
        <v>450000</v>
      </c>
      <c r="G1909" s="3">
        <v>450000</v>
      </c>
      <c r="H1909" s="4"/>
      <c r="I1909" s="4"/>
      <c r="J1909" s="4"/>
      <c r="K1909" s="4"/>
      <c r="L1909" s="4"/>
      <c r="M1909" s="4"/>
    </row>
    <row r="1910" spans="1:13" ht="15" customHeight="1" x14ac:dyDescent="0.35">
      <c r="A1910" t="str">
        <f t="shared" si="29"/>
        <v>P674OD01C1021</v>
      </c>
      <c r="B1910" t="str">
        <f>IFERROR(VLOOKUP($A1910,'[5]Study Budget Mapping '!$O$2:$P$532,2,0),"TBA")</f>
        <v>TBA</v>
      </c>
      <c r="D1910" s="2" t="s">
        <v>357</v>
      </c>
      <c r="E1910" s="2" t="s">
        <v>15</v>
      </c>
      <c r="F1910" s="3">
        <v>2150000</v>
      </c>
      <c r="G1910" s="3">
        <v>2150000</v>
      </c>
      <c r="H1910" s="4"/>
      <c r="I1910" s="4"/>
      <c r="J1910" s="4"/>
      <c r="K1910" s="4"/>
      <c r="L1910" s="4"/>
      <c r="M1910" s="4"/>
    </row>
    <row r="1911" spans="1:13" ht="15" customHeight="1" x14ac:dyDescent="0.35">
      <c r="A1911" t="str">
        <f t="shared" si="29"/>
        <v>P674OD01C1021</v>
      </c>
      <c r="B1911" t="str">
        <f>IFERROR(VLOOKUP($A1911,'[5]Study Budget Mapping '!$O$2:$P$532,2,0),"TBA")</f>
        <v>TBA</v>
      </c>
      <c r="D1911" s="2" t="s">
        <v>357</v>
      </c>
      <c r="E1911" s="2" t="s">
        <v>22</v>
      </c>
      <c r="F1911" s="3">
        <v>980000</v>
      </c>
      <c r="G1911" s="3">
        <v>980000</v>
      </c>
      <c r="H1911" s="4"/>
      <c r="I1911" s="4"/>
      <c r="J1911" s="4"/>
      <c r="K1911" s="4"/>
      <c r="L1911" s="4"/>
      <c r="M1911" s="4"/>
    </row>
    <row r="1912" spans="1:13" ht="15" customHeight="1" x14ac:dyDescent="0.35">
      <c r="A1912" t="str">
        <f t="shared" si="29"/>
        <v>P674OD01C1021</v>
      </c>
      <c r="B1912" t="str">
        <f>IFERROR(VLOOKUP($A1912,'[5]Study Budget Mapping '!$O$2:$P$532,2,0),"TBA")</f>
        <v>TBA</v>
      </c>
      <c r="D1912" s="2" t="s">
        <v>357</v>
      </c>
      <c r="E1912" s="2" t="s">
        <v>16</v>
      </c>
      <c r="F1912" s="3">
        <v>90000</v>
      </c>
      <c r="G1912" s="3">
        <v>90000</v>
      </c>
      <c r="H1912" s="4"/>
      <c r="I1912" s="4"/>
      <c r="J1912" s="4"/>
      <c r="K1912" s="4"/>
      <c r="L1912" s="4"/>
      <c r="M1912" s="4"/>
    </row>
    <row r="1913" spans="1:13" ht="15" customHeight="1" x14ac:dyDescent="0.35">
      <c r="A1913" t="str">
        <f t="shared" si="29"/>
        <v>P674OD01C1021</v>
      </c>
      <c r="B1913" t="str">
        <f>IFERROR(VLOOKUP($A1913,'[5]Study Budget Mapping '!$O$2:$P$532,2,0),"TBA")</f>
        <v>TBA</v>
      </c>
      <c r="D1913" s="2" t="s">
        <v>357</v>
      </c>
      <c r="E1913" s="2" t="s">
        <v>17</v>
      </c>
      <c r="F1913" s="3">
        <v>340000</v>
      </c>
      <c r="G1913" s="3">
        <v>340000</v>
      </c>
      <c r="H1913" s="4"/>
      <c r="I1913" s="4"/>
      <c r="J1913" s="4"/>
      <c r="K1913" s="4"/>
      <c r="L1913" s="4"/>
      <c r="M1913" s="4"/>
    </row>
    <row r="1914" spans="1:13" ht="15" customHeight="1" x14ac:dyDescent="0.35">
      <c r="A1914" t="str">
        <f t="shared" si="29"/>
        <v>P674OD01C1021</v>
      </c>
      <c r="B1914" t="str">
        <f>IFERROR(VLOOKUP($A1914,'[5]Study Budget Mapping '!$O$2:$P$532,2,0),"TBA")</f>
        <v>TBA</v>
      </c>
      <c r="D1914" s="2" t="s">
        <v>357</v>
      </c>
      <c r="E1914" s="2" t="s">
        <v>24</v>
      </c>
      <c r="F1914" s="3">
        <v>260000</v>
      </c>
      <c r="G1914" s="3">
        <v>260000</v>
      </c>
      <c r="H1914" s="4"/>
      <c r="I1914" s="4"/>
      <c r="J1914" s="4"/>
      <c r="K1914" s="4"/>
      <c r="L1914" s="4"/>
      <c r="M1914" s="4"/>
    </row>
    <row r="1915" spans="1:13" ht="15" customHeight="1" x14ac:dyDescent="0.35">
      <c r="A1915" t="str">
        <f t="shared" si="29"/>
        <v>P675ST04C1011</v>
      </c>
      <c r="B1915" t="str">
        <f>IFERROR(VLOOKUP($A1915,'[5]Study Budget Mapping '!$O$2:$P$532,2,0),"TBA")</f>
        <v>TBA</v>
      </c>
      <c r="D1915" s="2" t="s">
        <v>358</v>
      </c>
      <c r="E1915" s="2" t="s">
        <v>13</v>
      </c>
      <c r="F1915" s="3">
        <v>31680000</v>
      </c>
      <c r="G1915" s="3">
        <v>69100000</v>
      </c>
      <c r="H1915" s="4"/>
      <c r="I1915" s="4"/>
      <c r="J1915" s="4"/>
      <c r="K1915" s="4"/>
      <c r="L1915" s="4"/>
      <c r="M1915" s="4"/>
    </row>
    <row r="1916" spans="1:13" ht="15" customHeight="1" x14ac:dyDescent="0.35">
      <c r="A1916" t="str">
        <f t="shared" si="29"/>
        <v>P675ST04C1011</v>
      </c>
      <c r="B1916" t="str">
        <f>IFERROR(VLOOKUP($A1916,'[5]Study Budget Mapping '!$O$2:$P$532,2,0),"TBA")</f>
        <v>TBA</v>
      </c>
      <c r="D1916" s="2" t="s">
        <v>358</v>
      </c>
      <c r="E1916" s="2" t="s">
        <v>14</v>
      </c>
      <c r="F1916" s="3">
        <v>3300000</v>
      </c>
      <c r="G1916" s="3">
        <v>10060000</v>
      </c>
      <c r="H1916" s="4"/>
      <c r="I1916" s="4"/>
      <c r="J1916" s="4"/>
      <c r="K1916" s="4"/>
      <c r="L1916" s="4"/>
      <c r="M1916" s="4"/>
    </row>
    <row r="1917" spans="1:13" ht="15" customHeight="1" x14ac:dyDescent="0.35">
      <c r="A1917" t="str">
        <f t="shared" si="29"/>
        <v>P675ST04C1011</v>
      </c>
      <c r="B1917" t="str">
        <f>IFERROR(VLOOKUP($A1917,'[5]Study Budget Mapping '!$O$2:$P$532,2,0),"TBA")</f>
        <v>TBA</v>
      </c>
      <c r="D1917" s="2" t="s">
        <v>358</v>
      </c>
      <c r="E1917" s="2" t="s">
        <v>19</v>
      </c>
      <c r="F1917" s="3">
        <v>0</v>
      </c>
      <c r="G1917" s="3">
        <v>1000000</v>
      </c>
      <c r="H1917" s="4"/>
      <c r="I1917" s="4"/>
      <c r="J1917" s="4"/>
      <c r="K1917" s="4"/>
      <c r="L1917" s="4"/>
      <c r="M1917" s="4"/>
    </row>
    <row r="1918" spans="1:13" ht="15" customHeight="1" x14ac:dyDescent="0.35">
      <c r="A1918" t="str">
        <f t="shared" si="29"/>
        <v>P675ST04C1011</v>
      </c>
      <c r="B1918" t="str">
        <f>IFERROR(VLOOKUP($A1918,'[5]Study Budget Mapping '!$O$2:$P$532,2,0),"TBA")</f>
        <v>TBA</v>
      </c>
      <c r="D1918" s="2" t="s">
        <v>358</v>
      </c>
      <c r="E1918" s="2" t="s">
        <v>20</v>
      </c>
      <c r="F1918" s="3">
        <v>700000</v>
      </c>
      <c r="G1918" s="3">
        <v>1580000</v>
      </c>
      <c r="H1918" s="4"/>
      <c r="I1918" s="4"/>
      <c r="J1918" s="4"/>
      <c r="K1918" s="4"/>
      <c r="L1918" s="4"/>
      <c r="M1918" s="4"/>
    </row>
    <row r="1919" spans="1:13" ht="15" customHeight="1" x14ac:dyDescent="0.35">
      <c r="A1919" t="str">
        <f t="shared" si="29"/>
        <v>P675ST04C1011</v>
      </c>
      <c r="B1919" t="str">
        <f>IFERROR(VLOOKUP($A1919,'[5]Study Budget Mapping '!$O$2:$P$532,2,0),"TBA")</f>
        <v>TBA</v>
      </c>
      <c r="D1919" s="2" t="s">
        <v>358</v>
      </c>
      <c r="E1919" s="2" t="s">
        <v>15</v>
      </c>
      <c r="F1919" s="3">
        <v>7600000</v>
      </c>
      <c r="G1919" s="3">
        <v>25750000</v>
      </c>
      <c r="H1919" s="4"/>
      <c r="I1919" s="4"/>
      <c r="J1919" s="4"/>
      <c r="K1919" s="4"/>
      <c r="L1919" s="4"/>
      <c r="M1919" s="4"/>
    </row>
    <row r="1920" spans="1:13" ht="15" customHeight="1" x14ac:dyDescent="0.35">
      <c r="A1920" t="str">
        <f t="shared" si="29"/>
        <v>P675ST04C1011</v>
      </c>
      <c r="B1920" t="str">
        <f>IFERROR(VLOOKUP($A1920,'[5]Study Budget Mapping '!$O$2:$P$532,2,0),"TBA")</f>
        <v>TBA</v>
      </c>
      <c r="D1920" s="2" t="s">
        <v>358</v>
      </c>
      <c r="E1920" s="2" t="s">
        <v>22</v>
      </c>
      <c r="F1920" s="3">
        <v>0</v>
      </c>
      <c r="G1920" s="3">
        <v>150000</v>
      </c>
      <c r="H1920" s="4"/>
      <c r="I1920" s="4"/>
      <c r="J1920" s="4"/>
      <c r="K1920" s="4"/>
      <c r="L1920" s="4"/>
      <c r="M1920" s="4"/>
    </row>
    <row r="1921" spans="1:13" ht="15" customHeight="1" x14ac:dyDescent="0.35">
      <c r="A1921" t="str">
        <f t="shared" si="29"/>
        <v>P675ST04C1011</v>
      </c>
      <c r="B1921" t="str">
        <f>IFERROR(VLOOKUP($A1921,'[5]Study Budget Mapping '!$O$2:$P$532,2,0),"TBA")</f>
        <v>TBA</v>
      </c>
      <c r="D1921" s="2" t="s">
        <v>358</v>
      </c>
      <c r="E1921" s="2" t="s">
        <v>16</v>
      </c>
      <c r="F1921" s="3">
        <v>1100000</v>
      </c>
      <c r="G1921" s="3">
        <v>2500000</v>
      </c>
      <c r="H1921" s="4"/>
      <c r="I1921" s="4"/>
      <c r="J1921" s="4"/>
      <c r="K1921" s="4"/>
      <c r="L1921" s="4"/>
      <c r="M1921" s="4"/>
    </row>
    <row r="1922" spans="1:13" ht="15" customHeight="1" x14ac:dyDescent="0.35">
      <c r="A1922" t="str">
        <f t="shared" si="29"/>
        <v>P675ST04C1011</v>
      </c>
      <c r="B1922" t="str">
        <f>IFERROR(VLOOKUP($A1922,'[5]Study Budget Mapping '!$O$2:$P$532,2,0),"TBA")</f>
        <v>TBA</v>
      </c>
      <c r="D1922" s="2" t="s">
        <v>358</v>
      </c>
      <c r="E1922" s="2" t="s">
        <v>17</v>
      </c>
      <c r="F1922" s="3">
        <v>300000</v>
      </c>
      <c r="G1922" s="3">
        <v>1360000</v>
      </c>
      <c r="H1922" s="4"/>
      <c r="I1922" s="4"/>
      <c r="J1922" s="4"/>
      <c r="K1922" s="4"/>
      <c r="L1922" s="4"/>
      <c r="M1922" s="4"/>
    </row>
    <row r="1923" spans="1:13" ht="15" customHeight="1" x14ac:dyDescent="0.35">
      <c r="A1923" t="str">
        <f t="shared" ref="A1923:A1986" si="30">TRIM(_xlfn.TEXTBEFORE(D1923,"-",1))</f>
        <v>P675ST04C1011</v>
      </c>
      <c r="B1923" t="str">
        <f>IFERROR(VLOOKUP($A1923,'[5]Study Budget Mapping '!$O$2:$P$532,2,0),"TBA")</f>
        <v>TBA</v>
      </c>
      <c r="D1923" s="2" t="s">
        <v>358</v>
      </c>
      <c r="E1923" s="2" t="s">
        <v>24</v>
      </c>
      <c r="F1923" s="3">
        <v>700000</v>
      </c>
      <c r="G1923" s="3">
        <v>2470000</v>
      </c>
      <c r="H1923" s="4"/>
      <c r="I1923" s="4"/>
      <c r="J1923" s="4"/>
      <c r="K1923" s="4"/>
      <c r="L1923" s="4"/>
      <c r="M1923" s="4"/>
    </row>
    <row r="1924" spans="1:13" ht="15" customHeight="1" x14ac:dyDescent="0.35">
      <c r="A1924" t="str">
        <f t="shared" si="30"/>
        <v>P675ST04C1011</v>
      </c>
      <c r="B1924" t="str">
        <f>IFERROR(VLOOKUP($A1924,'[5]Study Budget Mapping '!$O$2:$P$532,2,0),"TBA")</f>
        <v>TBA</v>
      </c>
      <c r="D1924" s="2" t="s">
        <v>358</v>
      </c>
      <c r="E1924" s="2" t="s">
        <v>32</v>
      </c>
      <c r="F1924" s="3">
        <v>1500000</v>
      </c>
      <c r="G1924" s="3">
        <v>5590000</v>
      </c>
      <c r="H1924" s="4"/>
      <c r="I1924" s="4"/>
      <c r="J1924" s="4"/>
      <c r="K1924" s="4"/>
      <c r="L1924" s="4"/>
      <c r="M1924" s="4"/>
    </row>
    <row r="1925" spans="1:13" ht="15" customHeight="1" x14ac:dyDescent="0.35">
      <c r="A1925" t="str">
        <f t="shared" si="30"/>
        <v>P675ST04C2631</v>
      </c>
      <c r="B1925" t="str">
        <f>IFERROR(VLOOKUP($A1925,'[5]Study Budget Mapping '!$O$2:$P$532,2,0),"TBA")</f>
        <v>TBA</v>
      </c>
      <c r="D1925" s="2" t="s">
        <v>359</v>
      </c>
      <c r="E1925" s="2" t="s">
        <v>13</v>
      </c>
      <c r="F1925" s="3">
        <v>28450000</v>
      </c>
      <c r="G1925" s="3">
        <v>28450000</v>
      </c>
      <c r="H1925" s="4"/>
      <c r="I1925" s="4"/>
      <c r="J1925" s="4"/>
      <c r="K1925" s="4"/>
      <c r="L1925" s="4"/>
      <c r="M1925" s="4"/>
    </row>
    <row r="1926" spans="1:13" ht="15" customHeight="1" x14ac:dyDescent="0.35">
      <c r="A1926" t="str">
        <f t="shared" si="30"/>
        <v>P675ST04C2631</v>
      </c>
      <c r="B1926" t="str">
        <f>IFERROR(VLOOKUP($A1926,'[5]Study Budget Mapping '!$O$2:$P$532,2,0),"TBA")</f>
        <v>TBA</v>
      </c>
      <c r="D1926" s="2" t="s">
        <v>359</v>
      </c>
      <c r="E1926" s="2" t="s">
        <v>14</v>
      </c>
      <c r="F1926" s="3">
        <v>3200000</v>
      </c>
      <c r="G1926" s="3">
        <v>3200000</v>
      </c>
      <c r="H1926" s="4"/>
      <c r="I1926" s="4"/>
      <c r="J1926" s="4"/>
      <c r="K1926" s="4"/>
      <c r="L1926" s="4"/>
      <c r="M1926" s="4"/>
    </row>
    <row r="1927" spans="1:13" ht="15" customHeight="1" x14ac:dyDescent="0.35">
      <c r="A1927" t="str">
        <f t="shared" si="30"/>
        <v>P675ST04C2631</v>
      </c>
      <c r="B1927" t="str">
        <f>IFERROR(VLOOKUP($A1927,'[5]Study Budget Mapping '!$O$2:$P$532,2,0),"TBA")</f>
        <v>TBA</v>
      </c>
      <c r="D1927" s="2" t="s">
        <v>359</v>
      </c>
      <c r="E1927" s="2" t="s">
        <v>19</v>
      </c>
      <c r="F1927" s="3">
        <v>300000</v>
      </c>
      <c r="G1927" s="3">
        <v>300000</v>
      </c>
      <c r="H1927" s="4"/>
      <c r="I1927" s="4"/>
      <c r="J1927" s="4"/>
      <c r="K1927" s="4"/>
      <c r="L1927" s="4"/>
      <c r="M1927" s="4"/>
    </row>
    <row r="1928" spans="1:13" ht="15" customHeight="1" x14ac:dyDescent="0.35">
      <c r="A1928" t="str">
        <f t="shared" si="30"/>
        <v>P675ST04C2631</v>
      </c>
      <c r="B1928" t="str">
        <f>IFERROR(VLOOKUP($A1928,'[5]Study Budget Mapping '!$O$2:$P$532,2,0),"TBA")</f>
        <v>TBA</v>
      </c>
      <c r="D1928" s="2" t="s">
        <v>359</v>
      </c>
      <c r="E1928" s="2" t="s">
        <v>20</v>
      </c>
      <c r="F1928" s="3">
        <v>900000</v>
      </c>
      <c r="G1928" s="3">
        <v>900000</v>
      </c>
      <c r="H1928" s="4"/>
      <c r="I1928" s="4"/>
      <c r="J1928" s="4"/>
      <c r="K1928" s="4"/>
      <c r="L1928" s="4"/>
      <c r="M1928" s="4"/>
    </row>
    <row r="1929" spans="1:13" ht="15" customHeight="1" x14ac:dyDescent="0.35">
      <c r="A1929" t="str">
        <f t="shared" si="30"/>
        <v>P675ST04C2631</v>
      </c>
      <c r="B1929" t="str">
        <f>IFERROR(VLOOKUP($A1929,'[5]Study Budget Mapping '!$O$2:$P$532,2,0),"TBA")</f>
        <v>TBA</v>
      </c>
      <c r="D1929" s="2" t="s">
        <v>359</v>
      </c>
      <c r="E1929" s="2" t="s">
        <v>21</v>
      </c>
      <c r="F1929" s="3">
        <v>7500000</v>
      </c>
      <c r="G1929" s="3">
        <v>7500000</v>
      </c>
      <c r="H1929" s="4"/>
      <c r="I1929" s="4"/>
      <c r="J1929" s="4"/>
      <c r="K1929" s="4"/>
      <c r="L1929" s="4"/>
      <c r="M1929" s="4"/>
    </row>
    <row r="1930" spans="1:13" ht="15" customHeight="1" x14ac:dyDescent="0.35">
      <c r="A1930" t="str">
        <f t="shared" si="30"/>
        <v>P675ST04C2631</v>
      </c>
      <c r="B1930" t="str">
        <f>IFERROR(VLOOKUP($A1930,'[5]Study Budget Mapping '!$O$2:$P$532,2,0),"TBA")</f>
        <v>TBA</v>
      </c>
      <c r="D1930" s="2" t="s">
        <v>359</v>
      </c>
      <c r="E1930" s="2" t="s">
        <v>15</v>
      </c>
      <c r="F1930" s="3">
        <v>11800000</v>
      </c>
      <c r="G1930" s="3">
        <v>11800000</v>
      </c>
      <c r="H1930" s="4"/>
      <c r="I1930" s="4"/>
      <c r="J1930" s="4"/>
      <c r="K1930" s="4"/>
      <c r="L1930" s="4"/>
      <c r="M1930" s="4"/>
    </row>
    <row r="1931" spans="1:13" ht="15" customHeight="1" x14ac:dyDescent="0.35">
      <c r="A1931" t="str">
        <f t="shared" si="30"/>
        <v>P675ST04C2631</v>
      </c>
      <c r="B1931" t="str">
        <f>IFERROR(VLOOKUP($A1931,'[5]Study Budget Mapping '!$O$2:$P$532,2,0),"TBA")</f>
        <v>TBA</v>
      </c>
      <c r="D1931" s="2" t="s">
        <v>359</v>
      </c>
      <c r="E1931" s="2" t="s">
        <v>22</v>
      </c>
      <c r="F1931" s="3">
        <v>1350000</v>
      </c>
      <c r="G1931" s="3">
        <v>1350000</v>
      </c>
      <c r="H1931" s="4"/>
      <c r="I1931" s="4"/>
      <c r="J1931" s="4"/>
      <c r="K1931" s="4"/>
      <c r="L1931" s="4"/>
      <c r="M1931" s="4"/>
    </row>
    <row r="1932" spans="1:13" ht="15" customHeight="1" x14ac:dyDescent="0.35">
      <c r="A1932" t="str">
        <f t="shared" si="30"/>
        <v>P675ST04C2631</v>
      </c>
      <c r="B1932" t="str">
        <f>IFERROR(VLOOKUP($A1932,'[5]Study Budget Mapping '!$O$2:$P$532,2,0),"TBA")</f>
        <v>TBA</v>
      </c>
      <c r="D1932" s="2" t="s">
        <v>359</v>
      </c>
      <c r="E1932" s="2" t="s">
        <v>16</v>
      </c>
      <c r="F1932" s="3">
        <v>2925000</v>
      </c>
      <c r="G1932" s="3">
        <v>2925000</v>
      </c>
      <c r="H1932" s="4"/>
      <c r="I1932" s="4"/>
      <c r="J1932" s="4"/>
      <c r="K1932" s="4"/>
      <c r="L1932" s="4"/>
      <c r="M1932" s="4"/>
    </row>
    <row r="1933" spans="1:13" ht="15" customHeight="1" x14ac:dyDescent="0.35">
      <c r="A1933" t="str">
        <f t="shared" si="30"/>
        <v>P675ST04C2631</v>
      </c>
      <c r="B1933" t="str">
        <f>IFERROR(VLOOKUP($A1933,'[5]Study Budget Mapping '!$O$2:$P$532,2,0),"TBA")</f>
        <v>TBA</v>
      </c>
      <c r="D1933" s="2" t="s">
        <v>359</v>
      </c>
      <c r="E1933" s="2" t="s">
        <v>17</v>
      </c>
      <c r="F1933" s="3">
        <v>600000</v>
      </c>
      <c r="G1933" s="3">
        <v>600000</v>
      </c>
      <c r="H1933" s="4"/>
      <c r="I1933" s="4"/>
      <c r="J1933" s="4"/>
      <c r="K1933" s="4"/>
      <c r="L1933" s="4"/>
      <c r="M1933" s="4"/>
    </row>
    <row r="1934" spans="1:13" ht="15" customHeight="1" x14ac:dyDescent="0.35">
      <c r="A1934" t="str">
        <f t="shared" si="30"/>
        <v>P675ST04C2631</v>
      </c>
      <c r="B1934" t="str">
        <f>IFERROR(VLOOKUP($A1934,'[5]Study Budget Mapping '!$O$2:$P$532,2,0),"TBA")</f>
        <v>TBA</v>
      </c>
      <c r="D1934" s="2" t="s">
        <v>359</v>
      </c>
      <c r="E1934" s="2" t="s">
        <v>23</v>
      </c>
      <c r="F1934" s="3">
        <v>190000</v>
      </c>
      <c r="G1934" s="3">
        <v>190000</v>
      </c>
      <c r="H1934" s="4"/>
      <c r="I1934" s="4"/>
      <c r="J1934" s="4"/>
      <c r="K1934" s="4"/>
      <c r="L1934" s="4"/>
      <c r="M1934" s="4"/>
    </row>
    <row r="1935" spans="1:13" ht="15" customHeight="1" x14ac:dyDescent="0.35">
      <c r="A1935" t="str">
        <f t="shared" si="30"/>
        <v>P675ST04C2631</v>
      </c>
      <c r="B1935" t="str">
        <f>IFERROR(VLOOKUP($A1935,'[5]Study Budget Mapping '!$O$2:$P$532,2,0),"TBA")</f>
        <v>TBA</v>
      </c>
      <c r="D1935" s="2" t="s">
        <v>359</v>
      </c>
      <c r="E1935" s="2" t="s">
        <v>24</v>
      </c>
      <c r="F1935" s="3">
        <v>1700000</v>
      </c>
      <c r="G1935" s="3">
        <v>1700000</v>
      </c>
      <c r="H1935" s="4"/>
      <c r="I1935" s="4"/>
      <c r="J1935" s="4"/>
      <c r="K1935" s="4"/>
      <c r="L1935" s="4"/>
      <c r="M1935" s="4"/>
    </row>
    <row r="1936" spans="1:13" ht="15" customHeight="1" x14ac:dyDescent="0.35">
      <c r="A1936" t="str">
        <f t="shared" si="30"/>
        <v>P675ST01C2631</v>
      </c>
      <c r="B1936" t="str">
        <f>IFERROR(VLOOKUP($A1936,'[5]Study Budget Mapping '!$O$2:$P$532,2,0),"TBA")</f>
        <v>TBA</v>
      </c>
      <c r="D1936" s="2" t="s">
        <v>360</v>
      </c>
      <c r="E1936" s="2" t="s">
        <v>13</v>
      </c>
      <c r="F1936" s="3">
        <v>36700000</v>
      </c>
      <c r="G1936" s="3">
        <v>36700000</v>
      </c>
      <c r="H1936" s="4"/>
      <c r="I1936" s="4"/>
      <c r="J1936" s="4"/>
      <c r="K1936" s="4"/>
      <c r="L1936" s="4"/>
      <c r="M1936" s="4"/>
    </row>
    <row r="1937" spans="1:13" ht="15" customHeight="1" x14ac:dyDescent="0.35">
      <c r="A1937" t="str">
        <f t="shared" si="30"/>
        <v>P675ST01C2631</v>
      </c>
      <c r="B1937" t="str">
        <f>IFERROR(VLOOKUP($A1937,'[5]Study Budget Mapping '!$O$2:$P$532,2,0),"TBA")</f>
        <v>TBA</v>
      </c>
      <c r="D1937" s="2" t="s">
        <v>360</v>
      </c>
      <c r="E1937" s="2" t="s">
        <v>14</v>
      </c>
      <c r="F1937" s="3">
        <v>5140000</v>
      </c>
      <c r="G1937" s="3">
        <v>5140000</v>
      </c>
      <c r="H1937" s="4"/>
      <c r="I1937" s="4"/>
      <c r="J1937" s="4"/>
      <c r="K1937" s="4"/>
      <c r="L1937" s="4"/>
      <c r="M1937" s="4"/>
    </row>
    <row r="1938" spans="1:13" ht="15" customHeight="1" x14ac:dyDescent="0.35">
      <c r="A1938" t="str">
        <f t="shared" si="30"/>
        <v>P675ST01C2631</v>
      </c>
      <c r="B1938" t="str">
        <f>IFERROR(VLOOKUP($A1938,'[5]Study Budget Mapping '!$O$2:$P$532,2,0),"TBA")</f>
        <v>TBA</v>
      </c>
      <c r="D1938" s="2" t="s">
        <v>360</v>
      </c>
      <c r="E1938" s="2" t="s">
        <v>19</v>
      </c>
      <c r="F1938" s="3">
        <v>300000</v>
      </c>
      <c r="G1938" s="3">
        <v>300000</v>
      </c>
      <c r="H1938" s="4"/>
      <c r="I1938" s="4"/>
      <c r="J1938" s="4"/>
      <c r="K1938" s="4"/>
      <c r="L1938" s="4"/>
      <c r="M1938" s="4"/>
    </row>
    <row r="1939" spans="1:13" ht="15" customHeight="1" x14ac:dyDescent="0.35">
      <c r="A1939" t="str">
        <f t="shared" si="30"/>
        <v>P675ST01C2631</v>
      </c>
      <c r="B1939" t="str">
        <f>IFERROR(VLOOKUP($A1939,'[5]Study Budget Mapping '!$O$2:$P$532,2,0),"TBA")</f>
        <v>TBA</v>
      </c>
      <c r="D1939" s="2" t="s">
        <v>360</v>
      </c>
      <c r="E1939" s="2" t="s">
        <v>20</v>
      </c>
      <c r="F1939" s="3">
        <v>650000</v>
      </c>
      <c r="G1939" s="3">
        <v>650000</v>
      </c>
      <c r="H1939" s="4"/>
      <c r="I1939" s="4"/>
      <c r="J1939" s="4"/>
      <c r="K1939" s="4"/>
      <c r="L1939" s="4"/>
      <c r="M1939" s="4"/>
    </row>
    <row r="1940" spans="1:13" ht="15" customHeight="1" x14ac:dyDescent="0.35">
      <c r="A1940" t="str">
        <f t="shared" si="30"/>
        <v>P675ST01C2631</v>
      </c>
      <c r="B1940" t="str">
        <f>IFERROR(VLOOKUP($A1940,'[5]Study Budget Mapping '!$O$2:$P$532,2,0),"TBA")</f>
        <v>TBA</v>
      </c>
      <c r="D1940" s="2" t="s">
        <v>360</v>
      </c>
      <c r="E1940" s="2" t="s">
        <v>15</v>
      </c>
      <c r="F1940" s="3">
        <v>6330000</v>
      </c>
      <c r="G1940" s="3">
        <v>6330000</v>
      </c>
      <c r="H1940" s="4"/>
      <c r="I1940" s="4"/>
      <c r="J1940" s="4"/>
      <c r="K1940" s="4"/>
      <c r="L1940" s="4"/>
      <c r="M1940" s="4"/>
    </row>
    <row r="1941" spans="1:13" ht="15" customHeight="1" x14ac:dyDescent="0.35">
      <c r="A1941" t="str">
        <f t="shared" si="30"/>
        <v>P675ST01C2631</v>
      </c>
      <c r="B1941" t="str">
        <f>IFERROR(VLOOKUP($A1941,'[5]Study Budget Mapping '!$O$2:$P$532,2,0),"TBA")</f>
        <v>TBA</v>
      </c>
      <c r="D1941" s="2" t="s">
        <v>360</v>
      </c>
      <c r="E1941" s="2" t="s">
        <v>22</v>
      </c>
      <c r="F1941" s="3">
        <v>1507000</v>
      </c>
      <c r="G1941" s="3">
        <v>1507000</v>
      </c>
      <c r="H1941" s="4"/>
      <c r="I1941" s="4"/>
      <c r="J1941" s="4"/>
      <c r="K1941" s="4"/>
      <c r="L1941" s="4"/>
      <c r="M1941" s="4"/>
    </row>
    <row r="1942" spans="1:13" ht="15" customHeight="1" x14ac:dyDescent="0.35">
      <c r="A1942" t="str">
        <f t="shared" si="30"/>
        <v>P675ST01C2631</v>
      </c>
      <c r="B1942" t="str">
        <f>IFERROR(VLOOKUP($A1942,'[5]Study Budget Mapping '!$O$2:$P$532,2,0),"TBA")</f>
        <v>TBA</v>
      </c>
      <c r="D1942" s="2" t="s">
        <v>360</v>
      </c>
      <c r="E1942" s="2" t="s">
        <v>16</v>
      </c>
      <c r="F1942" s="3">
        <v>2020000</v>
      </c>
      <c r="G1942" s="3">
        <v>2020000</v>
      </c>
      <c r="H1942" s="4"/>
      <c r="I1942" s="4"/>
      <c r="J1942" s="4"/>
      <c r="K1942" s="4"/>
      <c r="L1942" s="4"/>
      <c r="M1942" s="4"/>
    </row>
    <row r="1943" spans="1:13" ht="15" customHeight="1" x14ac:dyDescent="0.35">
      <c r="A1943" t="str">
        <f t="shared" si="30"/>
        <v>P675ST01C2631</v>
      </c>
      <c r="B1943" t="str">
        <f>IFERROR(VLOOKUP($A1943,'[5]Study Budget Mapping '!$O$2:$P$532,2,0),"TBA")</f>
        <v>TBA</v>
      </c>
      <c r="D1943" s="2" t="s">
        <v>360</v>
      </c>
      <c r="E1943" s="2" t="s">
        <v>17</v>
      </c>
      <c r="F1943" s="3">
        <v>640000</v>
      </c>
      <c r="G1943" s="3">
        <v>640000</v>
      </c>
      <c r="H1943" s="4"/>
      <c r="I1943" s="4"/>
      <c r="J1943" s="4"/>
      <c r="K1943" s="4"/>
      <c r="L1943" s="4"/>
      <c r="M1943" s="4"/>
    </row>
    <row r="1944" spans="1:13" ht="15" customHeight="1" x14ac:dyDescent="0.35">
      <c r="A1944" t="str">
        <f t="shared" si="30"/>
        <v>P675ST01C2631</v>
      </c>
      <c r="B1944" t="str">
        <f>IFERROR(VLOOKUP($A1944,'[5]Study Budget Mapping '!$O$2:$P$532,2,0),"TBA")</f>
        <v>TBA</v>
      </c>
      <c r="D1944" s="2" t="s">
        <v>360</v>
      </c>
      <c r="E1944" s="2" t="s">
        <v>23</v>
      </c>
      <c r="F1944" s="3">
        <v>130000</v>
      </c>
      <c r="G1944" s="3">
        <v>130000</v>
      </c>
      <c r="H1944" s="4"/>
      <c r="I1944" s="4"/>
      <c r="J1944" s="4"/>
      <c r="K1944" s="4"/>
      <c r="L1944" s="4"/>
      <c r="M1944" s="4"/>
    </row>
    <row r="1945" spans="1:13" ht="15" customHeight="1" x14ac:dyDescent="0.35">
      <c r="A1945" t="str">
        <f t="shared" si="30"/>
        <v>P675ST01C2631</v>
      </c>
      <c r="B1945" t="str">
        <f>IFERROR(VLOOKUP($A1945,'[5]Study Budget Mapping '!$O$2:$P$532,2,0),"TBA")</f>
        <v>TBA</v>
      </c>
      <c r="D1945" s="2" t="s">
        <v>360</v>
      </c>
      <c r="E1945" s="2" t="s">
        <v>24</v>
      </c>
      <c r="F1945" s="3">
        <v>1200000</v>
      </c>
      <c r="G1945" s="3">
        <v>1200000</v>
      </c>
      <c r="H1945" s="4"/>
      <c r="I1945" s="4"/>
      <c r="J1945" s="4"/>
      <c r="K1945" s="4"/>
      <c r="L1945" s="4"/>
      <c r="M1945" s="4"/>
    </row>
    <row r="1946" spans="1:13" ht="15" customHeight="1" x14ac:dyDescent="0.35">
      <c r="A1946" t="str">
        <f t="shared" si="30"/>
        <v>P675ST04C3831</v>
      </c>
      <c r="B1946" t="str">
        <f>IFERROR(VLOOKUP($A1946,'[5]Study Budget Mapping '!$O$2:$P$532,2,0),"TBA")</f>
        <v>TBA</v>
      </c>
      <c r="D1946" s="2" t="s">
        <v>361</v>
      </c>
      <c r="E1946" s="2" t="s">
        <v>15</v>
      </c>
      <c r="F1946" s="3">
        <v>10000000</v>
      </c>
      <c r="G1946" s="3">
        <v>10000000</v>
      </c>
      <c r="H1946" s="4"/>
      <c r="I1946" s="4"/>
      <c r="J1946" s="4"/>
      <c r="K1946" s="4"/>
      <c r="L1946" s="4"/>
      <c r="M1946" s="4"/>
    </row>
    <row r="1947" spans="1:13" ht="15" customHeight="1" x14ac:dyDescent="0.35">
      <c r="A1947" t="str">
        <f t="shared" si="30"/>
        <v>P680MD00C1021</v>
      </c>
      <c r="B1947" t="str">
        <f>IFERROR(VLOOKUP($A1947,'[5]Study Budget Mapping '!$O$2:$P$532,2,0),"TBA")</f>
        <v>TBA</v>
      </c>
      <c r="D1947" s="2" t="s">
        <v>362</v>
      </c>
      <c r="E1947" s="2" t="s">
        <v>13</v>
      </c>
      <c r="F1947" s="3">
        <v>4830000</v>
      </c>
      <c r="G1947" s="3">
        <v>4830000</v>
      </c>
      <c r="H1947" s="4"/>
      <c r="I1947" s="4"/>
      <c r="J1947" s="4"/>
      <c r="K1947" s="4"/>
      <c r="L1947" s="4"/>
      <c r="M1947" s="4"/>
    </row>
    <row r="1948" spans="1:13" ht="15" customHeight="1" x14ac:dyDescent="0.35">
      <c r="A1948" t="str">
        <f t="shared" si="30"/>
        <v>P680MD00C1021</v>
      </c>
      <c r="B1948" t="str">
        <f>IFERROR(VLOOKUP($A1948,'[5]Study Budget Mapping '!$O$2:$P$532,2,0),"TBA")</f>
        <v>TBA</v>
      </c>
      <c r="D1948" s="2" t="s">
        <v>362</v>
      </c>
      <c r="E1948" s="2" t="s">
        <v>14</v>
      </c>
      <c r="F1948" s="3">
        <v>760000</v>
      </c>
      <c r="G1948" s="3">
        <v>1000000</v>
      </c>
      <c r="H1948" s="4"/>
      <c r="I1948" s="4"/>
      <c r="J1948" s="4"/>
      <c r="K1948" s="4"/>
      <c r="L1948" s="4"/>
      <c r="M1948" s="4"/>
    </row>
    <row r="1949" spans="1:13" ht="15" customHeight="1" x14ac:dyDescent="0.35">
      <c r="A1949" t="str">
        <f t="shared" si="30"/>
        <v>P680MD00C1021</v>
      </c>
      <c r="B1949" t="str">
        <f>IFERROR(VLOOKUP($A1949,'[5]Study Budget Mapping '!$O$2:$P$532,2,0),"TBA")</f>
        <v>TBA</v>
      </c>
      <c r="D1949" s="2" t="s">
        <v>362</v>
      </c>
      <c r="E1949" s="2" t="s">
        <v>19</v>
      </c>
      <c r="F1949" s="3">
        <v>1480000</v>
      </c>
      <c r="G1949" s="3">
        <v>1510000</v>
      </c>
      <c r="H1949" s="4"/>
      <c r="I1949" s="4"/>
      <c r="J1949" s="4"/>
      <c r="K1949" s="4"/>
      <c r="L1949" s="4"/>
      <c r="M1949" s="4"/>
    </row>
    <row r="1950" spans="1:13" ht="15" customHeight="1" x14ac:dyDescent="0.35">
      <c r="A1950" t="str">
        <f t="shared" si="30"/>
        <v>P680MD00C1021</v>
      </c>
      <c r="B1950" t="str">
        <f>IFERROR(VLOOKUP($A1950,'[5]Study Budget Mapping '!$O$2:$P$532,2,0),"TBA")</f>
        <v>TBA</v>
      </c>
      <c r="D1950" s="2" t="s">
        <v>362</v>
      </c>
      <c r="E1950" s="2" t="s">
        <v>20</v>
      </c>
      <c r="F1950" s="3">
        <v>700000</v>
      </c>
      <c r="G1950" s="3">
        <v>800000</v>
      </c>
      <c r="H1950" s="4"/>
      <c r="I1950" s="4"/>
      <c r="J1950" s="4"/>
      <c r="K1950" s="4"/>
      <c r="L1950" s="4"/>
      <c r="M1950" s="4"/>
    </row>
    <row r="1951" spans="1:13" ht="15" customHeight="1" x14ac:dyDescent="0.35">
      <c r="A1951" t="str">
        <f t="shared" si="30"/>
        <v>P680MD00C1021</v>
      </c>
      <c r="B1951" t="str">
        <f>IFERROR(VLOOKUP($A1951,'[5]Study Budget Mapping '!$O$2:$P$532,2,0),"TBA")</f>
        <v>TBA</v>
      </c>
      <c r="D1951" s="2" t="s">
        <v>362</v>
      </c>
      <c r="E1951" s="2" t="s">
        <v>15</v>
      </c>
      <c r="F1951" s="3">
        <v>380000</v>
      </c>
      <c r="G1951" s="3">
        <v>450000</v>
      </c>
      <c r="H1951" s="4"/>
      <c r="I1951" s="4"/>
      <c r="J1951" s="4"/>
      <c r="K1951" s="4"/>
      <c r="L1951" s="4"/>
      <c r="M1951" s="4"/>
    </row>
    <row r="1952" spans="1:13" ht="15" customHeight="1" x14ac:dyDescent="0.35">
      <c r="A1952" t="str">
        <f t="shared" si="30"/>
        <v>P680MD00C1021</v>
      </c>
      <c r="B1952" t="str">
        <f>IFERROR(VLOOKUP($A1952,'[5]Study Budget Mapping '!$O$2:$P$532,2,0),"TBA")</f>
        <v>TBA</v>
      </c>
      <c r="D1952" s="2" t="s">
        <v>362</v>
      </c>
      <c r="E1952" s="2" t="s">
        <v>16</v>
      </c>
      <c r="F1952" s="3">
        <v>16000</v>
      </c>
      <c r="G1952" s="3">
        <v>15000</v>
      </c>
      <c r="H1952" s="4"/>
      <c r="I1952" s="4"/>
      <c r="J1952" s="4"/>
      <c r="K1952" s="4"/>
      <c r="L1952" s="4"/>
      <c r="M1952" s="4"/>
    </row>
    <row r="1953" spans="1:13" ht="15" customHeight="1" x14ac:dyDescent="0.35">
      <c r="A1953" t="str">
        <f t="shared" si="30"/>
        <v>P680MD00C1021</v>
      </c>
      <c r="B1953" t="str">
        <f>IFERROR(VLOOKUP($A1953,'[5]Study Budget Mapping '!$O$2:$P$532,2,0),"TBA")</f>
        <v>TBA</v>
      </c>
      <c r="D1953" s="2" t="s">
        <v>362</v>
      </c>
      <c r="E1953" s="2" t="s">
        <v>17</v>
      </c>
      <c r="F1953" s="3">
        <v>200000</v>
      </c>
      <c r="G1953" s="3">
        <v>220000</v>
      </c>
      <c r="H1953" s="4"/>
      <c r="I1953" s="4"/>
      <c r="J1953" s="4"/>
      <c r="K1953" s="4"/>
      <c r="L1953" s="4"/>
      <c r="M1953" s="4"/>
    </row>
    <row r="1954" spans="1:13" ht="15" customHeight="1" x14ac:dyDescent="0.35">
      <c r="A1954" t="str">
        <f t="shared" si="30"/>
        <v>P680MD00C1021</v>
      </c>
      <c r="B1954" t="str">
        <f>IFERROR(VLOOKUP($A1954,'[5]Study Budget Mapping '!$O$2:$P$532,2,0),"TBA")</f>
        <v>TBA</v>
      </c>
      <c r="D1954" s="2" t="s">
        <v>362</v>
      </c>
      <c r="E1954" s="2" t="s">
        <v>23</v>
      </c>
      <c r="F1954" s="3">
        <v>26000</v>
      </c>
      <c r="G1954" s="3">
        <v>26000</v>
      </c>
      <c r="H1954" s="4"/>
      <c r="I1954" s="4"/>
      <c r="J1954" s="4"/>
      <c r="K1954" s="4"/>
      <c r="L1954" s="4"/>
      <c r="M1954" s="4"/>
    </row>
    <row r="1955" spans="1:13" ht="15" customHeight="1" x14ac:dyDescent="0.35">
      <c r="A1955" t="str">
        <f t="shared" si="30"/>
        <v>P680MD00C1021</v>
      </c>
      <c r="B1955" t="str">
        <f>IFERROR(VLOOKUP($A1955,'[5]Study Budget Mapping '!$O$2:$P$532,2,0),"TBA")</f>
        <v>TBA</v>
      </c>
      <c r="D1955" s="2" t="s">
        <v>362</v>
      </c>
      <c r="E1955" s="2" t="s">
        <v>24</v>
      </c>
      <c r="F1955" s="3">
        <v>200000</v>
      </c>
      <c r="G1955" s="3">
        <v>200000</v>
      </c>
      <c r="H1955" s="4"/>
      <c r="I1955" s="4"/>
      <c r="J1955" s="4"/>
      <c r="K1955" s="4"/>
      <c r="L1955" s="4"/>
      <c r="M1955" s="4"/>
    </row>
    <row r="1956" spans="1:13" ht="15" customHeight="1" x14ac:dyDescent="0.35">
      <c r="A1956" t="str">
        <f t="shared" si="30"/>
        <v>P680MD00C2421</v>
      </c>
      <c r="B1956" t="str">
        <f>IFERROR(VLOOKUP($A1956,'[5]Study Budget Mapping '!$O$2:$P$532,2,0),"TBA")</f>
        <v>TBA</v>
      </c>
      <c r="D1956" s="2" t="s">
        <v>363</v>
      </c>
      <c r="E1956" s="2" t="s">
        <v>13</v>
      </c>
      <c r="F1956" s="3">
        <v>2801729.9</v>
      </c>
      <c r="G1956" s="3">
        <v>2801729.9</v>
      </c>
      <c r="H1956" s="4"/>
      <c r="I1956" s="4"/>
      <c r="J1956" s="4"/>
      <c r="K1956" s="4"/>
      <c r="L1956" s="4"/>
      <c r="M1956" s="4"/>
    </row>
    <row r="1957" spans="1:13" ht="15" customHeight="1" x14ac:dyDescent="0.35">
      <c r="A1957" t="str">
        <f t="shared" si="30"/>
        <v>P680MD00C2421</v>
      </c>
      <c r="B1957" t="str">
        <f>IFERROR(VLOOKUP($A1957,'[5]Study Budget Mapping '!$O$2:$P$532,2,0),"TBA")</f>
        <v>TBA</v>
      </c>
      <c r="D1957" s="2" t="s">
        <v>363</v>
      </c>
      <c r="E1957" s="2" t="s">
        <v>24</v>
      </c>
      <c r="F1957" s="3">
        <v>112106</v>
      </c>
      <c r="G1957" s="3">
        <v>112106</v>
      </c>
      <c r="H1957" s="4"/>
      <c r="I1957" s="4"/>
      <c r="J1957" s="4"/>
      <c r="K1957" s="4"/>
      <c r="L1957" s="4"/>
      <c r="M1957" s="4"/>
    </row>
    <row r="1958" spans="1:13" ht="15" customHeight="1" x14ac:dyDescent="0.35">
      <c r="A1958" t="str">
        <f t="shared" si="30"/>
        <v>P680MD00C2431</v>
      </c>
      <c r="B1958" t="str">
        <f>IFERROR(VLOOKUP($A1958,'[5]Study Budget Mapping '!$O$2:$P$532,2,0),"TBA")</f>
        <v>TBA</v>
      </c>
      <c r="D1958" s="2" t="s">
        <v>364</v>
      </c>
      <c r="E1958" s="2" t="s">
        <v>13</v>
      </c>
      <c r="F1958" s="3">
        <v>2400000</v>
      </c>
      <c r="G1958" s="3">
        <v>1460000</v>
      </c>
      <c r="H1958" s="4"/>
      <c r="I1958" s="4"/>
      <c r="J1958" s="4"/>
      <c r="K1958" s="4"/>
      <c r="L1958" s="4"/>
      <c r="M1958" s="4"/>
    </row>
    <row r="1959" spans="1:13" ht="15" customHeight="1" x14ac:dyDescent="0.35">
      <c r="A1959" t="str">
        <f t="shared" si="30"/>
        <v>P680MD00C2431</v>
      </c>
      <c r="B1959" t="str">
        <f>IFERROR(VLOOKUP($A1959,'[5]Study Budget Mapping '!$O$2:$P$532,2,0),"TBA")</f>
        <v>TBA</v>
      </c>
      <c r="D1959" s="2" t="s">
        <v>364</v>
      </c>
      <c r="E1959" s="2" t="s">
        <v>14</v>
      </c>
      <c r="F1959" s="3">
        <v>580000</v>
      </c>
      <c r="G1959" s="3">
        <v>850000</v>
      </c>
      <c r="H1959" s="4"/>
      <c r="I1959" s="4"/>
      <c r="J1959" s="4"/>
      <c r="K1959" s="4"/>
      <c r="L1959" s="4"/>
      <c r="M1959" s="4"/>
    </row>
    <row r="1960" spans="1:13" ht="15" customHeight="1" x14ac:dyDescent="0.35">
      <c r="A1960" t="str">
        <f t="shared" si="30"/>
        <v>P680MD00C2431</v>
      </c>
      <c r="B1960" t="str">
        <f>IFERROR(VLOOKUP($A1960,'[5]Study Budget Mapping '!$O$2:$P$532,2,0),"TBA")</f>
        <v>TBA</v>
      </c>
      <c r="D1960" s="2" t="s">
        <v>364</v>
      </c>
      <c r="E1960" s="2" t="s">
        <v>144</v>
      </c>
      <c r="F1960" s="3">
        <v>120000</v>
      </c>
      <c r="G1960" s="3">
        <v>380000</v>
      </c>
      <c r="H1960" s="4"/>
      <c r="I1960" s="4"/>
      <c r="J1960" s="4"/>
      <c r="K1960" s="4"/>
      <c r="L1960" s="4"/>
      <c r="M1960" s="4"/>
    </row>
    <row r="1961" spans="1:13" ht="15" customHeight="1" x14ac:dyDescent="0.35">
      <c r="A1961" t="str">
        <f t="shared" si="30"/>
        <v>P680MD00C2431</v>
      </c>
      <c r="B1961" t="str">
        <f>IFERROR(VLOOKUP($A1961,'[5]Study Budget Mapping '!$O$2:$P$532,2,0),"TBA")</f>
        <v>TBA</v>
      </c>
      <c r="D1961" s="2" t="s">
        <v>364</v>
      </c>
      <c r="E1961" s="2" t="s">
        <v>19</v>
      </c>
      <c r="F1961" s="3">
        <v>800000</v>
      </c>
      <c r="G1961" s="3">
        <v>1410000</v>
      </c>
      <c r="H1961" s="4"/>
      <c r="I1961" s="4"/>
      <c r="J1961" s="4"/>
      <c r="K1961" s="4"/>
      <c r="L1961" s="4"/>
      <c r="M1961" s="4"/>
    </row>
    <row r="1962" spans="1:13" ht="15" customHeight="1" x14ac:dyDescent="0.35">
      <c r="A1962" t="str">
        <f t="shared" si="30"/>
        <v>P680MD00C2431</v>
      </c>
      <c r="B1962" t="str">
        <f>IFERROR(VLOOKUP($A1962,'[5]Study Budget Mapping '!$O$2:$P$532,2,0),"TBA")</f>
        <v>TBA</v>
      </c>
      <c r="D1962" s="2" t="s">
        <v>364</v>
      </c>
      <c r="E1962" s="2" t="s">
        <v>20</v>
      </c>
      <c r="F1962" s="3">
        <v>600000</v>
      </c>
      <c r="G1962" s="3">
        <v>700000</v>
      </c>
      <c r="H1962" s="4"/>
      <c r="I1962" s="4"/>
      <c r="J1962" s="4"/>
      <c r="K1962" s="4"/>
      <c r="L1962" s="4"/>
      <c r="M1962" s="4"/>
    </row>
    <row r="1963" spans="1:13" ht="15" customHeight="1" x14ac:dyDescent="0.35">
      <c r="A1963" t="str">
        <f t="shared" si="30"/>
        <v>P680MD00C2431</v>
      </c>
      <c r="B1963" t="str">
        <f>IFERROR(VLOOKUP($A1963,'[5]Study Budget Mapping '!$O$2:$P$532,2,0),"TBA")</f>
        <v>TBA</v>
      </c>
      <c r="D1963" s="2" t="s">
        <v>364</v>
      </c>
      <c r="E1963" s="2" t="s">
        <v>15</v>
      </c>
      <c r="F1963" s="3">
        <v>3800000</v>
      </c>
      <c r="G1963" s="3">
        <v>5620000</v>
      </c>
      <c r="H1963" s="4"/>
      <c r="I1963" s="4"/>
      <c r="J1963" s="4"/>
      <c r="K1963" s="4"/>
      <c r="L1963" s="4"/>
      <c r="M1963" s="4"/>
    </row>
    <row r="1964" spans="1:13" ht="15" customHeight="1" x14ac:dyDescent="0.35">
      <c r="A1964" t="str">
        <f t="shared" si="30"/>
        <v>P680MD00C2431</v>
      </c>
      <c r="B1964" t="str">
        <f>IFERROR(VLOOKUP($A1964,'[5]Study Budget Mapping '!$O$2:$P$532,2,0),"TBA")</f>
        <v>TBA</v>
      </c>
      <c r="D1964" s="2" t="s">
        <v>364</v>
      </c>
      <c r="E1964" s="2" t="s">
        <v>22</v>
      </c>
      <c r="F1964" s="3">
        <v>0</v>
      </c>
      <c r="G1964" s="3">
        <v>1260000</v>
      </c>
      <c r="H1964" s="4"/>
      <c r="I1964" s="4"/>
      <c r="J1964" s="4"/>
      <c r="K1964" s="4"/>
      <c r="L1964" s="4"/>
      <c r="M1964" s="4"/>
    </row>
    <row r="1965" spans="1:13" ht="15" customHeight="1" x14ac:dyDescent="0.35">
      <c r="A1965" t="str">
        <f t="shared" si="30"/>
        <v>P680MD00C2431</v>
      </c>
      <c r="B1965" t="str">
        <f>IFERROR(VLOOKUP($A1965,'[5]Study Budget Mapping '!$O$2:$P$532,2,0),"TBA")</f>
        <v>TBA</v>
      </c>
      <c r="D1965" s="2" t="s">
        <v>364</v>
      </c>
      <c r="E1965" s="2" t="s">
        <v>16</v>
      </c>
      <c r="F1965" s="3">
        <v>3200000</v>
      </c>
      <c r="G1965" s="3">
        <v>6110000</v>
      </c>
      <c r="H1965" s="4"/>
      <c r="I1965" s="4"/>
      <c r="J1965" s="4"/>
      <c r="K1965" s="4"/>
      <c r="L1965" s="4"/>
      <c r="M1965" s="4"/>
    </row>
    <row r="1966" spans="1:13" ht="15" customHeight="1" x14ac:dyDescent="0.35">
      <c r="A1966" t="str">
        <f t="shared" si="30"/>
        <v>P680MD00C2431</v>
      </c>
      <c r="B1966" t="str">
        <f>IFERROR(VLOOKUP($A1966,'[5]Study Budget Mapping '!$O$2:$P$532,2,0),"TBA")</f>
        <v>TBA</v>
      </c>
      <c r="D1966" s="2" t="s">
        <v>364</v>
      </c>
      <c r="E1966" s="2" t="s">
        <v>17</v>
      </c>
      <c r="F1966" s="3">
        <v>300000</v>
      </c>
      <c r="G1966" s="3">
        <v>540000</v>
      </c>
      <c r="H1966" s="4"/>
      <c r="I1966" s="4"/>
      <c r="J1966" s="4"/>
      <c r="K1966" s="4"/>
      <c r="L1966" s="4"/>
      <c r="M1966" s="4"/>
    </row>
    <row r="1967" spans="1:13" ht="15" customHeight="1" x14ac:dyDescent="0.35">
      <c r="A1967" t="str">
        <f t="shared" si="30"/>
        <v>P680MD00C2431</v>
      </c>
      <c r="B1967" t="str">
        <f>IFERROR(VLOOKUP($A1967,'[5]Study Budget Mapping '!$O$2:$P$532,2,0),"TBA")</f>
        <v>TBA</v>
      </c>
      <c r="D1967" s="2" t="s">
        <v>364</v>
      </c>
      <c r="E1967" s="2" t="s">
        <v>23</v>
      </c>
      <c r="F1967" s="3">
        <v>200000</v>
      </c>
      <c r="G1967" s="3">
        <v>200000</v>
      </c>
      <c r="H1967" s="4"/>
      <c r="I1967" s="4"/>
      <c r="J1967" s="4"/>
      <c r="K1967" s="4"/>
      <c r="L1967" s="4"/>
      <c r="M1967" s="4"/>
    </row>
    <row r="1968" spans="1:13" ht="15" customHeight="1" x14ac:dyDescent="0.35">
      <c r="A1968" t="str">
        <f t="shared" si="30"/>
        <v>P680MD00C2431</v>
      </c>
      <c r="B1968" t="str">
        <f>IFERROR(VLOOKUP($A1968,'[5]Study Budget Mapping '!$O$2:$P$532,2,0),"TBA")</f>
        <v>TBA</v>
      </c>
      <c r="D1968" s="2" t="s">
        <v>364</v>
      </c>
      <c r="E1968" s="2" t="s">
        <v>24</v>
      </c>
      <c r="F1968" s="3">
        <v>500000</v>
      </c>
      <c r="G1968" s="3">
        <v>1930000</v>
      </c>
      <c r="H1968" s="4"/>
      <c r="I1968" s="4"/>
      <c r="J1968" s="4"/>
      <c r="K1968" s="4"/>
      <c r="L1968" s="4"/>
      <c r="M1968" s="4"/>
    </row>
    <row r="1969" spans="1:13" ht="15" customHeight="1" x14ac:dyDescent="0.35">
      <c r="A1969" t="str">
        <f t="shared" si="30"/>
        <v>P680MD00C2631</v>
      </c>
      <c r="B1969" t="str">
        <f>IFERROR(VLOOKUP($A1969,'[5]Study Budget Mapping '!$O$2:$P$532,2,0),"TBA")</f>
        <v>TBA</v>
      </c>
      <c r="D1969" s="2" t="s">
        <v>365</v>
      </c>
      <c r="E1969" s="2" t="s">
        <v>13</v>
      </c>
      <c r="F1969" s="3">
        <v>1550000</v>
      </c>
      <c r="G1969" s="3">
        <v>1850000</v>
      </c>
      <c r="H1969" s="4"/>
      <c r="I1969" s="4"/>
      <c r="J1969" s="4"/>
      <c r="K1969" s="4"/>
      <c r="L1969" s="4"/>
      <c r="M1969" s="4"/>
    </row>
    <row r="1970" spans="1:13" ht="15" customHeight="1" x14ac:dyDescent="0.35">
      <c r="A1970" t="str">
        <f t="shared" si="30"/>
        <v>P680MD00C2631</v>
      </c>
      <c r="B1970" t="str">
        <f>IFERROR(VLOOKUP($A1970,'[5]Study Budget Mapping '!$O$2:$P$532,2,0),"TBA")</f>
        <v>TBA</v>
      </c>
      <c r="D1970" s="2" t="s">
        <v>365</v>
      </c>
      <c r="E1970" s="2" t="s">
        <v>14</v>
      </c>
      <c r="F1970" s="3">
        <v>790000</v>
      </c>
      <c r="G1970" s="3">
        <v>820000</v>
      </c>
      <c r="H1970" s="4"/>
      <c r="I1970" s="4"/>
      <c r="J1970" s="4"/>
      <c r="K1970" s="4"/>
      <c r="L1970" s="4"/>
      <c r="M1970" s="4"/>
    </row>
    <row r="1971" spans="1:13" ht="15" customHeight="1" x14ac:dyDescent="0.35">
      <c r="A1971" t="str">
        <f t="shared" si="30"/>
        <v>P680MD00C2631</v>
      </c>
      <c r="B1971" t="str">
        <f>IFERROR(VLOOKUP($A1971,'[5]Study Budget Mapping '!$O$2:$P$532,2,0),"TBA")</f>
        <v>TBA</v>
      </c>
      <c r="D1971" s="2" t="s">
        <v>365</v>
      </c>
      <c r="E1971" s="2" t="s">
        <v>19</v>
      </c>
      <c r="F1971" s="3">
        <v>4470000</v>
      </c>
      <c r="G1971" s="3">
        <v>3600000</v>
      </c>
      <c r="H1971" s="4"/>
      <c r="I1971" s="4"/>
      <c r="J1971" s="4"/>
      <c r="K1971" s="4"/>
      <c r="L1971" s="4"/>
      <c r="M1971" s="4"/>
    </row>
    <row r="1972" spans="1:13" ht="15" customHeight="1" x14ac:dyDescent="0.35">
      <c r="A1972" t="str">
        <f t="shared" si="30"/>
        <v>P680MD00C2631</v>
      </c>
      <c r="B1972" t="str">
        <f>IFERROR(VLOOKUP($A1972,'[5]Study Budget Mapping '!$O$2:$P$532,2,0),"TBA")</f>
        <v>TBA</v>
      </c>
      <c r="D1972" s="2" t="s">
        <v>365</v>
      </c>
      <c r="E1972" s="2" t="s">
        <v>20</v>
      </c>
      <c r="F1972" s="3">
        <v>550000</v>
      </c>
      <c r="G1972" s="3">
        <v>550000</v>
      </c>
      <c r="H1972" s="4"/>
      <c r="I1972" s="4"/>
      <c r="J1972" s="4"/>
      <c r="K1972" s="4"/>
      <c r="L1972" s="4"/>
      <c r="M1972" s="4"/>
    </row>
    <row r="1973" spans="1:13" ht="15" customHeight="1" x14ac:dyDescent="0.35">
      <c r="A1973" t="str">
        <f t="shared" si="30"/>
        <v>P680MD00C2631</v>
      </c>
      <c r="B1973" t="str">
        <f>IFERROR(VLOOKUP($A1973,'[5]Study Budget Mapping '!$O$2:$P$532,2,0),"TBA")</f>
        <v>TBA</v>
      </c>
      <c r="D1973" s="2" t="s">
        <v>365</v>
      </c>
      <c r="E1973" s="2" t="s">
        <v>15</v>
      </c>
      <c r="F1973" s="3">
        <v>2170000</v>
      </c>
      <c r="G1973" s="3">
        <v>2157000</v>
      </c>
      <c r="H1973" s="4"/>
      <c r="I1973" s="4"/>
      <c r="J1973" s="4"/>
      <c r="K1973" s="4"/>
      <c r="L1973" s="4"/>
      <c r="M1973" s="4"/>
    </row>
    <row r="1974" spans="1:13" ht="15" customHeight="1" x14ac:dyDescent="0.35">
      <c r="A1974" t="str">
        <f t="shared" si="30"/>
        <v>P680MD00C2631</v>
      </c>
      <c r="B1974" t="str">
        <f>IFERROR(VLOOKUP($A1974,'[5]Study Budget Mapping '!$O$2:$P$532,2,0),"TBA")</f>
        <v>TBA</v>
      </c>
      <c r="D1974" s="2" t="s">
        <v>365</v>
      </c>
      <c r="E1974" s="2" t="s">
        <v>16</v>
      </c>
      <c r="F1974" s="3">
        <v>170000</v>
      </c>
      <c r="G1974" s="3">
        <v>183000</v>
      </c>
      <c r="H1974" s="4"/>
      <c r="I1974" s="4"/>
      <c r="J1974" s="4"/>
      <c r="K1974" s="4"/>
      <c r="L1974" s="4"/>
      <c r="M1974" s="4"/>
    </row>
    <row r="1975" spans="1:13" ht="15" customHeight="1" x14ac:dyDescent="0.35">
      <c r="A1975" t="str">
        <f t="shared" si="30"/>
        <v>P680MD00C2631</v>
      </c>
      <c r="B1975" t="str">
        <f>IFERROR(VLOOKUP($A1975,'[5]Study Budget Mapping '!$O$2:$P$532,2,0),"TBA")</f>
        <v>TBA</v>
      </c>
      <c r="D1975" s="2" t="s">
        <v>365</v>
      </c>
      <c r="E1975" s="2" t="s">
        <v>17</v>
      </c>
      <c r="F1975" s="3">
        <v>290000</v>
      </c>
      <c r="G1975" s="3">
        <v>340000</v>
      </c>
      <c r="H1975" s="4"/>
      <c r="I1975" s="4"/>
      <c r="J1975" s="4"/>
      <c r="K1975" s="4"/>
      <c r="L1975" s="4"/>
      <c r="M1975" s="4"/>
    </row>
    <row r="1976" spans="1:13" ht="15" customHeight="1" x14ac:dyDescent="0.35">
      <c r="A1976" t="str">
        <f t="shared" si="30"/>
        <v>P680MD00C2631</v>
      </c>
      <c r="B1976" t="str">
        <f>IFERROR(VLOOKUP($A1976,'[5]Study Budget Mapping '!$O$2:$P$532,2,0),"TBA")</f>
        <v>TBA</v>
      </c>
      <c r="D1976" s="2" t="s">
        <v>365</v>
      </c>
      <c r="E1976" s="2" t="s">
        <v>24</v>
      </c>
      <c r="F1976" s="3">
        <v>360000</v>
      </c>
      <c r="G1976" s="3">
        <v>620000</v>
      </c>
      <c r="H1976" s="4"/>
      <c r="I1976" s="4"/>
      <c r="J1976" s="4"/>
      <c r="K1976" s="4"/>
      <c r="L1976" s="4"/>
      <c r="M1976" s="4"/>
    </row>
    <row r="1977" spans="1:13" ht="15" customHeight="1" x14ac:dyDescent="0.35">
      <c r="A1977" t="str">
        <f t="shared" si="30"/>
        <v>P680MD00C6011</v>
      </c>
      <c r="B1977" t="str">
        <f>IFERROR(VLOOKUP($A1977,'[5]Study Budget Mapping '!$O$2:$P$532,2,0),"TBA")</f>
        <v>TBA</v>
      </c>
      <c r="D1977" s="2" t="s">
        <v>366</v>
      </c>
      <c r="E1977" s="2" t="s">
        <v>13</v>
      </c>
      <c r="F1977" s="3">
        <v>6010800</v>
      </c>
      <c r="G1977" s="3">
        <v>6010800</v>
      </c>
      <c r="H1977" s="4"/>
      <c r="I1977" s="4"/>
      <c r="J1977" s="4"/>
      <c r="K1977" s="4"/>
      <c r="L1977" s="4"/>
      <c r="M1977" s="4"/>
    </row>
    <row r="1978" spans="1:13" ht="15" customHeight="1" x14ac:dyDescent="0.35">
      <c r="A1978" t="str">
        <f t="shared" si="30"/>
        <v>P680MD00C6011</v>
      </c>
      <c r="B1978" t="str">
        <f>IFERROR(VLOOKUP($A1978,'[5]Study Budget Mapping '!$O$2:$P$532,2,0),"TBA")</f>
        <v>TBA</v>
      </c>
      <c r="D1978" s="2" t="s">
        <v>366</v>
      </c>
      <c r="E1978" s="2" t="s">
        <v>14</v>
      </c>
      <c r="F1978" s="3">
        <v>1657611</v>
      </c>
      <c r="G1978" s="3">
        <v>1657611</v>
      </c>
      <c r="H1978" s="4"/>
      <c r="I1978" s="4"/>
      <c r="J1978" s="4"/>
      <c r="K1978" s="4"/>
      <c r="L1978" s="4"/>
      <c r="M1978" s="4"/>
    </row>
    <row r="1979" spans="1:13" ht="15" customHeight="1" x14ac:dyDescent="0.35">
      <c r="A1979" t="str">
        <f t="shared" si="30"/>
        <v>P680MD00C6011</v>
      </c>
      <c r="B1979" t="str">
        <f>IFERROR(VLOOKUP($A1979,'[5]Study Budget Mapping '!$O$2:$P$532,2,0),"TBA")</f>
        <v>TBA</v>
      </c>
      <c r="D1979" s="2" t="s">
        <v>366</v>
      </c>
      <c r="E1979" s="2" t="s">
        <v>144</v>
      </c>
      <c r="F1979" s="3">
        <v>29412</v>
      </c>
      <c r="G1979" s="3">
        <v>29412</v>
      </c>
      <c r="H1979" s="4"/>
      <c r="I1979" s="4"/>
      <c r="J1979" s="4"/>
      <c r="K1979" s="4"/>
      <c r="L1979" s="4"/>
      <c r="M1979" s="4"/>
    </row>
    <row r="1980" spans="1:13" ht="15" customHeight="1" x14ac:dyDescent="0.35">
      <c r="A1980" t="str">
        <f t="shared" si="30"/>
        <v>P680MD00C6011</v>
      </c>
      <c r="B1980" t="str">
        <f>IFERROR(VLOOKUP($A1980,'[5]Study Budget Mapping '!$O$2:$P$532,2,0),"TBA")</f>
        <v>TBA</v>
      </c>
      <c r="D1980" s="2" t="s">
        <v>366</v>
      </c>
      <c r="E1980" s="2" t="s">
        <v>15</v>
      </c>
      <c r="F1980" s="3">
        <v>1395008</v>
      </c>
      <c r="G1980" s="3">
        <v>1395008</v>
      </c>
      <c r="H1980" s="4"/>
      <c r="I1980" s="4"/>
      <c r="J1980" s="4"/>
      <c r="K1980" s="4"/>
      <c r="L1980" s="4"/>
      <c r="M1980" s="4"/>
    </row>
    <row r="1981" spans="1:13" ht="15" customHeight="1" x14ac:dyDescent="0.35">
      <c r="A1981" t="str">
        <f t="shared" si="30"/>
        <v>P680MD00C6011</v>
      </c>
      <c r="B1981" t="str">
        <f>IFERROR(VLOOKUP($A1981,'[5]Study Budget Mapping '!$O$2:$P$532,2,0),"TBA")</f>
        <v>TBA</v>
      </c>
      <c r="D1981" s="2" t="s">
        <v>366</v>
      </c>
      <c r="E1981" s="2" t="s">
        <v>16</v>
      </c>
      <c r="F1981" s="3">
        <v>268411</v>
      </c>
      <c r="G1981" s="3">
        <v>268411</v>
      </c>
      <c r="H1981" s="4"/>
      <c r="I1981" s="4"/>
      <c r="J1981" s="4"/>
      <c r="K1981" s="4"/>
      <c r="L1981" s="4"/>
      <c r="M1981" s="4"/>
    </row>
    <row r="1982" spans="1:13" ht="15" customHeight="1" x14ac:dyDescent="0.35">
      <c r="A1982" t="str">
        <f t="shared" si="30"/>
        <v>P680MD00C6012</v>
      </c>
      <c r="B1982" t="str">
        <f>IFERROR(VLOOKUP($A1982,'[5]Study Budget Mapping '!$O$2:$P$532,2,0),"TBA")</f>
        <v>TBA</v>
      </c>
      <c r="D1982" s="2" t="s">
        <v>367</v>
      </c>
      <c r="E1982" s="2" t="s">
        <v>13</v>
      </c>
      <c r="F1982" s="3">
        <v>1590000</v>
      </c>
      <c r="G1982" s="3">
        <v>1590000</v>
      </c>
      <c r="H1982" s="4"/>
      <c r="I1982" s="4"/>
      <c r="J1982" s="4"/>
      <c r="K1982" s="4"/>
      <c r="L1982" s="4"/>
      <c r="M1982" s="4"/>
    </row>
    <row r="1983" spans="1:13" ht="15" customHeight="1" x14ac:dyDescent="0.35">
      <c r="A1983" t="str">
        <f t="shared" si="30"/>
        <v>P680MD00C6012</v>
      </c>
      <c r="B1983" t="str">
        <f>IFERROR(VLOOKUP($A1983,'[5]Study Budget Mapping '!$O$2:$P$532,2,0),"TBA")</f>
        <v>TBA</v>
      </c>
      <c r="D1983" s="2" t="s">
        <v>367</v>
      </c>
      <c r="E1983" s="2" t="s">
        <v>14</v>
      </c>
      <c r="F1983" s="3">
        <v>50000</v>
      </c>
      <c r="G1983" s="3">
        <v>50000</v>
      </c>
      <c r="H1983" s="4"/>
      <c r="I1983" s="4"/>
      <c r="J1983" s="4"/>
      <c r="K1983" s="4"/>
      <c r="L1983" s="4"/>
      <c r="M1983" s="4"/>
    </row>
    <row r="1984" spans="1:13" ht="15" customHeight="1" x14ac:dyDescent="0.35">
      <c r="A1984" t="str">
        <f t="shared" si="30"/>
        <v>P680MD00C6012</v>
      </c>
      <c r="B1984" t="str">
        <f>IFERROR(VLOOKUP($A1984,'[5]Study Budget Mapping '!$O$2:$P$532,2,0),"TBA")</f>
        <v>TBA</v>
      </c>
      <c r="D1984" s="2" t="s">
        <v>367</v>
      </c>
      <c r="E1984" s="2" t="s">
        <v>20</v>
      </c>
      <c r="F1984" s="3">
        <v>100000</v>
      </c>
      <c r="G1984" s="3">
        <v>100000</v>
      </c>
      <c r="H1984" s="4"/>
      <c r="I1984" s="4"/>
      <c r="J1984" s="4"/>
      <c r="K1984" s="4"/>
      <c r="L1984" s="4"/>
      <c r="M1984" s="4"/>
    </row>
    <row r="1985" spans="1:13" ht="15" customHeight="1" x14ac:dyDescent="0.35">
      <c r="A1985" t="str">
        <f t="shared" si="30"/>
        <v>P680MD00C6012</v>
      </c>
      <c r="B1985" t="str">
        <f>IFERROR(VLOOKUP($A1985,'[5]Study Budget Mapping '!$O$2:$P$532,2,0),"TBA")</f>
        <v>TBA</v>
      </c>
      <c r="D1985" s="2" t="s">
        <v>367</v>
      </c>
      <c r="E1985" s="2" t="s">
        <v>31</v>
      </c>
      <c r="F1985" s="3">
        <v>10000</v>
      </c>
      <c r="G1985" s="3">
        <v>10000</v>
      </c>
      <c r="H1985" s="4"/>
      <c r="I1985" s="4"/>
      <c r="J1985" s="4"/>
      <c r="K1985" s="4"/>
      <c r="L1985" s="4"/>
      <c r="M1985" s="4"/>
    </row>
    <row r="1986" spans="1:13" ht="15" customHeight="1" x14ac:dyDescent="0.35">
      <c r="A1986" t="str">
        <f t="shared" si="30"/>
        <v>P680GE00C6021</v>
      </c>
      <c r="B1986" t="str">
        <f>IFERROR(VLOOKUP($A1986,'[5]Study Budget Mapping '!$O$2:$P$532,2,0),"TBA")</f>
        <v>TBA</v>
      </c>
      <c r="D1986" s="2" t="s">
        <v>368</v>
      </c>
      <c r="E1986" s="2" t="s">
        <v>13</v>
      </c>
      <c r="F1986" s="3">
        <v>239789.84</v>
      </c>
      <c r="G1986" s="3">
        <v>0</v>
      </c>
      <c r="H1986" s="4"/>
      <c r="I1986" s="4"/>
      <c r="J1986" s="4"/>
      <c r="K1986" s="4"/>
      <c r="L1986" s="4"/>
      <c r="M1986" s="4"/>
    </row>
    <row r="1987" spans="1:13" ht="15" customHeight="1" x14ac:dyDescent="0.35">
      <c r="A1987" t="str">
        <f t="shared" ref="A1987:A2050" si="31">TRIM(_xlfn.TEXTBEFORE(D1987,"-",1))</f>
        <v>P680GE00C6021</v>
      </c>
      <c r="B1987" t="str">
        <f>IFERROR(VLOOKUP($A1987,'[5]Study Budget Mapping '!$O$2:$P$532,2,0),"TBA")</f>
        <v>TBA</v>
      </c>
      <c r="D1987" s="2" t="s">
        <v>368</v>
      </c>
      <c r="E1987" s="2" t="s">
        <v>14</v>
      </c>
      <c r="F1987" s="3">
        <v>32849.29</v>
      </c>
      <c r="G1987" s="3">
        <v>0</v>
      </c>
      <c r="H1987" s="4"/>
      <c r="I1987" s="4"/>
      <c r="J1987" s="4"/>
      <c r="K1987" s="4"/>
      <c r="L1987" s="4"/>
      <c r="M1987" s="4"/>
    </row>
    <row r="1988" spans="1:13" ht="15" customHeight="1" x14ac:dyDescent="0.35">
      <c r="A1988" t="str">
        <f t="shared" si="31"/>
        <v>P680GE00C6021</v>
      </c>
      <c r="B1988" t="str">
        <f>IFERROR(VLOOKUP($A1988,'[5]Study Budget Mapping '!$O$2:$P$532,2,0),"TBA")</f>
        <v>TBA</v>
      </c>
      <c r="D1988" s="2" t="s">
        <v>368</v>
      </c>
      <c r="E1988" s="2" t="s">
        <v>15</v>
      </c>
      <c r="F1988" s="3">
        <v>0</v>
      </c>
      <c r="G1988" s="3">
        <v>524582.47</v>
      </c>
      <c r="H1988" s="4"/>
      <c r="I1988" s="4"/>
      <c r="J1988" s="4"/>
      <c r="K1988" s="4"/>
      <c r="L1988" s="4"/>
      <c r="M1988" s="4"/>
    </row>
    <row r="1989" spans="1:13" ht="15" customHeight="1" x14ac:dyDescent="0.35">
      <c r="A1989" t="str">
        <f t="shared" si="31"/>
        <v>P680GE00C6021</v>
      </c>
      <c r="B1989" t="str">
        <f>IFERROR(VLOOKUP($A1989,'[5]Study Budget Mapping '!$O$2:$P$532,2,0),"TBA")</f>
        <v>TBA</v>
      </c>
      <c r="D1989" s="2" t="s">
        <v>368</v>
      </c>
      <c r="E1989" s="2" t="s">
        <v>23</v>
      </c>
      <c r="F1989" s="3">
        <v>7360.87</v>
      </c>
      <c r="G1989" s="3">
        <v>0</v>
      </c>
      <c r="H1989" s="4"/>
      <c r="I1989" s="4"/>
      <c r="J1989" s="4"/>
      <c r="K1989" s="4"/>
      <c r="L1989" s="4"/>
      <c r="M1989" s="4"/>
    </row>
    <row r="1990" spans="1:13" ht="15" customHeight="1" x14ac:dyDescent="0.35">
      <c r="A1990" t="str">
        <f t="shared" si="31"/>
        <v>P680MD00C3931</v>
      </c>
      <c r="B1990" t="str">
        <f>IFERROR(VLOOKUP($A1990,'[5]Study Budget Mapping '!$O$2:$P$532,2,0),"TBA")</f>
        <v>TBA</v>
      </c>
      <c r="D1990" s="2" t="s">
        <v>369</v>
      </c>
      <c r="E1990" s="2" t="s">
        <v>13</v>
      </c>
      <c r="F1990" s="3">
        <v>450000</v>
      </c>
      <c r="G1990" s="3">
        <v>450000</v>
      </c>
      <c r="H1990" s="4"/>
      <c r="I1990" s="4"/>
      <c r="J1990" s="4"/>
      <c r="K1990" s="4"/>
      <c r="L1990" s="4"/>
      <c r="M1990" s="4"/>
    </row>
    <row r="1991" spans="1:13" ht="15" customHeight="1" x14ac:dyDescent="0.35">
      <c r="A1991" t="str">
        <f t="shared" si="31"/>
        <v>P680MD00C3931</v>
      </c>
      <c r="B1991" t="str">
        <f>IFERROR(VLOOKUP($A1991,'[5]Study Budget Mapping '!$O$2:$P$532,2,0),"TBA")</f>
        <v>TBA</v>
      </c>
      <c r="D1991" s="2" t="s">
        <v>369</v>
      </c>
      <c r="E1991" s="2" t="s">
        <v>14</v>
      </c>
      <c r="F1991" s="3">
        <v>120000</v>
      </c>
      <c r="G1991" s="3">
        <v>120000</v>
      </c>
      <c r="H1991" s="4"/>
      <c r="I1991" s="4"/>
      <c r="J1991" s="4"/>
      <c r="K1991" s="4"/>
      <c r="L1991" s="4"/>
      <c r="M1991" s="4"/>
    </row>
    <row r="1992" spans="1:13" ht="15" customHeight="1" x14ac:dyDescent="0.35">
      <c r="A1992" t="str">
        <f t="shared" si="31"/>
        <v>P680MD00C3931</v>
      </c>
      <c r="B1992" t="str">
        <f>IFERROR(VLOOKUP($A1992,'[5]Study Budget Mapping '!$O$2:$P$532,2,0),"TBA")</f>
        <v>TBA</v>
      </c>
      <c r="D1992" s="2" t="s">
        <v>369</v>
      </c>
      <c r="E1992" s="2" t="s">
        <v>19</v>
      </c>
      <c r="F1992" s="3">
        <v>1050000</v>
      </c>
      <c r="G1992" s="3">
        <v>1050000</v>
      </c>
      <c r="H1992" s="4"/>
      <c r="I1992" s="4"/>
      <c r="J1992" s="4"/>
      <c r="K1992" s="4"/>
      <c r="L1992" s="4"/>
      <c r="M1992" s="4"/>
    </row>
    <row r="1993" spans="1:13" ht="15" customHeight="1" x14ac:dyDescent="0.35">
      <c r="A1993" t="str">
        <f t="shared" si="31"/>
        <v>P680MD00C3931</v>
      </c>
      <c r="B1993" t="str">
        <f>IFERROR(VLOOKUP($A1993,'[5]Study Budget Mapping '!$O$2:$P$532,2,0),"TBA")</f>
        <v>TBA</v>
      </c>
      <c r="D1993" s="2" t="s">
        <v>369</v>
      </c>
      <c r="E1993" s="2" t="s">
        <v>20</v>
      </c>
      <c r="F1993" s="3">
        <v>80000</v>
      </c>
      <c r="G1993" s="3">
        <v>80000</v>
      </c>
      <c r="H1993" s="4"/>
      <c r="I1993" s="4"/>
      <c r="J1993" s="4"/>
      <c r="K1993" s="4"/>
      <c r="L1993" s="4"/>
      <c r="M1993" s="4"/>
    </row>
    <row r="1994" spans="1:13" ht="15" customHeight="1" x14ac:dyDescent="0.35">
      <c r="A1994" t="str">
        <f t="shared" si="31"/>
        <v>P680MD00C3931</v>
      </c>
      <c r="B1994" t="str">
        <f>IFERROR(VLOOKUP($A1994,'[5]Study Budget Mapping '!$O$2:$P$532,2,0),"TBA")</f>
        <v>TBA</v>
      </c>
      <c r="D1994" s="2" t="s">
        <v>369</v>
      </c>
      <c r="E1994" s="2" t="s">
        <v>22</v>
      </c>
      <c r="F1994" s="3">
        <v>840000</v>
      </c>
      <c r="G1994" s="3">
        <v>840000</v>
      </c>
      <c r="H1994" s="4"/>
      <c r="I1994" s="4"/>
      <c r="J1994" s="4"/>
      <c r="K1994" s="4"/>
      <c r="L1994" s="4"/>
      <c r="M1994" s="4"/>
    </row>
    <row r="1995" spans="1:13" ht="15" customHeight="1" x14ac:dyDescent="0.35">
      <c r="A1995" t="str">
        <f t="shared" si="31"/>
        <v>P680MD00C3931</v>
      </c>
      <c r="B1995" t="str">
        <f>IFERROR(VLOOKUP($A1995,'[5]Study Budget Mapping '!$O$2:$P$532,2,0),"TBA")</f>
        <v>TBA</v>
      </c>
      <c r="D1995" s="2" t="s">
        <v>369</v>
      </c>
      <c r="E1995" s="2" t="s">
        <v>16</v>
      </c>
      <c r="F1995" s="3">
        <v>30000</v>
      </c>
      <c r="G1995" s="3">
        <v>30000</v>
      </c>
      <c r="H1995" s="4"/>
      <c r="I1995" s="4"/>
      <c r="J1995" s="4"/>
      <c r="K1995" s="4"/>
      <c r="L1995" s="4"/>
      <c r="M1995" s="4"/>
    </row>
    <row r="1996" spans="1:13" ht="15" customHeight="1" x14ac:dyDescent="0.35">
      <c r="A1996" t="str">
        <f t="shared" si="31"/>
        <v>P680MD00C3931</v>
      </c>
      <c r="B1996" t="str">
        <f>IFERROR(VLOOKUP($A1996,'[5]Study Budget Mapping '!$O$2:$P$532,2,0),"TBA")</f>
        <v>TBA</v>
      </c>
      <c r="D1996" s="2" t="s">
        <v>369</v>
      </c>
      <c r="E1996" s="2" t="s">
        <v>17</v>
      </c>
      <c r="F1996" s="3">
        <v>250000</v>
      </c>
      <c r="G1996" s="3">
        <v>250000</v>
      </c>
      <c r="H1996" s="4"/>
      <c r="I1996" s="4"/>
      <c r="J1996" s="4"/>
      <c r="K1996" s="4"/>
      <c r="L1996" s="4"/>
      <c r="M1996" s="4"/>
    </row>
    <row r="1997" spans="1:13" ht="15" customHeight="1" x14ac:dyDescent="0.35">
      <c r="A1997" t="str">
        <f t="shared" si="31"/>
        <v>P680MD00C3931</v>
      </c>
      <c r="B1997" t="str">
        <f>IFERROR(VLOOKUP($A1997,'[5]Study Budget Mapping '!$O$2:$P$532,2,0),"TBA")</f>
        <v>TBA</v>
      </c>
      <c r="D1997" s="2" t="s">
        <v>369</v>
      </c>
      <c r="E1997" s="2" t="s">
        <v>26</v>
      </c>
      <c r="F1997" s="3">
        <v>370000</v>
      </c>
      <c r="G1997" s="3">
        <v>370000</v>
      </c>
      <c r="H1997" s="4"/>
      <c r="I1997" s="4"/>
      <c r="J1997" s="4"/>
      <c r="K1997" s="4"/>
      <c r="L1997" s="4"/>
      <c r="M1997" s="4"/>
    </row>
    <row r="1998" spans="1:13" ht="15" customHeight="1" x14ac:dyDescent="0.35">
      <c r="A1998" t="str">
        <f t="shared" si="31"/>
        <v>P680MD00C3931</v>
      </c>
      <c r="B1998" t="str">
        <f>IFERROR(VLOOKUP($A1998,'[5]Study Budget Mapping '!$O$2:$P$532,2,0),"TBA")</f>
        <v>TBA</v>
      </c>
      <c r="D1998" s="2" t="s">
        <v>369</v>
      </c>
      <c r="E1998" s="2" t="s">
        <v>23</v>
      </c>
      <c r="F1998" s="3">
        <v>12000</v>
      </c>
      <c r="G1998" s="3">
        <v>12000</v>
      </c>
      <c r="H1998" s="4"/>
      <c r="I1998" s="4"/>
      <c r="J1998" s="4"/>
      <c r="K1998" s="4"/>
      <c r="L1998" s="4"/>
      <c r="M1998" s="4"/>
    </row>
    <row r="1999" spans="1:13" ht="15" customHeight="1" x14ac:dyDescent="0.35">
      <c r="A1999" t="str">
        <f t="shared" si="31"/>
        <v>P680MD00C3931</v>
      </c>
      <c r="B1999" t="str">
        <f>IFERROR(VLOOKUP($A1999,'[5]Study Budget Mapping '!$O$2:$P$532,2,0),"TBA")</f>
        <v>TBA</v>
      </c>
      <c r="D1999" s="2" t="s">
        <v>369</v>
      </c>
      <c r="E1999" s="2" t="s">
        <v>24</v>
      </c>
      <c r="F1999" s="3">
        <v>550000</v>
      </c>
      <c r="G1999" s="3">
        <v>550000</v>
      </c>
      <c r="H1999" s="4"/>
      <c r="I1999" s="4"/>
      <c r="J1999" s="4"/>
      <c r="K1999" s="4"/>
      <c r="L1999" s="4"/>
      <c r="M1999" s="4"/>
    </row>
    <row r="2000" spans="1:13" ht="15" customHeight="1" x14ac:dyDescent="0.35">
      <c r="A2000" t="str">
        <f t="shared" si="31"/>
        <v>P680MD00C3731</v>
      </c>
      <c r="B2000" t="str">
        <f>IFERROR(VLOOKUP($A2000,'[5]Study Budget Mapping '!$O$2:$P$532,2,0),"TBA")</f>
        <v>TBA</v>
      </c>
      <c r="D2000" s="2" t="s">
        <v>370</v>
      </c>
      <c r="E2000" s="2" t="s">
        <v>13</v>
      </c>
      <c r="F2000" s="3">
        <v>1450000</v>
      </c>
      <c r="G2000" s="3">
        <v>1450000</v>
      </c>
      <c r="H2000" s="4"/>
      <c r="I2000" s="4"/>
      <c r="J2000" s="4"/>
      <c r="K2000" s="4"/>
      <c r="L2000" s="4"/>
      <c r="M2000" s="4"/>
    </row>
    <row r="2001" spans="1:13" ht="15" customHeight="1" x14ac:dyDescent="0.35">
      <c r="A2001" t="str">
        <f t="shared" si="31"/>
        <v>P680MD00C3731</v>
      </c>
      <c r="B2001" t="str">
        <f>IFERROR(VLOOKUP($A2001,'[5]Study Budget Mapping '!$O$2:$P$532,2,0),"TBA")</f>
        <v>TBA</v>
      </c>
      <c r="D2001" s="2" t="s">
        <v>370</v>
      </c>
      <c r="E2001" s="2" t="s">
        <v>14</v>
      </c>
      <c r="F2001" s="3">
        <v>380000</v>
      </c>
      <c r="G2001" s="3">
        <v>380000</v>
      </c>
      <c r="H2001" s="4"/>
      <c r="I2001" s="4"/>
      <c r="J2001" s="4"/>
      <c r="K2001" s="4"/>
      <c r="L2001" s="4"/>
      <c r="M2001" s="4"/>
    </row>
    <row r="2002" spans="1:13" ht="15" customHeight="1" x14ac:dyDescent="0.35">
      <c r="A2002" t="str">
        <f t="shared" si="31"/>
        <v>P680MD00C3731</v>
      </c>
      <c r="B2002" t="str">
        <f>IFERROR(VLOOKUP($A2002,'[5]Study Budget Mapping '!$O$2:$P$532,2,0),"TBA")</f>
        <v>TBA</v>
      </c>
      <c r="D2002" s="2" t="s">
        <v>370</v>
      </c>
      <c r="E2002" s="2" t="s">
        <v>19</v>
      </c>
      <c r="F2002" s="3">
        <v>2660000</v>
      </c>
      <c r="G2002" s="3">
        <v>2660000</v>
      </c>
      <c r="H2002" s="4"/>
      <c r="I2002" s="4"/>
      <c r="J2002" s="4"/>
      <c r="K2002" s="4"/>
      <c r="L2002" s="4"/>
      <c r="M2002" s="4"/>
    </row>
    <row r="2003" spans="1:13" ht="15" customHeight="1" x14ac:dyDescent="0.35">
      <c r="A2003" t="str">
        <f t="shared" si="31"/>
        <v>P680MD00C3731</v>
      </c>
      <c r="B2003" t="str">
        <f>IFERROR(VLOOKUP($A2003,'[5]Study Budget Mapping '!$O$2:$P$532,2,0),"TBA")</f>
        <v>TBA</v>
      </c>
      <c r="D2003" s="2" t="s">
        <v>370</v>
      </c>
      <c r="E2003" s="2" t="s">
        <v>20</v>
      </c>
      <c r="F2003" s="3">
        <v>640000</v>
      </c>
      <c r="G2003" s="3">
        <v>640000</v>
      </c>
      <c r="H2003" s="4"/>
      <c r="I2003" s="4"/>
      <c r="J2003" s="4"/>
      <c r="K2003" s="4"/>
      <c r="L2003" s="4"/>
      <c r="M2003" s="4"/>
    </row>
    <row r="2004" spans="1:13" ht="15" customHeight="1" x14ac:dyDescent="0.35">
      <c r="A2004" t="str">
        <f t="shared" si="31"/>
        <v>P680MD00C3731</v>
      </c>
      <c r="B2004" t="str">
        <f>IFERROR(VLOOKUP($A2004,'[5]Study Budget Mapping '!$O$2:$P$532,2,0),"TBA")</f>
        <v>TBA</v>
      </c>
      <c r="D2004" s="2" t="s">
        <v>370</v>
      </c>
      <c r="E2004" s="2" t="s">
        <v>15</v>
      </c>
      <c r="F2004" s="3">
        <v>3760000</v>
      </c>
      <c r="G2004" s="3">
        <v>3760000</v>
      </c>
      <c r="H2004" s="4"/>
      <c r="I2004" s="4"/>
      <c r="J2004" s="4"/>
      <c r="K2004" s="4"/>
      <c r="L2004" s="4"/>
      <c r="M2004" s="4"/>
    </row>
    <row r="2005" spans="1:13" ht="15" customHeight="1" x14ac:dyDescent="0.35">
      <c r="A2005" t="str">
        <f t="shared" si="31"/>
        <v>P680MD00C3731</v>
      </c>
      <c r="B2005" t="str">
        <f>IFERROR(VLOOKUP($A2005,'[5]Study Budget Mapping '!$O$2:$P$532,2,0),"TBA")</f>
        <v>TBA</v>
      </c>
      <c r="D2005" s="2" t="s">
        <v>370</v>
      </c>
      <c r="E2005" s="2" t="s">
        <v>22</v>
      </c>
      <c r="F2005" s="3">
        <v>1270000</v>
      </c>
      <c r="G2005" s="3">
        <v>1270000</v>
      </c>
      <c r="H2005" s="4"/>
      <c r="I2005" s="4"/>
      <c r="J2005" s="4"/>
      <c r="K2005" s="4"/>
      <c r="L2005" s="4"/>
      <c r="M2005" s="4"/>
    </row>
    <row r="2006" spans="1:13" ht="15" customHeight="1" x14ac:dyDescent="0.35">
      <c r="A2006" t="str">
        <f t="shared" si="31"/>
        <v>P680MD00C3731</v>
      </c>
      <c r="B2006" t="str">
        <f>IFERROR(VLOOKUP($A2006,'[5]Study Budget Mapping '!$O$2:$P$532,2,0),"TBA")</f>
        <v>TBA</v>
      </c>
      <c r="D2006" s="2" t="s">
        <v>370</v>
      </c>
      <c r="E2006" s="2" t="s">
        <v>16</v>
      </c>
      <c r="F2006" s="3">
        <v>950000</v>
      </c>
      <c r="G2006" s="3">
        <v>950000</v>
      </c>
      <c r="H2006" s="4"/>
      <c r="I2006" s="4"/>
      <c r="J2006" s="4"/>
      <c r="K2006" s="4"/>
      <c r="L2006" s="4"/>
      <c r="M2006" s="4"/>
    </row>
    <row r="2007" spans="1:13" ht="15" customHeight="1" x14ac:dyDescent="0.35">
      <c r="A2007" t="str">
        <f t="shared" si="31"/>
        <v>P680MD00C3731</v>
      </c>
      <c r="B2007" t="str">
        <f>IFERROR(VLOOKUP($A2007,'[5]Study Budget Mapping '!$O$2:$P$532,2,0),"TBA")</f>
        <v>TBA</v>
      </c>
      <c r="D2007" s="2" t="s">
        <v>370</v>
      </c>
      <c r="E2007" s="2" t="s">
        <v>17</v>
      </c>
      <c r="F2007" s="3">
        <v>340000</v>
      </c>
      <c r="G2007" s="3">
        <v>340000</v>
      </c>
      <c r="H2007" s="4"/>
      <c r="I2007" s="4"/>
      <c r="J2007" s="4"/>
      <c r="K2007" s="4"/>
      <c r="L2007" s="4"/>
      <c r="M2007" s="4"/>
    </row>
    <row r="2008" spans="1:13" ht="15" customHeight="1" x14ac:dyDescent="0.35">
      <c r="A2008" t="str">
        <f t="shared" si="31"/>
        <v>P680MD00C3731</v>
      </c>
      <c r="B2008" t="str">
        <f>IFERROR(VLOOKUP($A2008,'[5]Study Budget Mapping '!$O$2:$P$532,2,0),"TBA")</f>
        <v>TBA</v>
      </c>
      <c r="D2008" s="2" t="s">
        <v>370</v>
      </c>
      <c r="E2008" s="2" t="s">
        <v>23</v>
      </c>
      <c r="F2008" s="3">
        <v>100000</v>
      </c>
      <c r="G2008" s="3">
        <v>100000</v>
      </c>
      <c r="H2008" s="4"/>
      <c r="I2008" s="4"/>
      <c r="J2008" s="4"/>
      <c r="K2008" s="4"/>
      <c r="L2008" s="4"/>
      <c r="M2008" s="4"/>
    </row>
    <row r="2009" spans="1:13" ht="15" customHeight="1" x14ac:dyDescent="0.35">
      <c r="A2009" t="str">
        <f t="shared" si="31"/>
        <v>P680MD00C3731</v>
      </c>
      <c r="B2009" t="str">
        <f>IFERROR(VLOOKUP($A2009,'[5]Study Budget Mapping '!$O$2:$P$532,2,0),"TBA")</f>
        <v>TBA</v>
      </c>
      <c r="D2009" s="2" t="s">
        <v>370</v>
      </c>
      <c r="E2009" s="2" t="s">
        <v>24</v>
      </c>
      <c r="F2009" s="3">
        <v>1450000</v>
      </c>
      <c r="G2009" s="3">
        <v>1450000</v>
      </c>
      <c r="H2009" s="4"/>
      <c r="I2009" s="4"/>
      <c r="J2009" s="4"/>
      <c r="K2009" s="4"/>
      <c r="L2009" s="4"/>
      <c r="M2009" s="4"/>
    </row>
    <row r="2010" spans="1:13" ht="15" customHeight="1" x14ac:dyDescent="0.35">
      <c r="A2010" t="str">
        <f t="shared" si="31"/>
        <v>P680MD05C3221</v>
      </c>
      <c r="B2010" t="str">
        <f>IFERROR(VLOOKUP($A2010,'[5]Study Budget Mapping '!$O$2:$P$532,2,0),"TBA")</f>
        <v>TBA</v>
      </c>
      <c r="D2010" s="2" t="s">
        <v>371</v>
      </c>
      <c r="E2010" s="2" t="s">
        <v>13</v>
      </c>
      <c r="F2010" s="3">
        <v>160000</v>
      </c>
      <c r="G2010" s="3">
        <v>160000</v>
      </c>
      <c r="H2010" s="4"/>
      <c r="I2010" s="4"/>
      <c r="J2010" s="4"/>
      <c r="K2010" s="4"/>
      <c r="L2010" s="4"/>
      <c r="M2010" s="4"/>
    </row>
    <row r="2011" spans="1:13" ht="15" customHeight="1" x14ac:dyDescent="0.35">
      <c r="A2011" t="str">
        <f t="shared" si="31"/>
        <v>P680MD05C3221</v>
      </c>
      <c r="B2011" t="str">
        <f>IFERROR(VLOOKUP($A2011,'[5]Study Budget Mapping '!$O$2:$P$532,2,0),"TBA")</f>
        <v>TBA</v>
      </c>
      <c r="D2011" s="2" t="s">
        <v>371</v>
      </c>
      <c r="E2011" s="2" t="s">
        <v>14</v>
      </c>
      <c r="F2011" s="3">
        <v>250000</v>
      </c>
      <c r="G2011" s="3">
        <v>250000</v>
      </c>
      <c r="H2011" s="4"/>
      <c r="I2011" s="4"/>
      <c r="J2011" s="4"/>
      <c r="K2011" s="4"/>
      <c r="L2011" s="4"/>
      <c r="M2011" s="4"/>
    </row>
    <row r="2012" spans="1:13" ht="15" customHeight="1" x14ac:dyDescent="0.35">
      <c r="A2012" t="str">
        <f t="shared" si="31"/>
        <v>P680MD05C3221</v>
      </c>
      <c r="B2012" t="str">
        <f>IFERROR(VLOOKUP($A2012,'[5]Study Budget Mapping '!$O$2:$P$532,2,0),"TBA")</f>
        <v>TBA</v>
      </c>
      <c r="D2012" s="2" t="s">
        <v>371</v>
      </c>
      <c r="E2012" s="2" t="s">
        <v>19</v>
      </c>
      <c r="F2012" s="3">
        <v>670000</v>
      </c>
      <c r="G2012" s="3">
        <v>670000</v>
      </c>
      <c r="H2012" s="4"/>
      <c r="I2012" s="4"/>
      <c r="J2012" s="4"/>
      <c r="K2012" s="4"/>
      <c r="L2012" s="4"/>
      <c r="M2012" s="4"/>
    </row>
    <row r="2013" spans="1:13" ht="15" customHeight="1" x14ac:dyDescent="0.35">
      <c r="A2013" t="str">
        <f t="shared" si="31"/>
        <v>P680MD05C3221</v>
      </c>
      <c r="B2013" t="str">
        <f>IFERROR(VLOOKUP($A2013,'[5]Study Budget Mapping '!$O$2:$P$532,2,0),"TBA")</f>
        <v>TBA</v>
      </c>
      <c r="D2013" s="2" t="s">
        <v>371</v>
      </c>
      <c r="E2013" s="2" t="s">
        <v>20</v>
      </c>
      <c r="F2013" s="3">
        <v>330000</v>
      </c>
      <c r="G2013" s="3">
        <v>330000</v>
      </c>
      <c r="H2013" s="4"/>
      <c r="I2013" s="4"/>
      <c r="J2013" s="4"/>
      <c r="K2013" s="4"/>
      <c r="L2013" s="4"/>
      <c r="M2013" s="4"/>
    </row>
    <row r="2014" spans="1:13" ht="15" customHeight="1" x14ac:dyDescent="0.35">
      <c r="A2014" t="str">
        <f t="shared" si="31"/>
        <v>P680MD05C3221</v>
      </c>
      <c r="B2014" t="str">
        <f>IFERROR(VLOOKUP($A2014,'[5]Study Budget Mapping '!$O$2:$P$532,2,0),"TBA")</f>
        <v>TBA</v>
      </c>
      <c r="D2014" s="2" t="s">
        <v>371</v>
      </c>
      <c r="E2014" s="2" t="s">
        <v>15</v>
      </c>
      <c r="F2014" s="3">
        <v>940000</v>
      </c>
      <c r="G2014" s="3">
        <v>940000</v>
      </c>
      <c r="H2014" s="4"/>
      <c r="I2014" s="4"/>
      <c r="J2014" s="4"/>
      <c r="K2014" s="4"/>
      <c r="L2014" s="4"/>
      <c r="M2014" s="4"/>
    </row>
    <row r="2015" spans="1:13" ht="15" customHeight="1" x14ac:dyDescent="0.35">
      <c r="A2015" t="str">
        <f t="shared" si="31"/>
        <v>P680MD05C3221</v>
      </c>
      <c r="B2015" t="str">
        <f>IFERROR(VLOOKUP($A2015,'[5]Study Budget Mapping '!$O$2:$P$532,2,0),"TBA")</f>
        <v>TBA</v>
      </c>
      <c r="D2015" s="2" t="s">
        <v>371</v>
      </c>
      <c r="E2015" s="2" t="s">
        <v>22</v>
      </c>
      <c r="F2015" s="3">
        <v>890000</v>
      </c>
      <c r="G2015" s="3">
        <v>890000</v>
      </c>
      <c r="H2015" s="4"/>
      <c r="I2015" s="4"/>
      <c r="J2015" s="4"/>
      <c r="K2015" s="4"/>
      <c r="L2015" s="4"/>
      <c r="M2015" s="4"/>
    </row>
    <row r="2016" spans="1:13" ht="15" customHeight="1" x14ac:dyDescent="0.35">
      <c r="A2016" t="str">
        <f t="shared" si="31"/>
        <v>P680MD05C3221</v>
      </c>
      <c r="B2016" t="str">
        <f>IFERROR(VLOOKUP($A2016,'[5]Study Budget Mapping '!$O$2:$P$532,2,0),"TBA")</f>
        <v>TBA</v>
      </c>
      <c r="D2016" s="2" t="s">
        <v>371</v>
      </c>
      <c r="E2016" s="2" t="s">
        <v>16</v>
      </c>
      <c r="F2016" s="3">
        <v>60000</v>
      </c>
      <c r="G2016" s="3">
        <v>60000</v>
      </c>
      <c r="H2016" s="4"/>
      <c r="I2016" s="4"/>
      <c r="J2016" s="4"/>
      <c r="K2016" s="4"/>
      <c r="L2016" s="4"/>
      <c r="M2016" s="4"/>
    </row>
    <row r="2017" spans="1:13" ht="15" customHeight="1" x14ac:dyDescent="0.35">
      <c r="A2017" t="str">
        <f t="shared" si="31"/>
        <v>P680MD05C3221</v>
      </c>
      <c r="B2017" t="str">
        <f>IFERROR(VLOOKUP($A2017,'[5]Study Budget Mapping '!$O$2:$P$532,2,0),"TBA")</f>
        <v>TBA</v>
      </c>
      <c r="D2017" s="2" t="s">
        <v>371</v>
      </c>
      <c r="E2017" s="2" t="s">
        <v>17</v>
      </c>
      <c r="F2017" s="3">
        <v>200000</v>
      </c>
      <c r="G2017" s="3">
        <v>200000</v>
      </c>
      <c r="H2017" s="4"/>
      <c r="I2017" s="4"/>
      <c r="J2017" s="4"/>
      <c r="K2017" s="4"/>
      <c r="L2017" s="4"/>
      <c r="M2017" s="4"/>
    </row>
    <row r="2018" spans="1:13" ht="15" customHeight="1" x14ac:dyDescent="0.35">
      <c r="A2018" t="str">
        <f t="shared" si="31"/>
        <v>P680MD05C3221</v>
      </c>
      <c r="B2018" t="str">
        <f>IFERROR(VLOOKUP($A2018,'[5]Study Budget Mapping '!$O$2:$P$532,2,0),"TBA")</f>
        <v>TBA</v>
      </c>
      <c r="D2018" s="2" t="s">
        <v>371</v>
      </c>
      <c r="E2018" s="2" t="s">
        <v>24</v>
      </c>
      <c r="F2018" s="3">
        <v>220000</v>
      </c>
      <c r="G2018" s="3">
        <v>220000</v>
      </c>
      <c r="H2018" s="4"/>
      <c r="I2018" s="4"/>
      <c r="J2018" s="4"/>
      <c r="K2018" s="4"/>
      <c r="L2018" s="4"/>
      <c r="M2018" s="4"/>
    </row>
    <row r="2019" spans="1:13" ht="15" customHeight="1" x14ac:dyDescent="0.35">
      <c r="A2019" t="str">
        <f t="shared" si="31"/>
        <v>P680GE00C2411</v>
      </c>
      <c r="B2019" t="str">
        <f>IFERROR(VLOOKUP($A2019,'[5]Study Budget Mapping '!$O$2:$P$532,2,0),"TBA")</f>
        <v>TBA</v>
      </c>
      <c r="D2019" s="2" t="s">
        <v>372</v>
      </c>
      <c r="E2019" s="2" t="s">
        <v>13</v>
      </c>
      <c r="F2019" s="3">
        <v>2040000</v>
      </c>
      <c r="G2019" s="3">
        <v>2040000</v>
      </c>
      <c r="H2019" s="4"/>
      <c r="I2019" s="4"/>
      <c r="J2019" s="4"/>
      <c r="K2019" s="4"/>
      <c r="L2019" s="4"/>
      <c r="M2019" s="4"/>
    </row>
    <row r="2020" spans="1:13" ht="15" customHeight="1" x14ac:dyDescent="0.35">
      <c r="A2020" t="str">
        <f t="shared" si="31"/>
        <v>P680GE00C2411</v>
      </c>
      <c r="B2020" t="str">
        <f>IFERROR(VLOOKUP($A2020,'[5]Study Budget Mapping '!$O$2:$P$532,2,0),"TBA")</f>
        <v>TBA</v>
      </c>
      <c r="D2020" s="2" t="s">
        <v>372</v>
      </c>
      <c r="E2020" s="2" t="s">
        <v>14</v>
      </c>
      <c r="F2020" s="3">
        <v>500000</v>
      </c>
      <c r="G2020" s="3">
        <v>500000</v>
      </c>
      <c r="H2020" s="4"/>
      <c r="I2020" s="4"/>
      <c r="J2020" s="4"/>
      <c r="K2020" s="4"/>
      <c r="L2020" s="4"/>
      <c r="M2020" s="4"/>
    </row>
    <row r="2021" spans="1:13" ht="15" customHeight="1" x14ac:dyDescent="0.35">
      <c r="A2021" t="str">
        <f t="shared" si="31"/>
        <v>P680GE00C2411</v>
      </c>
      <c r="B2021" t="str">
        <f>IFERROR(VLOOKUP($A2021,'[5]Study Budget Mapping '!$O$2:$P$532,2,0),"TBA")</f>
        <v>TBA</v>
      </c>
      <c r="D2021" s="2" t="s">
        <v>372</v>
      </c>
      <c r="E2021" s="2" t="s">
        <v>19</v>
      </c>
      <c r="F2021" s="3">
        <v>540000</v>
      </c>
      <c r="G2021" s="3">
        <v>540000</v>
      </c>
      <c r="H2021" s="4"/>
      <c r="I2021" s="4"/>
      <c r="J2021" s="4"/>
      <c r="K2021" s="4"/>
      <c r="L2021" s="4"/>
      <c r="M2021" s="4"/>
    </row>
    <row r="2022" spans="1:13" ht="15" customHeight="1" x14ac:dyDescent="0.35">
      <c r="A2022" t="str">
        <f t="shared" si="31"/>
        <v>P680GE00C2411</v>
      </c>
      <c r="B2022" t="str">
        <f>IFERROR(VLOOKUP($A2022,'[5]Study Budget Mapping '!$O$2:$P$532,2,0),"TBA")</f>
        <v>TBA</v>
      </c>
      <c r="D2022" s="2" t="s">
        <v>372</v>
      </c>
      <c r="E2022" s="2" t="s">
        <v>20</v>
      </c>
      <c r="F2022" s="3">
        <v>290000</v>
      </c>
      <c r="G2022" s="3">
        <v>290000</v>
      </c>
      <c r="H2022" s="4"/>
      <c r="I2022" s="4"/>
      <c r="J2022" s="4"/>
      <c r="K2022" s="4"/>
      <c r="L2022" s="4"/>
      <c r="M2022" s="4"/>
    </row>
    <row r="2023" spans="1:13" ht="15" customHeight="1" x14ac:dyDescent="0.35">
      <c r="A2023" t="str">
        <f t="shared" si="31"/>
        <v>P680GE00C2411</v>
      </c>
      <c r="B2023" t="str">
        <f>IFERROR(VLOOKUP($A2023,'[5]Study Budget Mapping '!$O$2:$P$532,2,0),"TBA")</f>
        <v>TBA</v>
      </c>
      <c r="D2023" s="2" t="s">
        <v>372</v>
      </c>
      <c r="E2023" s="2" t="s">
        <v>15</v>
      </c>
      <c r="F2023" s="3">
        <v>290000</v>
      </c>
      <c r="G2023" s="3">
        <v>290000</v>
      </c>
      <c r="H2023" s="4"/>
      <c r="I2023" s="4"/>
      <c r="J2023" s="4"/>
      <c r="K2023" s="4"/>
      <c r="L2023" s="4"/>
      <c r="M2023" s="4"/>
    </row>
    <row r="2024" spans="1:13" ht="15" customHeight="1" x14ac:dyDescent="0.35">
      <c r="A2024" t="str">
        <f t="shared" si="31"/>
        <v>P680GE00C2411</v>
      </c>
      <c r="B2024" t="str">
        <f>IFERROR(VLOOKUP($A2024,'[5]Study Budget Mapping '!$O$2:$P$532,2,0),"TBA")</f>
        <v>TBA</v>
      </c>
      <c r="D2024" s="2" t="s">
        <v>372</v>
      </c>
      <c r="E2024" s="2" t="s">
        <v>22</v>
      </c>
      <c r="F2024" s="3">
        <v>1230000</v>
      </c>
      <c r="G2024" s="3">
        <v>1230000</v>
      </c>
      <c r="H2024" s="4"/>
      <c r="I2024" s="4"/>
      <c r="J2024" s="4"/>
      <c r="K2024" s="4"/>
      <c r="L2024" s="4"/>
      <c r="M2024" s="4"/>
    </row>
    <row r="2025" spans="1:13" ht="15" customHeight="1" x14ac:dyDescent="0.35">
      <c r="A2025" t="str">
        <f t="shared" si="31"/>
        <v>P680GE00C2411</v>
      </c>
      <c r="B2025" t="str">
        <f>IFERROR(VLOOKUP($A2025,'[5]Study Budget Mapping '!$O$2:$P$532,2,0),"TBA")</f>
        <v>TBA</v>
      </c>
      <c r="D2025" s="2" t="s">
        <v>372</v>
      </c>
      <c r="E2025" s="2" t="s">
        <v>16</v>
      </c>
      <c r="F2025" s="3">
        <v>120000</v>
      </c>
      <c r="G2025" s="3">
        <v>120000</v>
      </c>
      <c r="H2025" s="4"/>
      <c r="I2025" s="4"/>
      <c r="J2025" s="4"/>
      <c r="K2025" s="4"/>
      <c r="L2025" s="4"/>
      <c r="M2025" s="4"/>
    </row>
    <row r="2026" spans="1:13" ht="15" customHeight="1" x14ac:dyDescent="0.35">
      <c r="A2026" t="str">
        <f t="shared" si="31"/>
        <v>P680GE00C2411</v>
      </c>
      <c r="B2026" t="str">
        <f>IFERROR(VLOOKUP($A2026,'[5]Study Budget Mapping '!$O$2:$P$532,2,0),"TBA")</f>
        <v>TBA</v>
      </c>
      <c r="D2026" s="2" t="s">
        <v>372</v>
      </c>
      <c r="E2026" s="2" t="s">
        <v>17</v>
      </c>
      <c r="F2026" s="3">
        <v>350000</v>
      </c>
      <c r="G2026" s="3">
        <v>350000</v>
      </c>
      <c r="H2026" s="4"/>
      <c r="I2026" s="4"/>
      <c r="J2026" s="4"/>
      <c r="K2026" s="4"/>
      <c r="L2026" s="4"/>
      <c r="M2026" s="4"/>
    </row>
    <row r="2027" spans="1:13" ht="15" customHeight="1" x14ac:dyDescent="0.35">
      <c r="A2027" t="str">
        <f t="shared" si="31"/>
        <v>P680GE00C2411</v>
      </c>
      <c r="B2027" t="str">
        <f>IFERROR(VLOOKUP($A2027,'[5]Study Budget Mapping '!$O$2:$P$532,2,0),"TBA")</f>
        <v>TBA</v>
      </c>
      <c r="D2027" s="2" t="s">
        <v>372</v>
      </c>
      <c r="E2027" s="2" t="s">
        <v>23</v>
      </c>
      <c r="F2027" s="3">
        <v>280000</v>
      </c>
      <c r="G2027" s="3">
        <v>280000</v>
      </c>
      <c r="H2027" s="4"/>
      <c r="I2027" s="4"/>
      <c r="J2027" s="4"/>
      <c r="K2027" s="4"/>
      <c r="L2027" s="4"/>
      <c r="M2027" s="4"/>
    </row>
    <row r="2028" spans="1:13" ht="15" customHeight="1" x14ac:dyDescent="0.35">
      <c r="A2028" t="str">
        <f t="shared" si="31"/>
        <v>P680GE00C2411</v>
      </c>
      <c r="B2028" t="str">
        <f>IFERROR(VLOOKUP($A2028,'[5]Study Budget Mapping '!$O$2:$P$532,2,0),"TBA")</f>
        <v>TBA</v>
      </c>
      <c r="D2028" s="2" t="s">
        <v>372</v>
      </c>
      <c r="E2028" s="2" t="s">
        <v>24</v>
      </c>
      <c r="F2028" s="3">
        <v>150000</v>
      </c>
      <c r="G2028" s="3">
        <v>150000</v>
      </c>
      <c r="H2028" s="4"/>
      <c r="I2028" s="4"/>
      <c r="J2028" s="4"/>
      <c r="K2028" s="4"/>
      <c r="L2028" s="4"/>
      <c r="M2028" s="4"/>
    </row>
    <row r="2029" spans="1:13" ht="15" customHeight="1" x14ac:dyDescent="0.35">
      <c r="A2029" t="str">
        <f t="shared" si="31"/>
        <v>P680MD00C1121</v>
      </c>
      <c r="B2029" t="str">
        <f>IFERROR(VLOOKUP($A2029,'[5]Study Budget Mapping '!$O$2:$P$532,2,0),"TBA")</f>
        <v>TBA</v>
      </c>
      <c r="D2029" s="2" t="s">
        <v>373</v>
      </c>
      <c r="E2029" s="2" t="s">
        <v>15</v>
      </c>
      <c r="F2029" s="3">
        <v>1000000</v>
      </c>
      <c r="G2029" s="3">
        <v>1000000</v>
      </c>
      <c r="H2029" s="4"/>
      <c r="I2029" s="4"/>
      <c r="J2029" s="4"/>
      <c r="K2029" s="4"/>
      <c r="L2029" s="4"/>
      <c r="M2029" s="4"/>
    </row>
    <row r="2030" spans="1:13" ht="15" customHeight="1" x14ac:dyDescent="0.35">
      <c r="A2030" t="str">
        <f t="shared" si="31"/>
        <v>P681ST01C1031</v>
      </c>
      <c r="B2030" t="str">
        <f>IFERROR(VLOOKUP($A2030,'[5]Study Budget Mapping '!$O$2:$P$532,2,0),"TBA")</f>
        <v>TBA</v>
      </c>
      <c r="D2030" s="2" t="s">
        <v>374</v>
      </c>
      <c r="E2030" s="2" t="s">
        <v>13</v>
      </c>
      <c r="F2030" s="3">
        <v>8200000</v>
      </c>
      <c r="G2030" s="3">
        <v>8200000</v>
      </c>
      <c r="H2030" s="4"/>
      <c r="I2030" s="4"/>
      <c r="J2030" s="4"/>
      <c r="K2030" s="4"/>
      <c r="L2030" s="4"/>
      <c r="M2030" s="4"/>
    </row>
    <row r="2031" spans="1:13" ht="15" customHeight="1" x14ac:dyDescent="0.35">
      <c r="A2031" t="str">
        <f t="shared" si="31"/>
        <v>P681ST01C1031</v>
      </c>
      <c r="B2031" t="str">
        <f>IFERROR(VLOOKUP($A2031,'[5]Study Budget Mapping '!$O$2:$P$532,2,0),"TBA")</f>
        <v>TBA</v>
      </c>
      <c r="D2031" s="2" t="s">
        <v>374</v>
      </c>
      <c r="E2031" s="2" t="s">
        <v>14</v>
      </c>
      <c r="F2031" s="3">
        <v>3800000</v>
      </c>
      <c r="G2031" s="3">
        <v>3800000</v>
      </c>
      <c r="H2031" s="4"/>
      <c r="I2031" s="4"/>
      <c r="J2031" s="4"/>
      <c r="K2031" s="4"/>
      <c r="L2031" s="4"/>
      <c r="M2031" s="4"/>
    </row>
    <row r="2032" spans="1:13" ht="15" customHeight="1" x14ac:dyDescent="0.35">
      <c r="A2032" t="str">
        <f t="shared" si="31"/>
        <v>P681ST01C1031</v>
      </c>
      <c r="B2032" t="str">
        <f>IFERROR(VLOOKUP($A2032,'[5]Study Budget Mapping '!$O$2:$P$532,2,0),"TBA")</f>
        <v>TBA</v>
      </c>
      <c r="D2032" s="2" t="s">
        <v>374</v>
      </c>
      <c r="E2032" s="2" t="s">
        <v>20</v>
      </c>
      <c r="F2032" s="3">
        <v>400000</v>
      </c>
      <c r="G2032" s="3">
        <v>400000</v>
      </c>
      <c r="H2032" s="4"/>
      <c r="I2032" s="4"/>
      <c r="J2032" s="4"/>
      <c r="K2032" s="4"/>
      <c r="L2032" s="4"/>
      <c r="M2032" s="4"/>
    </row>
    <row r="2033" spans="1:13" ht="15" customHeight="1" x14ac:dyDescent="0.35">
      <c r="A2033" t="str">
        <f t="shared" si="31"/>
        <v>P681ST01C1031</v>
      </c>
      <c r="B2033" t="str">
        <f>IFERROR(VLOOKUP($A2033,'[5]Study Budget Mapping '!$O$2:$P$532,2,0),"TBA")</f>
        <v>TBA</v>
      </c>
      <c r="D2033" s="2" t="s">
        <v>374</v>
      </c>
      <c r="E2033" s="2" t="s">
        <v>15</v>
      </c>
      <c r="F2033" s="3">
        <v>6700000</v>
      </c>
      <c r="G2033" s="3">
        <v>6700000</v>
      </c>
      <c r="H2033" s="4"/>
      <c r="I2033" s="4"/>
      <c r="J2033" s="4"/>
      <c r="K2033" s="4"/>
      <c r="L2033" s="4"/>
      <c r="M2033" s="4"/>
    </row>
    <row r="2034" spans="1:13" ht="15" customHeight="1" x14ac:dyDescent="0.35">
      <c r="A2034" t="str">
        <f t="shared" si="31"/>
        <v>P681ST01C1031</v>
      </c>
      <c r="B2034" t="str">
        <f>IFERROR(VLOOKUP($A2034,'[5]Study Budget Mapping '!$O$2:$P$532,2,0),"TBA")</f>
        <v>TBA</v>
      </c>
      <c r="D2034" s="2" t="s">
        <v>374</v>
      </c>
      <c r="E2034" s="2" t="s">
        <v>16</v>
      </c>
      <c r="F2034" s="3">
        <v>1130000</v>
      </c>
      <c r="G2034" s="3">
        <v>1130000</v>
      </c>
      <c r="H2034" s="4"/>
      <c r="I2034" s="4"/>
      <c r="J2034" s="4"/>
      <c r="K2034" s="4"/>
      <c r="L2034" s="4"/>
      <c r="M2034" s="4"/>
    </row>
    <row r="2035" spans="1:13" ht="15" customHeight="1" x14ac:dyDescent="0.35">
      <c r="A2035" t="str">
        <f t="shared" si="31"/>
        <v>P681ST01C1031</v>
      </c>
      <c r="B2035" t="str">
        <f>IFERROR(VLOOKUP($A2035,'[5]Study Budget Mapping '!$O$2:$P$532,2,0),"TBA")</f>
        <v>TBA</v>
      </c>
      <c r="D2035" s="2" t="s">
        <v>374</v>
      </c>
      <c r="E2035" s="2" t="s">
        <v>17</v>
      </c>
      <c r="F2035" s="3">
        <v>300000</v>
      </c>
      <c r="G2035" s="3">
        <v>300000</v>
      </c>
      <c r="H2035" s="4"/>
      <c r="I2035" s="4"/>
      <c r="J2035" s="4"/>
      <c r="K2035" s="4"/>
      <c r="L2035" s="4"/>
      <c r="M2035" s="4"/>
    </row>
    <row r="2036" spans="1:13" ht="15" customHeight="1" x14ac:dyDescent="0.35">
      <c r="A2036" t="str">
        <f t="shared" si="31"/>
        <v>P681ST01C1031</v>
      </c>
      <c r="B2036" t="str">
        <f>IFERROR(VLOOKUP($A2036,'[5]Study Budget Mapping '!$O$2:$P$532,2,0),"TBA")</f>
        <v>TBA</v>
      </c>
      <c r="D2036" s="2" t="s">
        <v>374</v>
      </c>
      <c r="E2036" s="2" t="s">
        <v>24</v>
      </c>
      <c r="F2036" s="3">
        <v>300000</v>
      </c>
      <c r="G2036" s="3">
        <v>300000</v>
      </c>
      <c r="H2036" s="4"/>
      <c r="I2036" s="4"/>
      <c r="J2036" s="4"/>
      <c r="K2036" s="4"/>
      <c r="L2036" s="4"/>
      <c r="M2036" s="4"/>
    </row>
    <row r="2037" spans="1:13" ht="15" customHeight="1" x14ac:dyDescent="0.35">
      <c r="A2037" t="str">
        <f t="shared" si="31"/>
        <v>P681ST01C1031</v>
      </c>
      <c r="B2037" t="str">
        <f>IFERROR(VLOOKUP($A2037,'[5]Study Budget Mapping '!$O$2:$P$532,2,0),"TBA")</f>
        <v>TBA</v>
      </c>
      <c r="D2037" s="2" t="s">
        <v>374</v>
      </c>
      <c r="E2037" s="2" t="s">
        <v>32</v>
      </c>
      <c r="F2037" s="3">
        <v>300000</v>
      </c>
      <c r="G2037" s="3">
        <v>300000</v>
      </c>
      <c r="H2037" s="4"/>
      <c r="I2037" s="4"/>
      <c r="J2037" s="4"/>
      <c r="K2037" s="4"/>
      <c r="L2037" s="4"/>
      <c r="M2037" s="4"/>
    </row>
    <row r="2038" spans="1:13" ht="15" customHeight="1" x14ac:dyDescent="0.35">
      <c r="A2038" t="str">
        <f t="shared" si="31"/>
        <v>P682ST20C1021</v>
      </c>
      <c r="B2038" t="str">
        <f>IFERROR(VLOOKUP($A2038,'[5]Study Budget Mapping '!$O$2:$P$532,2,0),"TBA")</f>
        <v>TBA</v>
      </c>
      <c r="D2038" s="2" t="s">
        <v>375</v>
      </c>
      <c r="E2038" s="2" t="s">
        <v>13</v>
      </c>
      <c r="F2038" s="3">
        <v>3510000</v>
      </c>
      <c r="G2038" s="3">
        <v>3510000</v>
      </c>
      <c r="H2038" s="4"/>
      <c r="I2038" s="4"/>
      <c r="J2038" s="4"/>
      <c r="K2038" s="4"/>
      <c r="L2038" s="4"/>
      <c r="M2038" s="4"/>
    </row>
    <row r="2039" spans="1:13" ht="15" customHeight="1" x14ac:dyDescent="0.35">
      <c r="A2039" t="str">
        <f t="shared" si="31"/>
        <v>P682ST20C1021</v>
      </c>
      <c r="B2039" t="str">
        <f>IFERROR(VLOOKUP($A2039,'[5]Study Budget Mapping '!$O$2:$P$532,2,0),"TBA")</f>
        <v>TBA</v>
      </c>
      <c r="D2039" s="2" t="s">
        <v>375</v>
      </c>
      <c r="E2039" s="2" t="s">
        <v>14</v>
      </c>
      <c r="F2039" s="3">
        <v>200000</v>
      </c>
      <c r="G2039" s="3">
        <v>200000</v>
      </c>
      <c r="H2039" s="4"/>
      <c r="I2039" s="4"/>
      <c r="J2039" s="4"/>
      <c r="K2039" s="4"/>
      <c r="L2039" s="4"/>
      <c r="M2039" s="4"/>
    </row>
    <row r="2040" spans="1:13" ht="15" customHeight="1" x14ac:dyDescent="0.35">
      <c r="A2040" t="str">
        <f t="shared" si="31"/>
        <v>P682ST20C1021</v>
      </c>
      <c r="B2040" t="str">
        <f>IFERROR(VLOOKUP($A2040,'[5]Study Budget Mapping '!$O$2:$P$532,2,0),"TBA")</f>
        <v>TBA</v>
      </c>
      <c r="D2040" s="2" t="s">
        <v>375</v>
      </c>
      <c r="E2040" s="2" t="s">
        <v>20</v>
      </c>
      <c r="F2040" s="3">
        <v>350000</v>
      </c>
      <c r="G2040" s="3">
        <v>350000</v>
      </c>
      <c r="H2040" s="4"/>
      <c r="I2040" s="4"/>
      <c r="J2040" s="4"/>
      <c r="K2040" s="4"/>
      <c r="L2040" s="4"/>
      <c r="M2040" s="4"/>
    </row>
    <row r="2041" spans="1:13" ht="15" customHeight="1" x14ac:dyDescent="0.35">
      <c r="A2041" t="str">
        <f t="shared" si="31"/>
        <v>P682ST20C1021</v>
      </c>
      <c r="B2041" t="str">
        <f>IFERROR(VLOOKUP($A2041,'[5]Study Budget Mapping '!$O$2:$P$532,2,0),"TBA")</f>
        <v>TBA</v>
      </c>
      <c r="D2041" s="2" t="s">
        <v>375</v>
      </c>
      <c r="E2041" s="2" t="s">
        <v>15</v>
      </c>
      <c r="F2041" s="3">
        <v>1000000</v>
      </c>
      <c r="G2041" s="3">
        <v>1000000</v>
      </c>
      <c r="H2041" s="4"/>
      <c r="I2041" s="4"/>
      <c r="J2041" s="4"/>
      <c r="K2041" s="4"/>
      <c r="L2041" s="4"/>
      <c r="M2041" s="4"/>
    </row>
    <row r="2042" spans="1:13" ht="15" customHeight="1" x14ac:dyDescent="0.35">
      <c r="A2042" t="str">
        <f t="shared" si="31"/>
        <v>P682ST20C1021</v>
      </c>
      <c r="B2042" t="str">
        <f>IFERROR(VLOOKUP($A2042,'[5]Study Budget Mapping '!$O$2:$P$532,2,0),"TBA")</f>
        <v>TBA</v>
      </c>
      <c r="D2042" s="2" t="s">
        <v>375</v>
      </c>
      <c r="E2042" s="2" t="s">
        <v>16</v>
      </c>
      <c r="F2042" s="3">
        <v>70000</v>
      </c>
      <c r="G2042" s="3">
        <v>70000</v>
      </c>
      <c r="H2042" s="4"/>
      <c r="I2042" s="4"/>
      <c r="J2042" s="4"/>
      <c r="K2042" s="4"/>
      <c r="L2042" s="4"/>
      <c r="M2042" s="4"/>
    </row>
    <row r="2043" spans="1:13" ht="15" customHeight="1" x14ac:dyDescent="0.35">
      <c r="A2043" t="str">
        <f t="shared" si="31"/>
        <v>P682ST20C1021</v>
      </c>
      <c r="B2043" t="str">
        <f>IFERROR(VLOOKUP($A2043,'[5]Study Budget Mapping '!$O$2:$P$532,2,0),"TBA")</f>
        <v>TBA</v>
      </c>
      <c r="D2043" s="2" t="s">
        <v>375</v>
      </c>
      <c r="E2043" s="2" t="s">
        <v>17</v>
      </c>
      <c r="F2043" s="3">
        <v>280000</v>
      </c>
      <c r="G2043" s="3">
        <v>280000</v>
      </c>
      <c r="H2043" s="4"/>
      <c r="I2043" s="4"/>
      <c r="J2043" s="4"/>
      <c r="K2043" s="4"/>
      <c r="L2043" s="4"/>
      <c r="M2043" s="4"/>
    </row>
    <row r="2044" spans="1:13" ht="15" customHeight="1" x14ac:dyDescent="0.35">
      <c r="A2044" t="str">
        <f t="shared" si="31"/>
        <v>P682ST20C1021</v>
      </c>
      <c r="B2044" t="str">
        <f>IFERROR(VLOOKUP($A2044,'[5]Study Budget Mapping '!$O$2:$P$532,2,0),"TBA")</f>
        <v>TBA</v>
      </c>
      <c r="D2044" s="2" t="s">
        <v>375</v>
      </c>
      <c r="E2044" s="2" t="s">
        <v>24</v>
      </c>
      <c r="F2044" s="3">
        <v>105000</v>
      </c>
      <c r="G2044" s="3">
        <v>105000</v>
      </c>
      <c r="H2044" s="4"/>
      <c r="I2044" s="4"/>
      <c r="J2044" s="4"/>
      <c r="K2044" s="4"/>
      <c r="L2044" s="4"/>
      <c r="M2044" s="4"/>
    </row>
    <row r="2045" spans="1:13" ht="15" customHeight="1" x14ac:dyDescent="0.35">
      <c r="A2045" t="str">
        <f t="shared" si="31"/>
        <v>P685PN00C1021</v>
      </c>
      <c r="B2045" t="str">
        <f>IFERROR(VLOOKUP($A2045,'[5]Study Budget Mapping '!$O$2:$P$532,2,0),"TBA")</f>
        <v>TBA</v>
      </c>
      <c r="D2045" s="2" t="s">
        <v>376</v>
      </c>
      <c r="E2045" s="2" t="s">
        <v>13</v>
      </c>
      <c r="F2045" s="3">
        <v>512000</v>
      </c>
      <c r="G2045" s="3">
        <v>705000</v>
      </c>
      <c r="H2045" s="4"/>
      <c r="I2045" s="4"/>
      <c r="J2045" s="4"/>
      <c r="K2045" s="4"/>
      <c r="L2045" s="4"/>
      <c r="M2045" s="4"/>
    </row>
    <row r="2046" spans="1:13" ht="15" customHeight="1" x14ac:dyDescent="0.35">
      <c r="A2046" t="str">
        <f t="shared" si="31"/>
        <v>P685PN00C1021</v>
      </c>
      <c r="B2046" t="str">
        <f>IFERROR(VLOOKUP($A2046,'[5]Study Budget Mapping '!$O$2:$P$532,2,0),"TBA")</f>
        <v>TBA</v>
      </c>
      <c r="D2046" s="2" t="s">
        <v>376</v>
      </c>
      <c r="E2046" s="2" t="s">
        <v>14</v>
      </c>
      <c r="F2046" s="3">
        <v>102000</v>
      </c>
      <c r="G2046" s="3">
        <v>126000</v>
      </c>
      <c r="H2046" s="4"/>
      <c r="I2046" s="4"/>
      <c r="J2046" s="4"/>
      <c r="K2046" s="4"/>
      <c r="L2046" s="4"/>
      <c r="M2046" s="4"/>
    </row>
    <row r="2047" spans="1:13" ht="15" customHeight="1" x14ac:dyDescent="0.35">
      <c r="A2047" t="str">
        <f t="shared" si="31"/>
        <v>P685PN00C1021</v>
      </c>
      <c r="B2047" t="str">
        <f>IFERROR(VLOOKUP($A2047,'[5]Study Budget Mapping '!$O$2:$P$532,2,0),"TBA")</f>
        <v>TBA</v>
      </c>
      <c r="D2047" s="2" t="s">
        <v>376</v>
      </c>
      <c r="E2047" s="2" t="s">
        <v>19</v>
      </c>
      <c r="F2047" s="3">
        <v>18000</v>
      </c>
      <c r="G2047" s="3">
        <v>20000</v>
      </c>
      <c r="H2047" s="4"/>
      <c r="I2047" s="4"/>
      <c r="J2047" s="4"/>
      <c r="K2047" s="4"/>
      <c r="L2047" s="4"/>
      <c r="M2047" s="4"/>
    </row>
    <row r="2048" spans="1:13" ht="15" customHeight="1" x14ac:dyDescent="0.35">
      <c r="A2048" t="str">
        <f t="shared" si="31"/>
        <v>P685PN00C1021</v>
      </c>
      <c r="B2048" t="str">
        <f>IFERROR(VLOOKUP($A2048,'[5]Study Budget Mapping '!$O$2:$P$532,2,0),"TBA")</f>
        <v>TBA</v>
      </c>
      <c r="D2048" s="2" t="s">
        <v>376</v>
      </c>
      <c r="E2048" s="2" t="s">
        <v>17</v>
      </c>
      <c r="F2048" s="3">
        <v>59000</v>
      </c>
      <c r="G2048" s="3">
        <v>59000</v>
      </c>
      <c r="H2048" s="4"/>
      <c r="I2048" s="4"/>
      <c r="J2048" s="4"/>
      <c r="K2048" s="4"/>
      <c r="L2048" s="4"/>
      <c r="M2048" s="4"/>
    </row>
    <row r="2049" spans="1:13" ht="15" customHeight="1" x14ac:dyDescent="0.35">
      <c r="A2049" t="str">
        <f t="shared" si="31"/>
        <v>P685PN00C1021</v>
      </c>
      <c r="B2049" t="str">
        <f>IFERROR(VLOOKUP($A2049,'[5]Study Budget Mapping '!$O$2:$P$532,2,0),"TBA")</f>
        <v>TBA</v>
      </c>
      <c r="D2049" s="2" t="s">
        <v>376</v>
      </c>
      <c r="E2049" s="2" t="s">
        <v>28</v>
      </c>
      <c r="F2049" s="3">
        <v>84000</v>
      </c>
      <c r="G2049" s="3">
        <v>209000</v>
      </c>
      <c r="H2049" s="4"/>
      <c r="I2049" s="4"/>
      <c r="J2049" s="4"/>
      <c r="K2049" s="4"/>
      <c r="L2049" s="4"/>
      <c r="M2049" s="4"/>
    </row>
    <row r="2050" spans="1:13" ht="15" customHeight="1" x14ac:dyDescent="0.35">
      <c r="A2050" t="str">
        <f t="shared" si="31"/>
        <v>P685PN00C1021</v>
      </c>
      <c r="B2050" t="str">
        <f>IFERROR(VLOOKUP($A2050,'[5]Study Budget Mapping '!$O$2:$P$532,2,0),"TBA")</f>
        <v>TBA</v>
      </c>
      <c r="D2050" s="2" t="s">
        <v>376</v>
      </c>
      <c r="E2050" s="2" t="s">
        <v>24</v>
      </c>
      <c r="F2050" s="3">
        <v>32000</v>
      </c>
      <c r="G2050" s="3">
        <v>32000</v>
      </c>
      <c r="H2050" s="4"/>
      <c r="I2050" s="4"/>
      <c r="J2050" s="4"/>
      <c r="K2050" s="4"/>
      <c r="L2050" s="4"/>
      <c r="M2050" s="4"/>
    </row>
    <row r="2051" spans="1:13" ht="15" customHeight="1" x14ac:dyDescent="0.35">
      <c r="A2051" t="str">
        <f t="shared" ref="A2051:A2114" si="32">TRIM(_xlfn.TEXTBEFORE(D2051,"-",1))</f>
        <v>P685PN00C1021</v>
      </c>
      <c r="B2051" t="str">
        <f>IFERROR(VLOOKUP($A2051,'[5]Study Budget Mapping '!$O$2:$P$532,2,0),"TBA")</f>
        <v>TBA</v>
      </c>
      <c r="D2051" s="2" t="s">
        <v>376</v>
      </c>
      <c r="E2051" s="2" t="s">
        <v>32</v>
      </c>
      <c r="F2051" s="3">
        <v>108000</v>
      </c>
      <c r="G2051" s="3">
        <v>152000</v>
      </c>
      <c r="H2051" s="4"/>
      <c r="I2051" s="4"/>
      <c r="J2051" s="4"/>
      <c r="K2051" s="4"/>
      <c r="L2051" s="4"/>
      <c r="M2051" s="4"/>
    </row>
    <row r="2052" spans="1:13" ht="15" customHeight="1" x14ac:dyDescent="0.35">
      <c r="A2052" t="str">
        <f t="shared" si="32"/>
        <v>P685PN00C6031</v>
      </c>
      <c r="B2052" t="str">
        <f>IFERROR(VLOOKUP($A2052,'[5]Study Budget Mapping '!$O$2:$P$532,2,0),"TBA")</f>
        <v>TBA</v>
      </c>
      <c r="D2052" s="2" t="s">
        <v>377</v>
      </c>
      <c r="E2052" s="2" t="s">
        <v>13</v>
      </c>
      <c r="F2052" s="3">
        <v>0</v>
      </c>
      <c r="G2052" s="3">
        <v>1459000</v>
      </c>
      <c r="H2052" s="4"/>
      <c r="I2052" s="4"/>
      <c r="J2052" s="4"/>
      <c r="K2052" s="4"/>
      <c r="L2052" s="4"/>
      <c r="M2052" s="4"/>
    </row>
    <row r="2053" spans="1:13" ht="15" customHeight="1" x14ac:dyDescent="0.35">
      <c r="A2053" t="str">
        <f t="shared" si="32"/>
        <v>P685PN00C6031</v>
      </c>
      <c r="B2053" t="str">
        <f>IFERROR(VLOOKUP($A2053,'[5]Study Budget Mapping '!$O$2:$P$532,2,0),"TBA")</f>
        <v>TBA</v>
      </c>
      <c r="D2053" s="2" t="s">
        <v>377</v>
      </c>
      <c r="E2053" s="2" t="s">
        <v>19</v>
      </c>
      <c r="F2053" s="3">
        <v>0</v>
      </c>
      <c r="G2053" s="3">
        <v>347000</v>
      </c>
      <c r="H2053" s="4"/>
      <c r="I2053" s="4"/>
      <c r="J2053" s="4"/>
      <c r="K2053" s="4"/>
      <c r="L2053" s="4"/>
      <c r="M2053" s="4"/>
    </row>
    <row r="2054" spans="1:13" ht="15" customHeight="1" x14ac:dyDescent="0.35">
      <c r="A2054" t="str">
        <f t="shared" si="32"/>
        <v>P685PN00C6031</v>
      </c>
      <c r="B2054" t="str">
        <f>IFERROR(VLOOKUP($A2054,'[5]Study Budget Mapping '!$O$2:$P$532,2,0),"TBA")</f>
        <v>TBA</v>
      </c>
      <c r="D2054" s="2" t="s">
        <v>377</v>
      </c>
      <c r="E2054" s="2" t="s">
        <v>22</v>
      </c>
      <c r="F2054" s="3">
        <v>2200000</v>
      </c>
      <c r="G2054" s="3">
        <v>0</v>
      </c>
      <c r="H2054" s="4"/>
      <c r="I2054" s="4"/>
      <c r="J2054" s="4"/>
      <c r="K2054" s="4"/>
      <c r="L2054" s="4"/>
      <c r="M2054" s="4"/>
    </row>
    <row r="2055" spans="1:13" ht="15" customHeight="1" x14ac:dyDescent="0.35">
      <c r="A2055" t="str">
        <f t="shared" si="32"/>
        <v>P685PN00C6031</v>
      </c>
      <c r="B2055" t="str">
        <f>IFERROR(VLOOKUP($A2055,'[5]Study Budget Mapping '!$O$2:$P$532,2,0),"TBA")</f>
        <v>TBA</v>
      </c>
      <c r="D2055" s="2" t="s">
        <v>377</v>
      </c>
      <c r="E2055" s="2" t="s">
        <v>16</v>
      </c>
      <c r="F2055" s="3">
        <v>0</v>
      </c>
      <c r="G2055" s="3">
        <v>2200000</v>
      </c>
      <c r="H2055" s="4"/>
      <c r="I2055" s="4"/>
      <c r="J2055" s="4"/>
      <c r="K2055" s="4"/>
      <c r="L2055" s="4"/>
      <c r="M2055" s="4"/>
    </row>
    <row r="2056" spans="1:13" ht="15" customHeight="1" x14ac:dyDescent="0.35">
      <c r="A2056" t="str">
        <f t="shared" si="32"/>
        <v>P685PN00C6031</v>
      </c>
      <c r="B2056" t="str">
        <f>IFERROR(VLOOKUP($A2056,'[5]Study Budget Mapping '!$O$2:$P$532,2,0),"TBA")</f>
        <v>TBA</v>
      </c>
      <c r="D2056" s="2" t="s">
        <v>377</v>
      </c>
      <c r="E2056" s="2" t="s">
        <v>23</v>
      </c>
      <c r="F2056" s="3">
        <v>0</v>
      </c>
      <c r="G2056" s="3">
        <v>21000</v>
      </c>
      <c r="H2056" s="4"/>
      <c r="I2056" s="4"/>
      <c r="J2056" s="4"/>
      <c r="K2056" s="4"/>
      <c r="L2056" s="4"/>
      <c r="M2056" s="4"/>
    </row>
    <row r="2057" spans="1:13" ht="15" customHeight="1" x14ac:dyDescent="0.35">
      <c r="A2057" t="str">
        <f t="shared" si="32"/>
        <v>P685PN00C6031</v>
      </c>
      <c r="B2057" t="str">
        <f>IFERROR(VLOOKUP($A2057,'[5]Study Budget Mapping '!$O$2:$P$532,2,0),"TBA")</f>
        <v>TBA</v>
      </c>
      <c r="D2057" s="2" t="s">
        <v>377</v>
      </c>
      <c r="E2057" s="2" t="s">
        <v>32</v>
      </c>
      <c r="F2057" s="3">
        <v>0</v>
      </c>
      <c r="G2057" s="3">
        <v>150000</v>
      </c>
      <c r="H2057" s="4"/>
      <c r="I2057" s="4"/>
      <c r="J2057" s="4"/>
      <c r="K2057" s="4"/>
      <c r="L2057" s="4"/>
      <c r="M2057" s="4"/>
    </row>
    <row r="2058" spans="1:13" ht="15" customHeight="1" x14ac:dyDescent="0.35">
      <c r="A2058" t="str">
        <f t="shared" si="32"/>
        <v>P685PN01C2431</v>
      </c>
      <c r="B2058" t="str">
        <f>IFERROR(VLOOKUP($A2058,'[5]Study Budget Mapping '!$O$2:$P$532,2,0),"TBA")</f>
        <v>TBA</v>
      </c>
      <c r="D2058" s="2" t="s">
        <v>378</v>
      </c>
      <c r="E2058" s="2" t="s">
        <v>13</v>
      </c>
      <c r="F2058" s="3">
        <v>4552300.5217499901</v>
      </c>
      <c r="G2058" s="3">
        <v>6044000</v>
      </c>
      <c r="H2058" s="4"/>
      <c r="I2058" s="4"/>
      <c r="J2058" s="4"/>
      <c r="K2058" s="4"/>
      <c r="L2058" s="4"/>
      <c r="M2058" s="4"/>
    </row>
    <row r="2059" spans="1:13" ht="15" customHeight="1" x14ac:dyDescent="0.35">
      <c r="A2059" t="str">
        <f t="shared" si="32"/>
        <v>P685PN01C2431</v>
      </c>
      <c r="B2059" t="str">
        <f>IFERROR(VLOOKUP($A2059,'[5]Study Budget Mapping '!$O$2:$P$532,2,0),"TBA")</f>
        <v>TBA</v>
      </c>
      <c r="D2059" s="2" t="s">
        <v>378</v>
      </c>
      <c r="E2059" s="2" t="s">
        <v>14</v>
      </c>
      <c r="F2059" s="3">
        <v>852000</v>
      </c>
      <c r="G2059" s="3">
        <v>1610000</v>
      </c>
      <c r="H2059" s="4"/>
      <c r="I2059" s="4"/>
      <c r="J2059" s="4"/>
      <c r="K2059" s="4"/>
      <c r="L2059" s="4"/>
      <c r="M2059" s="4"/>
    </row>
    <row r="2060" spans="1:13" ht="15" customHeight="1" x14ac:dyDescent="0.35">
      <c r="A2060" t="str">
        <f t="shared" si="32"/>
        <v>P685PN01C2431</v>
      </c>
      <c r="B2060" t="str">
        <f>IFERROR(VLOOKUP($A2060,'[5]Study Budget Mapping '!$O$2:$P$532,2,0),"TBA")</f>
        <v>TBA</v>
      </c>
      <c r="D2060" s="2" t="s">
        <v>378</v>
      </c>
      <c r="E2060" s="2" t="s">
        <v>19</v>
      </c>
      <c r="F2060" s="3">
        <v>1435000</v>
      </c>
      <c r="G2060" s="3">
        <v>1756000</v>
      </c>
      <c r="H2060" s="4"/>
      <c r="I2060" s="4"/>
      <c r="J2060" s="4"/>
      <c r="K2060" s="4"/>
      <c r="L2060" s="4"/>
      <c r="M2060" s="4"/>
    </row>
    <row r="2061" spans="1:13" ht="15" customHeight="1" x14ac:dyDescent="0.35">
      <c r="A2061" t="str">
        <f t="shared" si="32"/>
        <v>P685PN01C2431</v>
      </c>
      <c r="B2061" t="str">
        <f>IFERROR(VLOOKUP($A2061,'[5]Study Budget Mapping '!$O$2:$P$532,2,0),"TBA")</f>
        <v>TBA</v>
      </c>
      <c r="D2061" s="2" t="s">
        <v>378</v>
      </c>
      <c r="E2061" s="2" t="s">
        <v>20</v>
      </c>
      <c r="F2061" s="3">
        <v>1177000</v>
      </c>
      <c r="G2061" s="3">
        <v>1250000</v>
      </c>
      <c r="H2061" s="4"/>
      <c r="I2061" s="4"/>
      <c r="J2061" s="4"/>
      <c r="K2061" s="4"/>
      <c r="L2061" s="4"/>
      <c r="M2061" s="4"/>
    </row>
    <row r="2062" spans="1:13" ht="15" customHeight="1" x14ac:dyDescent="0.35">
      <c r="A2062" t="str">
        <f t="shared" si="32"/>
        <v>P685PN01C2431</v>
      </c>
      <c r="B2062" t="str">
        <f>IFERROR(VLOOKUP($A2062,'[5]Study Budget Mapping '!$O$2:$P$532,2,0),"TBA")</f>
        <v>TBA</v>
      </c>
      <c r="D2062" s="2" t="s">
        <v>378</v>
      </c>
      <c r="E2062" s="2" t="s">
        <v>15</v>
      </c>
      <c r="F2062" s="3">
        <v>6527000</v>
      </c>
      <c r="G2062" s="3">
        <v>5910000</v>
      </c>
      <c r="H2062" s="4"/>
      <c r="I2062" s="4"/>
      <c r="J2062" s="4"/>
      <c r="K2062" s="4"/>
      <c r="L2062" s="4"/>
      <c r="M2062" s="4"/>
    </row>
    <row r="2063" spans="1:13" ht="15" customHeight="1" x14ac:dyDescent="0.35">
      <c r="A2063" t="str">
        <f t="shared" si="32"/>
        <v>P685PN01C2431</v>
      </c>
      <c r="B2063" t="str">
        <f>IFERROR(VLOOKUP($A2063,'[5]Study Budget Mapping '!$O$2:$P$532,2,0),"TBA")</f>
        <v>TBA</v>
      </c>
      <c r="D2063" s="2" t="s">
        <v>378</v>
      </c>
      <c r="E2063" s="2" t="s">
        <v>16</v>
      </c>
      <c r="F2063" s="3">
        <v>1726699.4782499999</v>
      </c>
      <c r="G2063" s="3">
        <v>1826000</v>
      </c>
      <c r="H2063" s="4"/>
      <c r="I2063" s="4"/>
      <c r="J2063" s="4"/>
      <c r="K2063" s="4"/>
      <c r="L2063" s="4"/>
      <c r="M2063" s="4"/>
    </row>
    <row r="2064" spans="1:13" ht="15" customHeight="1" x14ac:dyDescent="0.35">
      <c r="A2064" t="str">
        <f t="shared" si="32"/>
        <v>P685PN01C2431</v>
      </c>
      <c r="B2064" t="str">
        <f>IFERROR(VLOOKUP($A2064,'[5]Study Budget Mapping '!$O$2:$P$532,2,0),"TBA")</f>
        <v>TBA</v>
      </c>
      <c r="D2064" s="2" t="s">
        <v>378</v>
      </c>
      <c r="E2064" s="2" t="s">
        <v>17</v>
      </c>
      <c r="F2064" s="3">
        <v>246000</v>
      </c>
      <c r="G2064" s="3">
        <v>262000</v>
      </c>
      <c r="H2064" s="4"/>
      <c r="I2064" s="4"/>
      <c r="J2064" s="4"/>
      <c r="K2064" s="4"/>
      <c r="L2064" s="4"/>
      <c r="M2064" s="4"/>
    </row>
    <row r="2065" spans="1:13" ht="15" customHeight="1" x14ac:dyDescent="0.35">
      <c r="A2065" t="str">
        <f t="shared" si="32"/>
        <v>P685PN01C2431</v>
      </c>
      <c r="B2065" t="str">
        <f>IFERROR(VLOOKUP($A2065,'[5]Study Budget Mapping '!$O$2:$P$532,2,0),"TBA")</f>
        <v>TBA</v>
      </c>
      <c r="D2065" s="2" t="s">
        <v>378</v>
      </c>
      <c r="E2065" s="2" t="s">
        <v>23</v>
      </c>
      <c r="F2065" s="3">
        <v>0</v>
      </c>
      <c r="G2065" s="3">
        <v>15000</v>
      </c>
      <c r="H2065" s="4"/>
      <c r="I2065" s="4"/>
      <c r="J2065" s="4"/>
      <c r="K2065" s="4"/>
      <c r="L2065" s="4"/>
      <c r="M2065" s="4"/>
    </row>
    <row r="2066" spans="1:13" ht="15" customHeight="1" x14ac:dyDescent="0.35">
      <c r="A2066" t="str">
        <f t="shared" si="32"/>
        <v>P685PN01C2431</v>
      </c>
      <c r="B2066" t="str">
        <f>IFERROR(VLOOKUP($A2066,'[5]Study Budget Mapping '!$O$2:$P$532,2,0),"TBA")</f>
        <v>TBA</v>
      </c>
      <c r="D2066" s="2" t="s">
        <v>378</v>
      </c>
      <c r="E2066" s="2" t="s">
        <v>24</v>
      </c>
      <c r="F2066" s="3">
        <v>908000</v>
      </c>
      <c r="G2066" s="3">
        <v>908000</v>
      </c>
      <c r="H2066" s="4"/>
      <c r="I2066" s="4"/>
      <c r="J2066" s="4"/>
      <c r="K2066" s="4"/>
      <c r="L2066" s="4"/>
      <c r="M2066" s="4"/>
    </row>
    <row r="2067" spans="1:13" ht="15" customHeight="1" x14ac:dyDescent="0.35">
      <c r="A2067" t="str">
        <f t="shared" si="32"/>
        <v>P685PN01C2431</v>
      </c>
      <c r="B2067" t="str">
        <f>IFERROR(VLOOKUP($A2067,'[5]Study Budget Mapping '!$O$2:$P$532,2,0),"TBA")</f>
        <v>TBA</v>
      </c>
      <c r="D2067" s="2" t="s">
        <v>378</v>
      </c>
      <c r="E2067" s="2" t="s">
        <v>32</v>
      </c>
      <c r="F2067" s="3">
        <v>480000</v>
      </c>
      <c r="G2067" s="3">
        <v>140000</v>
      </c>
      <c r="H2067" s="4"/>
      <c r="I2067" s="4"/>
      <c r="J2067" s="4"/>
      <c r="K2067" s="4"/>
      <c r="L2067" s="4"/>
      <c r="M2067" s="4"/>
    </row>
    <row r="2068" spans="1:13" ht="15" customHeight="1" x14ac:dyDescent="0.35">
      <c r="A2068" t="str">
        <f t="shared" si="32"/>
        <v>P685PN01C6011</v>
      </c>
      <c r="B2068" t="str">
        <f>IFERROR(VLOOKUP($A2068,'[5]Study Budget Mapping '!$O$2:$P$532,2,0),"TBA")</f>
        <v>TBA</v>
      </c>
      <c r="D2068" s="2" t="s">
        <v>379</v>
      </c>
      <c r="E2068" s="2" t="s">
        <v>19</v>
      </c>
      <c r="F2068" s="3">
        <v>70000</v>
      </c>
      <c r="G2068" s="3">
        <v>70000</v>
      </c>
      <c r="H2068" s="4"/>
      <c r="I2068" s="4"/>
      <c r="J2068" s="4"/>
      <c r="K2068" s="4"/>
      <c r="L2068" s="4"/>
      <c r="M2068" s="4"/>
    </row>
    <row r="2069" spans="1:13" ht="15" customHeight="1" x14ac:dyDescent="0.35">
      <c r="A2069" t="str">
        <f t="shared" si="32"/>
        <v>P686ST00C1031</v>
      </c>
      <c r="B2069" t="str">
        <f>IFERROR(VLOOKUP($A2069,'[5]Study Budget Mapping '!$O$2:$P$532,2,0),"TBA")</f>
        <v>TBA</v>
      </c>
      <c r="D2069" s="2" t="s">
        <v>380</v>
      </c>
      <c r="E2069" s="2" t="s">
        <v>13</v>
      </c>
      <c r="F2069" s="3">
        <v>5100000</v>
      </c>
      <c r="G2069" s="3">
        <v>58700000</v>
      </c>
      <c r="H2069" s="4"/>
      <c r="I2069" s="4"/>
      <c r="J2069" s="4"/>
      <c r="K2069" s="4"/>
      <c r="L2069" s="4"/>
      <c r="M2069" s="4"/>
    </row>
    <row r="2070" spans="1:13" ht="15" customHeight="1" x14ac:dyDescent="0.35">
      <c r="A2070" t="str">
        <f t="shared" si="32"/>
        <v>P686ST00C1031</v>
      </c>
      <c r="B2070" t="str">
        <f>IFERROR(VLOOKUP($A2070,'[5]Study Budget Mapping '!$O$2:$P$532,2,0),"TBA")</f>
        <v>TBA</v>
      </c>
      <c r="D2070" s="2" t="s">
        <v>380</v>
      </c>
      <c r="E2070" s="2" t="s">
        <v>14</v>
      </c>
      <c r="F2070" s="3">
        <v>3940000</v>
      </c>
      <c r="G2070" s="3">
        <v>29146000</v>
      </c>
      <c r="H2070" s="4"/>
      <c r="I2070" s="4"/>
      <c r="J2070" s="4"/>
      <c r="K2070" s="4"/>
      <c r="L2070" s="4"/>
      <c r="M2070" s="4"/>
    </row>
    <row r="2071" spans="1:13" ht="15" customHeight="1" x14ac:dyDescent="0.35">
      <c r="A2071" t="str">
        <f t="shared" si="32"/>
        <v>P686ST00C1031</v>
      </c>
      <c r="B2071" t="str">
        <f>IFERROR(VLOOKUP($A2071,'[5]Study Budget Mapping '!$O$2:$P$532,2,0),"TBA")</f>
        <v>TBA</v>
      </c>
      <c r="D2071" s="2" t="s">
        <v>380</v>
      </c>
      <c r="E2071" s="2" t="s">
        <v>19</v>
      </c>
      <c r="F2071" s="3">
        <v>0</v>
      </c>
      <c r="G2071" s="3">
        <v>1770000</v>
      </c>
      <c r="H2071" s="4"/>
      <c r="I2071" s="4"/>
      <c r="J2071" s="4"/>
      <c r="K2071" s="4"/>
      <c r="L2071" s="4"/>
      <c r="M2071" s="4"/>
    </row>
    <row r="2072" spans="1:13" ht="15" customHeight="1" x14ac:dyDescent="0.35">
      <c r="A2072" t="str">
        <f t="shared" si="32"/>
        <v>P686ST00C1031</v>
      </c>
      <c r="B2072" t="str">
        <f>IFERROR(VLOOKUP($A2072,'[5]Study Budget Mapping '!$O$2:$P$532,2,0),"TBA")</f>
        <v>TBA</v>
      </c>
      <c r="D2072" s="2" t="s">
        <v>380</v>
      </c>
      <c r="E2072" s="2" t="s">
        <v>20</v>
      </c>
      <c r="F2072" s="3">
        <v>0</v>
      </c>
      <c r="G2072" s="3">
        <v>4500000</v>
      </c>
      <c r="H2072" s="4"/>
      <c r="I2072" s="4"/>
      <c r="J2072" s="4"/>
      <c r="K2072" s="4"/>
      <c r="L2072" s="4"/>
      <c r="M2072" s="4"/>
    </row>
    <row r="2073" spans="1:13" ht="15" customHeight="1" x14ac:dyDescent="0.35">
      <c r="A2073" t="str">
        <f t="shared" si="32"/>
        <v>P686ST00C1031</v>
      </c>
      <c r="B2073" t="str">
        <f>IFERROR(VLOOKUP($A2073,'[5]Study Budget Mapping '!$O$2:$P$532,2,0),"TBA")</f>
        <v>TBA</v>
      </c>
      <c r="D2073" s="2" t="s">
        <v>380</v>
      </c>
      <c r="E2073" s="2" t="s">
        <v>15</v>
      </c>
      <c r="F2073" s="3">
        <v>4810000</v>
      </c>
      <c r="G2073" s="3">
        <v>48829000</v>
      </c>
      <c r="H2073" s="4"/>
      <c r="I2073" s="4"/>
      <c r="J2073" s="4"/>
      <c r="K2073" s="4"/>
      <c r="L2073" s="4"/>
      <c r="M2073" s="4"/>
    </row>
    <row r="2074" spans="1:13" ht="15" customHeight="1" x14ac:dyDescent="0.35">
      <c r="A2074" t="str">
        <f t="shared" si="32"/>
        <v>P686ST00C1031</v>
      </c>
      <c r="B2074" t="str">
        <f>IFERROR(VLOOKUP($A2074,'[5]Study Budget Mapping '!$O$2:$P$532,2,0),"TBA")</f>
        <v>TBA</v>
      </c>
      <c r="D2074" s="2" t="s">
        <v>380</v>
      </c>
      <c r="E2074" s="2" t="s">
        <v>22</v>
      </c>
      <c r="F2074" s="3">
        <v>0</v>
      </c>
      <c r="G2074" s="3">
        <v>6814000</v>
      </c>
      <c r="H2074" s="4"/>
      <c r="I2074" s="4"/>
      <c r="J2074" s="4"/>
      <c r="K2074" s="4"/>
      <c r="L2074" s="4"/>
      <c r="M2074" s="4"/>
    </row>
    <row r="2075" spans="1:13" ht="15" customHeight="1" x14ac:dyDescent="0.35">
      <c r="A2075" t="str">
        <f t="shared" si="32"/>
        <v>P686ST00C1031</v>
      </c>
      <c r="B2075" t="str">
        <f>IFERROR(VLOOKUP($A2075,'[5]Study Budget Mapping '!$O$2:$P$532,2,0),"TBA")</f>
        <v>TBA</v>
      </c>
      <c r="D2075" s="2" t="s">
        <v>380</v>
      </c>
      <c r="E2075" s="2" t="s">
        <v>16</v>
      </c>
      <c r="F2075" s="3">
        <v>720000</v>
      </c>
      <c r="G2075" s="3">
        <v>2850100</v>
      </c>
      <c r="H2075" s="4"/>
      <c r="I2075" s="4"/>
      <c r="J2075" s="4"/>
      <c r="K2075" s="4"/>
      <c r="L2075" s="4"/>
      <c r="M2075" s="4"/>
    </row>
    <row r="2076" spans="1:13" ht="15" customHeight="1" x14ac:dyDescent="0.35">
      <c r="A2076" t="str">
        <f t="shared" si="32"/>
        <v>P686ST00C1031</v>
      </c>
      <c r="B2076" t="str">
        <f>IFERROR(VLOOKUP($A2076,'[5]Study Budget Mapping '!$O$2:$P$532,2,0),"TBA")</f>
        <v>TBA</v>
      </c>
      <c r="D2076" s="2" t="s">
        <v>380</v>
      </c>
      <c r="E2076" s="2" t="s">
        <v>17</v>
      </c>
      <c r="F2076" s="3">
        <v>310000</v>
      </c>
      <c r="G2076" s="3">
        <v>1300000</v>
      </c>
      <c r="H2076" s="4"/>
      <c r="I2076" s="4"/>
      <c r="J2076" s="4"/>
      <c r="K2076" s="4"/>
      <c r="L2076" s="4"/>
      <c r="M2076" s="4"/>
    </row>
    <row r="2077" spans="1:13" ht="15" customHeight="1" x14ac:dyDescent="0.35">
      <c r="A2077" t="str">
        <f t="shared" si="32"/>
        <v>P686ST00C1031</v>
      </c>
      <c r="B2077" t="str">
        <f>IFERROR(VLOOKUP($A2077,'[5]Study Budget Mapping '!$O$2:$P$532,2,0),"TBA")</f>
        <v>TBA</v>
      </c>
      <c r="D2077" s="2" t="s">
        <v>380</v>
      </c>
      <c r="E2077" s="2" t="s">
        <v>23</v>
      </c>
      <c r="F2077" s="3">
        <v>0</v>
      </c>
      <c r="G2077" s="3">
        <v>246000</v>
      </c>
      <c r="H2077" s="4"/>
      <c r="I2077" s="4"/>
      <c r="J2077" s="4"/>
      <c r="K2077" s="4"/>
      <c r="L2077" s="4"/>
      <c r="M2077" s="4"/>
    </row>
    <row r="2078" spans="1:13" ht="15" customHeight="1" x14ac:dyDescent="0.35">
      <c r="A2078" t="str">
        <f t="shared" si="32"/>
        <v>P686ST00C1031</v>
      </c>
      <c r="B2078" t="str">
        <f>IFERROR(VLOOKUP($A2078,'[5]Study Budget Mapping '!$O$2:$P$532,2,0),"TBA")</f>
        <v>TBA</v>
      </c>
      <c r="D2078" s="2" t="s">
        <v>380</v>
      </c>
      <c r="E2078" s="2" t="s">
        <v>24</v>
      </c>
      <c r="F2078" s="3">
        <v>1000000</v>
      </c>
      <c r="G2078" s="3">
        <v>2440000</v>
      </c>
      <c r="H2078" s="4"/>
      <c r="I2078" s="4"/>
      <c r="J2078" s="4"/>
      <c r="K2078" s="4"/>
      <c r="L2078" s="4"/>
      <c r="M2078" s="4"/>
    </row>
    <row r="2079" spans="1:13" ht="15" customHeight="1" x14ac:dyDescent="0.35">
      <c r="A2079" t="str">
        <f t="shared" si="32"/>
        <v>P686ST00C1031</v>
      </c>
      <c r="B2079" t="str">
        <f>IFERROR(VLOOKUP($A2079,'[5]Study Budget Mapping '!$O$2:$P$532,2,0),"TBA")</f>
        <v>TBA</v>
      </c>
      <c r="D2079" s="2" t="s">
        <v>380</v>
      </c>
      <c r="E2079" s="2" t="s">
        <v>32</v>
      </c>
      <c r="F2079" s="3">
        <v>250000</v>
      </c>
      <c r="G2079" s="3">
        <v>500000</v>
      </c>
      <c r="H2079" s="4"/>
      <c r="I2079" s="4"/>
      <c r="J2079" s="4"/>
      <c r="K2079" s="4"/>
      <c r="L2079" s="4"/>
      <c r="M2079" s="4"/>
    </row>
    <row r="2080" spans="1:13" ht="15" customHeight="1" x14ac:dyDescent="0.35">
      <c r="A2080" t="str">
        <f t="shared" si="32"/>
        <v>P686ST11C1431</v>
      </c>
      <c r="B2080" t="str">
        <f>IFERROR(VLOOKUP($A2080,'[5]Study Budget Mapping '!$O$2:$P$532,2,0),"TBA")</f>
        <v>TBA</v>
      </c>
      <c r="D2080" s="2" t="s">
        <v>381</v>
      </c>
      <c r="E2080" s="2" t="s">
        <v>13</v>
      </c>
      <c r="F2080" s="3">
        <v>24100000</v>
      </c>
      <c r="G2080" s="3">
        <v>63110000</v>
      </c>
      <c r="H2080" s="4"/>
      <c r="I2080" s="4"/>
      <c r="J2080" s="4"/>
      <c r="K2080" s="4"/>
      <c r="L2080" s="4"/>
      <c r="M2080" s="4"/>
    </row>
    <row r="2081" spans="1:13" ht="15" customHeight="1" x14ac:dyDescent="0.35">
      <c r="A2081" t="str">
        <f t="shared" si="32"/>
        <v>P686ST11C1431</v>
      </c>
      <c r="B2081" t="str">
        <f>IFERROR(VLOOKUP($A2081,'[5]Study Budget Mapping '!$O$2:$P$532,2,0),"TBA")</f>
        <v>TBA</v>
      </c>
      <c r="D2081" s="2" t="s">
        <v>381</v>
      </c>
      <c r="E2081" s="2" t="s">
        <v>14</v>
      </c>
      <c r="F2081" s="3">
        <v>8190000</v>
      </c>
      <c r="G2081" s="3">
        <v>18800000</v>
      </c>
      <c r="H2081" s="4"/>
      <c r="I2081" s="4"/>
      <c r="J2081" s="4"/>
      <c r="K2081" s="4"/>
      <c r="L2081" s="4"/>
      <c r="M2081" s="4"/>
    </row>
    <row r="2082" spans="1:13" ht="15" customHeight="1" x14ac:dyDescent="0.35">
      <c r="A2082" t="str">
        <f t="shared" si="32"/>
        <v>P686ST11C1431</v>
      </c>
      <c r="B2082" t="str">
        <f>IFERROR(VLOOKUP($A2082,'[5]Study Budget Mapping '!$O$2:$P$532,2,0),"TBA")</f>
        <v>TBA</v>
      </c>
      <c r="D2082" s="2" t="s">
        <v>381</v>
      </c>
      <c r="E2082" s="2" t="s">
        <v>19</v>
      </c>
      <c r="F2082" s="3">
        <v>0</v>
      </c>
      <c r="G2082" s="3">
        <v>800000</v>
      </c>
      <c r="H2082" s="4"/>
      <c r="I2082" s="4"/>
      <c r="J2082" s="4"/>
      <c r="K2082" s="4"/>
      <c r="L2082" s="4"/>
      <c r="M2082" s="4"/>
    </row>
    <row r="2083" spans="1:13" ht="15" customHeight="1" x14ac:dyDescent="0.35">
      <c r="A2083" t="str">
        <f t="shared" si="32"/>
        <v>P686ST11C1431</v>
      </c>
      <c r="B2083" t="str">
        <f>IFERROR(VLOOKUP($A2083,'[5]Study Budget Mapping '!$O$2:$P$532,2,0),"TBA")</f>
        <v>TBA</v>
      </c>
      <c r="D2083" s="2" t="s">
        <v>381</v>
      </c>
      <c r="E2083" s="2" t="s">
        <v>20</v>
      </c>
      <c r="F2083" s="3">
        <v>0</v>
      </c>
      <c r="G2083" s="3">
        <v>525000</v>
      </c>
      <c r="H2083" s="4"/>
      <c r="I2083" s="4"/>
      <c r="J2083" s="4"/>
      <c r="K2083" s="4"/>
      <c r="L2083" s="4"/>
      <c r="M2083" s="4"/>
    </row>
    <row r="2084" spans="1:13" ht="15" customHeight="1" x14ac:dyDescent="0.35">
      <c r="A2084" t="str">
        <f t="shared" si="32"/>
        <v>P686ST11C1431</v>
      </c>
      <c r="B2084" t="str">
        <f>IFERROR(VLOOKUP($A2084,'[5]Study Budget Mapping '!$O$2:$P$532,2,0),"TBA")</f>
        <v>TBA</v>
      </c>
      <c r="D2084" s="2" t="s">
        <v>381</v>
      </c>
      <c r="E2084" s="2" t="s">
        <v>21</v>
      </c>
      <c r="F2084" s="3">
        <v>0</v>
      </c>
      <c r="G2084" s="3">
        <v>46790000</v>
      </c>
      <c r="H2084" s="4"/>
      <c r="I2084" s="4"/>
      <c r="J2084" s="4"/>
      <c r="K2084" s="4"/>
      <c r="L2084" s="4"/>
      <c r="M2084" s="4"/>
    </row>
    <row r="2085" spans="1:13" ht="15" customHeight="1" x14ac:dyDescent="0.35">
      <c r="A2085" t="str">
        <f t="shared" si="32"/>
        <v>P686ST11C1431</v>
      </c>
      <c r="B2085" t="str">
        <f>IFERROR(VLOOKUP($A2085,'[5]Study Budget Mapping '!$O$2:$P$532,2,0),"TBA")</f>
        <v>TBA</v>
      </c>
      <c r="D2085" s="2" t="s">
        <v>381</v>
      </c>
      <c r="E2085" s="2" t="s">
        <v>15</v>
      </c>
      <c r="F2085" s="3">
        <v>7660000</v>
      </c>
      <c r="G2085" s="3">
        <v>22020000</v>
      </c>
      <c r="H2085" s="4"/>
      <c r="I2085" s="4"/>
      <c r="J2085" s="4"/>
      <c r="K2085" s="4"/>
      <c r="L2085" s="4"/>
      <c r="M2085" s="4"/>
    </row>
    <row r="2086" spans="1:13" ht="15" customHeight="1" x14ac:dyDescent="0.35">
      <c r="A2086" t="str">
        <f t="shared" si="32"/>
        <v>P686ST11C1431</v>
      </c>
      <c r="B2086" t="str">
        <f>IFERROR(VLOOKUP($A2086,'[5]Study Budget Mapping '!$O$2:$P$532,2,0),"TBA")</f>
        <v>TBA</v>
      </c>
      <c r="D2086" s="2" t="s">
        <v>381</v>
      </c>
      <c r="E2086" s="2" t="s">
        <v>22</v>
      </c>
      <c r="F2086" s="3">
        <v>0</v>
      </c>
      <c r="G2086" s="3">
        <v>1995000</v>
      </c>
      <c r="H2086" s="4"/>
      <c r="I2086" s="4"/>
      <c r="J2086" s="4"/>
      <c r="K2086" s="4"/>
      <c r="L2086" s="4"/>
      <c r="M2086" s="4"/>
    </row>
    <row r="2087" spans="1:13" ht="15" customHeight="1" x14ac:dyDescent="0.35">
      <c r="A2087" t="str">
        <f t="shared" si="32"/>
        <v>P686ST11C1431</v>
      </c>
      <c r="B2087" t="str">
        <f>IFERROR(VLOOKUP($A2087,'[5]Study Budget Mapping '!$O$2:$P$532,2,0),"TBA")</f>
        <v>TBA</v>
      </c>
      <c r="D2087" s="2" t="s">
        <v>381</v>
      </c>
      <c r="E2087" s="2" t="s">
        <v>16</v>
      </c>
      <c r="F2087" s="3">
        <v>440000</v>
      </c>
      <c r="G2087" s="3">
        <v>3280000</v>
      </c>
      <c r="H2087" s="4"/>
      <c r="I2087" s="4"/>
      <c r="J2087" s="4"/>
      <c r="K2087" s="4"/>
      <c r="L2087" s="4"/>
      <c r="M2087" s="4"/>
    </row>
    <row r="2088" spans="1:13" ht="15" customHeight="1" x14ac:dyDescent="0.35">
      <c r="A2088" t="str">
        <f t="shared" si="32"/>
        <v>P686ST11C1431</v>
      </c>
      <c r="B2088" t="str">
        <f>IFERROR(VLOOKUP($A2088,'[5]Study Budget Mapping '!$O$2:$P$532,2,0),"TBA")</f>
        <v>TBA</v>
      </c>
      <c r="D2088" s="2" t="s">
        <v>381</v>
      </c>
      <c r="E2088" s="2" t="s">
        <v>17</v>
      </c>
      <c r="F2088" s="3">
        <v>460000</v>
      </c>
      <c r="G2088" s="3">
        <v>850000</v>
      </c>
      <c r="H2088" s="4"/>
      <c r="I2088" s="4"/>
      <c r="J2088" s="4"/>
      <c r="K2088" s="4"/>
      <c r="L2088" s="4"/>
      <c r="M2088" s="4"/>
    </row>
    <row r="2089" spans="1:13" ht="15" customHeight="1" x14ac:dyDescent="0.35">
      <c r="A2089" t="str">
        <f t="shared" si="32"/>
        <v>P686ST11C1431</v>
      </c>
      <c r="B2089" t="str">
        <f>IFERROR(VLOOKUP($A2089,'[5]Study Budget Mapping '!$O$2:$P$532,2,0),"TBA")</f>
        <v>TBA</v>
      </c>
      <c r="D2089" s="2" t="s">
        <v>381</v>
      </c>
      <c r="E2089" s="2" t="s">
        <v>23</v>
      </c>
      <c r="F2089" s="3">
        <v>0</v>
      </c>
      <c r="G2089" s="3">
        <v>1000000</v>
      </c>
      <c r="H2089" s="4"/>
      <c r="I2089" s="4"/>
      <c r="J2089" s="4"/>
      <c r="K2089" s="4"/>
      <c r="L2089" s="4"/>
      <c r="M2089" s="4"/>
    </row>
    <row r="2090" spans="1:13" ht="15" customHeight="1" x14ac:dyDescent="0.35">
      <c r="A2090" t="str">
        <f t="shared" si="32"/>
        <v>P686ST11C1431</v>
      </c>
      <c r="B2090" t="str">
        <f>IFERROR(VLOOKUP($A2090,'[5]Study Budget Mapping '!$O$2:$P$532,2,0),"TBA")</f>
        <v>TBA</v>
      </c>
      <c r="D2090" s="2" t="s">
        <v>381</v>
      </c>
      <c r="E2090" s="2" t="s">
        <v>24</v>
      </c>
      <c r="F2090" s="3">
        <v>540000</v>
      </c>
      <c r="G2090" s="3">
        <v>3900000</v>
      </c>
      <c r="H2090" s="4"/>
      <c r="I2090" s="4"/>
      <c r="J2090" s="4"/>
      <c r="K2090" s="4"/>
      <c r="L2090" s="4"/>
      <c r="M2090" s="4"/>
    </row>
    <row r="2091" spans="1:13" ht="15" customHeight="1" x14ac:dyDescent="0.35">
      <c r="A2091" t="str">
        <f t="shared" si="32"/>
        <v>P686ST11C1431</v>
      </c>
      <c r="B2091" t="str">
        <f>IFERROR(VLOOKUP($A2091,'[5]Study Budget Mapping '!$O$2:$P$532,2,0),"TBA")</f>
        <v>TBA</v>
      </c>
      <c r="D2091" s="2" t="s">
        <v>381</v>
      </c>
      <c r="E2091" s="2" t="s">
        <v>32</v>
      </c>
      <c r="F2091" s="3">
        <v>0</v>
      </c>
      <c r="G2091" s="3">
        <v>4200000</v>
      </c>
      <c r="H2091" s="4"/>
      <c r="I2091" s="4"/>
      <c r="J2091" s="4"/>
      <c r="K2091" s="4"/>
      <c r="L2091" s="4"/>
      <c r="M2091" s="4"/>
    </row>
    <row r="2092" spans="1:13" ht="15" customHeight="1" x14ac:dyDescent="0.35">
      <c r="A2092" t="str">
        <f t="shared" si="32"/>
        <v>P686ST11C2431</v>
      </c>
      <c r="B2092" t="str">
        <f>IFERROR(VLOOKUP($A2092,'[5]Study Budget Mapping '!$O$2:$P$532,2,0),"TBA")</f>
        <v>TBA</v>
      </c>
      <c r="D2092" s="2" t="s">
        <v>382</v>
      </c>
      <c r="E2092" s="2" t="s">
        <v>15</v>
      </c>
      <c r="F2092" s="3">
        <v>5000000</v>
      </c>
      <c r="G2092" s="3">
        <v>5000000</v>
      </c>
      <c r="H2092" s="4"/>
      <c r="I2092" s="4"/>
      <c r="J2092" s="4"/>
      <c r="K2092" s="4"/>
      <c r="L2092" s="4"/>
      <c r="M2092" s="4"/>
    </row>
    <row r="2093" spans="1:13" ht="15" customHeight="1" x14ac:dyDescent="0.35">
      <c r="A2093" t="str">
        <f t="shared" si="32"/>
        <v>P686ST11C3931</v>
      </c>
      <c r="B2093" t="str">
        <f>IFERROR(VLOOKUP($A2093,'[5]Study Budget Mapping '!$O$2:$P$532,2,0),"TBA")</f>
        <v>TBA</v>
      </c>
      <c r="D2093" s="2" t="s">
        <v>383</v>
      </c>
      <c r="E2093" s="2" t="s">
        <v>22</v>
      </c>
      <c r="F2093" s="3">
        <v>5000000</v>
      </c>
      <c r="G2093" s="3">
        <v>5000000</v>
      </c>
      <c r="H2093" s="4"/>
      <c r="I2093" s="4"/>
      <c r="J2093" s="4"/>
      <c r="K2093" s="4"/>
      <c r="L2093" s="4"/>
      <c r="M2093" s="4"/>
    </row>
    <row r="2094" spans="1:13" ht="15" customHeight="1" x14ac:dyDescent="0.35">
      <c r="A2094" t="str">
        <f t="shared" si="32"/>
        <v>P686ST05C0031</v>
      </c>
      <c r="B2094" t="str">
        <f>IFERROR(VLOOKUP($A2094,'[5]Study Budget Mapping '!$O$2:$P$532,2,0),"TBA")</f>
        <v>TBA</v>
      </c>
      <c r="D2094" s="2" t="s">
        <v>384</v>
      </c>
      <c r="E2094" s="2" t="s">
        <v>19</v>
      </c>
      <c r="F2094" s="3">
        <v>1633000</v>
      </c>
      <c r="G2094" s="3">
        <v>3594000</v>
      </c>
      <c r="H2094" s="4"/>
      <c r="I2094" s="4"/>
      <c r="J2094" s="4"/>
      <c r="K2094" s="4"/>
      <c r="L2094" s="4"/>
      <c r="M2094" s="4"/>
    </row>
    <row r="2095" spans="1:13" ht="15" customHeight="1" x14ac:dyDescent="0.35">
      <c r="A2095" t="str">
        <f t="shared" si="32"/>
        <v>P686ST05C0031</v>
      </c>
      <c r="B2095" t="str">
        <f>IFERROR(VLOOKUP($A2095,'[5]Study Budget Mapping '!$O$2:$P$532,2,0),"TBA")</f>
        <v>TBA</v>
      </c>
      <c r="D2095" s="2" t="s">
        <v>384</v>
      </c>
      <c r="E2095" s="2" t="s">
        <v>15</v>
      </c>
      <c r="F2095" s="3">
        <v>1351000</v>
      </c>
      <c r="G2095" s="3">
        <v>2390000</v>
      </c>
      <c r="H2095" s="4"/>
      <c r="I2095" s="4"/>
      <c r="J2095" s="4"/>
      <c r="K2095" s="4"/>
      <c r="L2095" s="4"/>
      <c r="M2095" s="4"/>
    </row>
    <row r="2096" spans="1:13" ht="15" customHeight="1" x14ac:dyDescent="0.35">
      <c r="A2096" t="str">
        <f t="shared" si="32"/>
        <v>P686ST05C0031</v>
      </c>
      <c r="B2096" t="str">
        <f>IFERROR(VLOOKUP($A2096,'[5]Study Budget Mapping '!$O$2:$P$532,2,0),"TBA")</f>
        <v>TBA</v>
      </c>
      <c r="D2096" s="2" t="s">
        <v>384</v>
      </c>
      <c r="E2096" s="2" t="s">
        <v>16</v>
      </c>
      <c r="F2096" s="3">
        <v>120000</v>
      </c>
      <c r="G2096" s="3">
        <v>50000</v>
      </c>
      <c r="H2096" s="4"/>
      <c r="I2096" s="4"/>
      <c r="J2096" s="4"/>
      <c r="K2096" s="4"/>
      <c r="L2096" s="4"/>
      <c r="M2096" s="4"/>
    </row>
    <row r="2097" spans="1:13" ht="15" customHeight="1" x14ac:dyDescent="0.35">
      <c r="A2097" t="str">
        <f t="shared" si="32"/>
        <v>P686ST05C0032</v>
      </c>
      <c r="B2097" t="str">
        <f>IFERROR(VLOOKUP($A2097,'[5]Study Budget Mapping '!$O$2:$P$532,2,0),"TBA")</f>
        <v>TBA</v>
      </c>
      <c r="D2097" s="2" t="s">
        <v>385</v>
      </c>
      <c r="E2097" s="2" t="s">
        <v>19</v>
      </c>
      <c r="F2097" s="3">
        <v>1669000</v>
      </c>
      <c r="G2097" s="3">
        <v>1669000</v>
      </c>
      <c r="H2097" s="4"/>
      <c r="I2097" s="4"/>
      <c r="J2097" s="4"/>
      <c r="K2097" s="4"/>
      <c r="L2097" s="4"/>
      <c r="M2097" s="4"/>
    </row>
    <row r="2098" spans="1:13" ht="15" customHeight="1" x14ac:dyDescent="0.35">
      <c r="A2098" t="str">
        <f t="shared" si="32"/>
        <v>P686ST05C0032</v>
      </c>
      <c r="B2098" t="str">
        <f>IFERROR(VLOOKUP($A2098,'[5]Study Budget Mapping '!$O$2:$P$532,2,0),"TBA")</f>
        <v>TBA</v>
      </c>
      <c r="D2098" s="2" t="s">
        <v>385</v>
      </c>
      <c r="E2098" s="2" t="s">
        <v>15</v>
      </c>
      <c r="F2098" s="3">
        <v>1768000</v>
      </c>
      <c r="G2098" s="3">
        <v>1768000</v>
      </c>
      <c r="H2098" s="4"/>
      <c r="I2098" s="4"/>
      <c r="J2098" s="4"/>
      <c r="K2098" s="4"/>
      <c r="L2098" s="4"/>
      <c r="M2098" s="4"/>
    </row>
    <row r="2099" spans="1:13" ht="15" customHeight="1" x14ac:dyDescent="0.35">
      <c r="A2099" t="str">
        <f t="shared" si="32"/>
        <v>P686ST05C0032</v>
      </c>
      <c r="B2099" t="str">
        <f>IFERROR(VLOOKUP($A2099,'[5]Study Budget Mapping '!$O$2:$P$532,2,0),"TBA")</f>
        <v>TBA</v>
      </c>
      <c r="D2099" s="2" t="s">
        <v>385</v>
      </c>
      <c r="E2099" s="2" t="s">
        <v>16</v>
      </c>
      <c r="F2099" s="3">
        <v>120000</v>
      </c>
      <c r="G2099" s="3">
        <v>120000</v>
      </c>
      <c r="H2099" s="4"/>
      <c r="I2099" s="4"/>
      <c r="J2099" s="4"/>
      <c r="K2099" s="4"/>
      <c r="L2099" s="4"/>
      <c r="M2099" s="4"/>
    </row>
    <row r="2100" spans="1:13" ht="15" customHeight="1" x14ac:dyDescent="0.35">
      <c r="A2100" t="str">
        <f t="shared" si="32"/>
        <v>P686ST05C2411</v>
      </c>
      <c r="B2100" t="str">
        <f>IFERROR(VLOOKUP($A2100,'[5]Study Budget Mapping '!$O$2:$P$532,2,0),"TBA")</f>
        <v>TBA</v>
      </c>
      <c r="D2100" s="2" t="s">
        <v>386</v>
      </c>
      <c r="E2100" s="2" t="s">
        <v>13</v>
      </c>
      <c r="F2100" s="3">
        <v>13750000</v>
      </c>
      <c r="G2100" s="3">
        <v>29700000</v>
      </c>
      <c r="H2100" s="4"/>
      <c r="I2100" s="4"/>
      <c r="J2100" s="4"/>
      <c r="K2100" s="4"/>
      <c r="L2100" s="4"/>
      <c r="M2100" s="4"/>
    </row>
    <row r="2101" spans="1:13" ht="15" customHeight="1" x14ac:dyDescent="0.35">
      <c r="A2101" t="str">
        <f t="shared" si="32"/>
        <v>P686ST05C2411</v>
      </c>
      <c r="B2101" t="str">
        <f>IFERROR(VLOOKUP($A2101,'[5]Study Budget Mapping '!$O$2:$P$532,2,0),"TBA")</f>
        <v>TBA</v>
      </c>
      <c r="D2101" s="2" t="s">
        <v>386</v>
      </c>
      <c r="E2101" s="2" t="s">
        <v>14</v>
      </c>
      <c r="F2101" s="3">
        <v>18020000</v>
      </c>
      <c r="G2101" s="3">
        <v>13150000</v>
      </c>
      <c r="H2101" s="4"/>
      <c r="I2101" s="4"/>
      <c r="J2101" s="4"/>
      <c r="K2101" s="4"/>
      <c r="L2101" s="4"/>
      <c r="M2101" s="4"/>
    </row>
    <row r="2102" spans="1:13" ht="15" customHeight="1" x14ac:dyDescent="0.35">
      <c r="A2102" t="str">
        <f t="shared" si="32"/>
        <v>P686ST05C2411</v>
      </c>
      <c r="B2102" t="str">
        <f>IFERROR(VLOOKUP($A2102,'[5]Study Budget Mapping '!$O$2:$P$532,2,0),"TBA")</f>
        <v>TBA</v>
      </c>
      <c r="D2102" s="2" t="s">
        <v>386</v>
      </c>
      <c r="E2102" s="2" t="s">
        <v>19</v>
      </c>
      <c r="F2102" s="3">
        <v>1870000</v>
      </c>
      <c r="G2102" s="3">
        <v>2200000</v>
      </c>
      <c r="H2102" s="4"/>
      <c r="I2102" s="4"/>
      <c r="J2102" s="4"/>
      <c r="K2102" s="4"/>
      <c r="L2102" s="4"/>
      <c r="M2102" s="4"/>
    </row>
    <row r="2103" spans="1:13" ht="15" customHeight="1" x14ac:dyDescent="0.35">
      <c r="A2103" t="str">
        <f t="shared" si="32"/>
        <v>P686ST05C2411</v>
      </c>
      <c r="B2103" t="str">
        <f>IFERROR(VLOOKUP($A2103,'[5]Study Budget Mapping '!$O$2:$P$532,2,0),"TBA")</f>
        <v>TBA</v>
      </c>
      <c r="D2103" s="2" t="s">
        <v>386</v>
      </c>
      <c r="E2103" s="2" t="s">
        <v>20</v>
      </c>
      <c r="F2103" s="3">
        <v>750000</v>
      </c>
      <c r="G2103" s="3">
        <v>770000</v>
      </c>
      <c r="H2103" s="4"/>
      <c r="I2103" s="4"/>
      <c r="J2103" s="4"/>
      <c r="K2103" s="4"/>
      <c r="L2103" s="4"/>
      <c r="M2103" s="4"/>
    </row>
    <row r="2104" spans="1:13" ht="15" customHeight="1" x14ac:dyDescent="0.35">
      <c r="A2104" t="str">
        <f t="shared" si="32"/>
        <v>P686ST05C2411</v>
      </c>
      <c r="B2104" t="str">
        <f>IFERROR(VLOOKUP($A2104,'[5]Study Budget Mapping '!$O$2:$P$532,2,0),"TBA")</f>
        <v>TBA</v>
      </c>
      <c r="D2104" s="2" t="s">
        <v>386</v>
      </c>
      <c r="E2104" s="2" t="s">
        <v>21</v>
      </c>
      <c r="F2104" s="3">
        <v>0</v>
      </c>
      <c r="G2104" s="3">
        <v>280000</v>
      </c>
      <c r="H2104" s="4"/>
      <c r="I2104" s="4"/>
      <c r="J2104" s="4"/>
      <c r="K2104" s="4"/>
      <c r="L2104" s="4"/>
      <c r="M2104" s="4"/>
    </row>
    <row r="2105" spans="1:13" ht="15" customHeight="1" x14ac:dyDescent="0.35">
      <c r="A2105" t="str">
        <f t="shared" si="32"/>
        <v>P686ST05C2411</v>
      </c>
      <c r="B2105" t="str">
        <f>IFERROR(VLOOKUP($A2105,'[5]Study Budget Mapping '!$O$2:$P$532,2,0),"TBA")</f>
        <v>TBA</v>
      </c>
      <c r="D2105" s="2" t="s">
        <v>386</v>
      </c>
      <c r="E2105" s="2" t="s">
        <v>15</v>
      </c>
      <c r="F2105" s="3">
        <v>11500000</v>
      </c>
      <c r="G2105" s="3">
        <v>16240000</v>
      </c>
      <c r="H2105" s="4"/>
      <c r="I2105" s="4"/>
      <c r="J2105" s="4"/>
      <c r="K2105" s="4"/>
      <c r="L2105" s="4"/>
      <c r="M2105" s="4"/>
    </row>
    <row r="2106" spans="1:13" ht="15" customHeight="1" x14ac:dyDescent="0.35">
      <c r="A2106" t="str">
        <f t="shared" si="32"/>
        <v>P686ST05C2411</v>
      </c>
      <c r="B2106" t="str">
        <f>IFERROR(VLOOKUP($A2106,'[5]Study Budget Mapping '!$O$2:$P$532,2,0),"TBA")</f>
        <v>TBA</v>
      </c>
      <c r="D2106" s="2" t="s">
        <v>386</v>
      </c>
      <c r="E2106" s="2" t="s">
        <v>22</v>
      </c>
      <c r="F2106" s="3">
        <v>2140000</v>
      </c>
      <c r="G2106" s="3">
        <v>2880000</v>
      </c>
      <c r="H2106" s="4"/>
      <c r="I2106" s="4"/>
      <c r="J2106" s="4"/>
      <c r="K2106" s="4"/>
      <c r="L2106" s="4"/>
      <c r="M2106" s="4"/>
    </row>
    <row r="2107" spans="1:13" ht="15" customHeight="1" x14ac:dyDescent="0.35">
      <c r="A2107" t="str">
        <f t="shared" si="32"/>
        <v>P686ST05C2411</v>
      </c>
      <c r="B2107" t="str">
        <f>IFERROR(VLOOKUP($A2107,'[5]Study Budget Mapping '!$O$2:$P$532,2,0),"TBA")</f>
        <v>TBA</v>
      </c>
      <c r="D2107" s="2" t="s">
        <v>386</v>
      </c>
      <c r="E2107" s="2" t="s">
        <v>16</v>
      </c>
      <c r="F2107" s="3">
        <v>1300000</v>
      </c>
      <c r="G2107" s="3">
        <v>2240000</v>
      </c>
      <c r="H2107" s="4"/>
      <c r="I2107" s="4"/>
      <c r="J2107" s="4"/>
      <c r="K2107" s="4"/>
      <c r="L2107" s="4"/>
      <c r="M2107" s="4"/>
    </row>
    <row r="2108" spans="1:13" ht="15" customHeight="1" x14ac:dyDescent="0.35">
      <c r="A2108" t="str">
        <f t="shared" si="32"/>
        <v>P686ST05C2411</v>
      </c>
      <c r="B2108" t="str">
        <f>IFERROR(VLOOKUP($A2108,'[5]Study Budget Mapping '!$O$2:$P$532,2,0),"TBA")</f>
        <v>TBA</v>
      </c>
      <c r="D2108" s="2" t="s">
        <v>386</v>
      </c>
      <c r="E2108" s="2" t="s">
        <v>17</v>
      </c>
      <c r="F2108" s="3">
        <v>510000</v>
      </c>
      <c r="G2108" s="3">
        <v>610000</v>
      </c>
      <c r="H2108" s="4"/>
      <c r="I2108" s="4"/>
      <c r="J2108" s="4"/>
      <c r="K2108" s="4"/>
      <c r="L2108" s="4"/>
      <c r="M2108" s="4"/>
    </row>
    <row r="2109" spans="1:13" ht="15" customHeight="1" x14ac:dyDescent="0.35">
      <c r="A2109" t="str">
        <f t="shared" si="32"/>
        <v>P686ST05C2411</v>
      </c>
      <c r="B2109" t="str">
        <f>IFERROR(VLOOKUP($A2109,'[5]Study Budget Mapping '!$O$2:$P$532,2,0),"TBA")</f>
        <v>TBA</v>
      </c>
      <c r="D2109" s="2" t="s">
        <v>386</v>
      </c>
      <c r="E2109" s="2" t="s">
        <v>23</v>
      </c>
      <c r="F2109" s="3">
        <v>500000</v>
      </c>
      <c r="G2109" s="3">
        <v>460000</v>
      </c>
      <c r="H2109" s="4"/>
      <c r="I2109" s="4"/>
      <c r="J2109" s="4"/>
      <c r="K2109" s="4"/>
      <c r="L2109" s="4"/>
      <c r="M2109" s="4"/>
    </row>
    <row r="2110" spans="1:13" ht="15" customHeight="1" x14ac:dyDescent="0.35">
      <c r="A2110" t="str">
        <f t="shared" si="32"/>
        <v>P686ST05C2411</v>
      </c>
      <c r="B2110" t="str">
        <f>IFERROR(VLOOKUP($A2110,'[5]Study Budget Mapping '!$O$2:$P$532,2,0),"TBA")</f>
        <v>TBA</v>
      </c>
      <c r="D2110" s="2" t="s">
        <v>386</v>
      </c>
      <c r="E2110" s="2" t="s">
        <v>24</v>
      </c>
      <c r="F2110" s="3">
        <v>1600000</v>
      </c>
      <c r="G2110" s="3">
        <v>1700000</v>
      </c>
      <c r="H2110" s="4"/>
      <c r="I2110" s="4"/>
      <c r="J2110" s="4"/>
      <c r="K2110" s="4"/>
      <c r="L2110" s="4"/>
      <c r="M2110" s="4"/>
    </row>
    <row r="2111" spans="1:13" ht="15" customHeight="1" x14ac:dyDescent="0.35">
      <c r="A2111" t="str">
        <f t="shared" si="32"/>
        <v>P686ST05C2411</v>
      </c>
      <c r="B2111" t="str">
        <f>IFERROR(VLOOKUP($A2111,'[5]Study Budget Mapping '!$O$2:$P$532,2,0),"TBA")</f>
        <v>TBA</v>
      </c>
      <c r="D2111" s="2" t="s">
        <v>386</v>
      </c>
      <c r="E2111" s="2" t="s">
        <v>32</v>
      </c>
      <c r="F2111" s="3">
        <v>3100000</v>
      </c>
      <c r="G2111" s="3">
        <v>3210000</v>
      </c>
      <c r="H2111" s="4"/>
      <c r="I2111" s="4"/>
      <c r="J2111" s="4"/>
      <c r="K2111" s="4"/>
      <c r="L2111" s="4"/>
      <c r="M2111" s="4"/>
    </row>
    <row r="2112" spans="1:13" ht="15" customHeight="1" x14ac:dyDescent="0.35">
      <c r="A2112" t="str">
        <f t="shared" si="32"/>
        <v>P686ST11C3731</v>
      </c>
      <c r="B2112" t="str">
        <f>IFERROR(VLOOKUP($A2112,'[5]Study Budget Mapping '!$O$2:$P$532,2,0),"TBA")</f>
        <v>TBA</v>
      </c>
      <c r="D2112" s="2" t="s">
        <v>387</v>
      </c>
      <c r="E2112" s="2" t="s">
        <v>13</v>
      </c>
      <c r="F2112" s="3">
        <v>46592000</v>
      </c>
      <c r="G2112" s="3">
        <v>57420000</v>
      </c>
      <c r="H2112" s="4"/>
      <c r="I2112" s="4"/>
      <c r="J2112" s="4"/>
      <c r="K2112" s="4"/>
      <c r="L2112" s="4"/>
      <c r="M2112" s="4"/>
    </row>
    <row r="2113" spans="1:13" ht="15" customHeight="1" x14ac:dyDescent="0.35">
      <c r="A2113" t="str">
        <f t="shared" si="32"/>
        <v>P686ST11C3731</v>
      </c>
      <c r="B2113" t="str">
        <f>IFERROR(VLOOKUP($A2113,'[5]Study Budget Mapping '!$O$2:$P$532,2,0),"TBA")</f>
        <v>TBA</v>
      </c>
      <c r="D2113" s="2" t="s">
        <v>387</v>
      </c>
      <c r="E2113" s="2" t="s">
        <v>14</v>
      </c>
      <c r="F2113" s="3">
        <v>14200000</v>
      </c>
      <c r="G2113" s="3">
        <v>21800000</v>
      </c>
      <c r="H2113" s="4"/>
      <c r="I2113" s="4"/>
      <c r="J2113" s="4"/>
      <c r="K2113" s="4"/>
      <c r="L2113" s="4"/>
      <c r="M2113" s="4"/>
    </row>
    <row r="2114" spans="1:13" ht="15" customHeight="1" x14ac:dyDescent="0.35">
      <c r="A2114" t="str">
        <f t="shared" si="32"/>
        <v>P686ST11C3731</v>
      </c>
      <c r="B2114" t="str">
        <f>IFERROR(VLOOKUP($A2114,'[5]Study Budget Mapping '!$O$2:$P$532,2,0),"TBA")</f>
        <v>TBA</v>
      </c>
      <c r="D2114" s="2" t="s">
        <v>387</v>
      </c>
      <c r="E2114" s="2" t="s">
        <v>19</v>
      </c>
      <c r="F2114" s="3">
        <v>6221000</v>
      </c>
      <c r="G2114" s="3">
        <v>5595000</v>
      </c>
      <c r="H2114" s="4"/>
      <c r="I2114" s="4"/>
      <c r="J2114" s="4"/>
      <c r="K2114" s="4"/>
      <c r="L2114" s="4"/>
      <c r="M2114" s="4"/>
    </row>
    <row r="2115" spans="1:13" ht="15" customHeight="1" x14ac:dyDescent="0.35">
      <c r="A2115" t="str">
        <f t="shared" ref="A2115:A2178" si="33">TRIM(_xlfn.TEXTBEFORE(D2115,"-",1))</f>
        <v>P686ST11C3731</v>
      </c>
      <c r="B2115" t="str">
        <f>IFERROR(VLOOKUP($A2115,'[5]Study Budget Mapping '!$O$2:$P$532,2,0),"TBA")</f>
        <v>TBA</v>
      </c>
      <c r="D2115" s="2" t="s">
        <v>387</v>
      </c>
      <c r="E2115" s="2" t="s">
        <v>20</v>
      </c>
      <c r="F2115" s="3">
        <v>2300000</v>
      </c>
      <c r="G2115" s="3">
        <v>3200000</v>
      </c>
      <c r="H2115" s="4"/>
      <c r="I2115" s="4"/>
      <c r="J2115" s="4"/>
      <c r="K2115" s="4"/>
      <c r="L2115" s="4"/>
      <c r="M2115" s="4"/>
    </row>
    <row r="2116" spans="1:13" ht="15" customHeight="1" x14ac:dyDescent="0.35">
      <c r="A2116" t="str">
        <f t="shared" si="33"/>
        <v>P686ST11C3731</v>
      </c>
      <c r="B2116" t="str">
        <f>IFERROR(VLOOKUP($A2116,'[5]Study Budget Mapping '!$O$2:$P$532,2,0),"TBA")</f>
        <v>TBA</v>
      </c>
      <c r="D2116" s="2" t="s">
        <v>387</v>
      </c>
      <c r="E2116" s="2" t="s">
        <v>21</v>
      </c>
      <c r="F2116" s="3">
        <v>65700000</v>
      </c>
      <c r="G2116" s="3">
        <v>90000000</v>
      </c>
      <c r="H2116" s="4"/>
      <c r="I2116" s="4"/>
      <c r="J2116" s="4"/>
      <c r="K2116" s="4"/>
      <c r="L2116" s="4"/>
      <c r="M2116" s="4"/>
    </row>
    <row r="2117" spans="1:13" ht="15" customHeight="1" x14ac:dyDescent="0.35">
      <c r="A2117" t="str">
        <f t="shared" si="33"/>
        <v>P686ST11C3731</v>
      </c>
      <c r="B2117" t="str">
        <f>IFERROR(VLOOKUP($A2117,'[5]Study Budget Mapping '!$O$2:$P$532,2,0),"TBA")</f>
        <v>TBA</v>
      </c>
      <c r="D2117" s="2" t="s">
        <v>387</v>
      </c>
      <c r="E2117" s="2" t="s">
        <v>15</v>
      </c>
      <c r="F2117" s="3">
        <v>25760000</v>
      </c>
      <c r="G2117" s="3">
        <v>46240000</v>
      </c>
      <c r="H2117" s="4"/>
      <c r="I2117" s="4"/>
      <c r="J2117" s="4"/>
      <c r="K2117" s="4"/>
      <c r="L2117" s="4"/>
      <c r="M2117" s="4"/>
    </row>
    <row r="2118" spans="1:13" ht="15" customHeight="1" x14ac:dyDescent="0.35">
      <c r="A2118" t="str">
        <f t="shared" si="33"/>
        <v>P686ST11C3731</v>
      </c>
      <c r="B2118" t="str">
        <f>IFERROR(VLOOKUP($A2118,'[5]Study Budget Mapping '!$O$2:$P$532,2,0),"TBA")</f>
        <v>TBA</v>
      </c>
      <c r="D2118" s="2" t="s">
        <v>387</v>
      </c>
      <c r="E2118" s="2" t="s">
        <v>22</v>
      </c>
      <c r="F2118" s="3">
        <v>2642000</v>
      </c>
      <c r="G2118" s="3">
        <v>3430000</v>
      </c>
      <c r="H2118" s="4"/>
      <c r="I2118" s="4"/>
      <c r="J2118" s="4"/>
      <c r="K2118" s="4"/>
      <c r="L2118" s="4"/>
      <c r="M2118" s="4"/>
    </row>
    <row r="2119" spans="1:13" ht="15" customHeight="1" x14ac:dyDescent="0.35">
      <c r="A2119" t="str">
        <f t="shared" si="33"/>
        <v>P686ST11C3731</v>
      </c>
      <c r="B2119" t="str">
        <f>IFERROR(VLOOKUP($A2119,'[5]Study Budget Mapping '!$O$2:$P$532,2,0),"TBA")</f>
        <v>TBA</v>
      </c>
      <c r="D2119" s="2" t="s">
        <v>387</v>
      </c>
      <c r="E2119" s="2" t="s">
        <v>16</v>
      </c>
      <c r="F2119" s="3">
        <v>3300000</v>
      </c>
      <c r="G2119" s="3">
        <v>19495000</v>
      </c>
      <c r="H2119" s="4"/>
      <c r="I2119" s="4"/>
      <c r="J2119" s="4"/>
      <c r="K2119" s="4"/>
      <c r="L2119" s="4"/>
      <c r="M2119" s="4"/>
    </row>
    <row r="2120" spans="1:13" ht="15" customHeight="1" x14ac:dyDescent="0.35">
      <c r="A2120" t="str">
        <f t="shared" si="33"/>
        <v>P686ST11C3731</v>
      </c>
      <c r="B2120" t="str">
        <f>IFERROR(VLOOKUP($A2120,'[5]Study Budget Mapping '!$O$2:$P$532,2,0),"TBA")</f>
        <v>TBA</v>
      </c>
      <c r="D2120" s="2" t="s">
        <v>387</v>
      </c>
      <c r="E2120" s="2" t="s">
        <v>17</v>
      </c>
      <c r="F2120" s="3">
        <v>600000</v>
      </c>
      <c r="G2120" s="3">
        <v>820000</v>
      </c>
      <c r="H2120" s="4"/>
      <c r="I2120" s="4"/>
      <c r="J2120" s="4"/>
      <c r="K2120" s="4"/>
      <c r="L2120" s="4"/>
      <c r="M2120" s="4"/>
    </row>
    <row r="2121" spans="1:13" ht="15" customHeight="1" x14ac:dyDescent="0.35">
      <c r="A2121" t="str">
        <f t="shared" si="33"/>
        <v>P686ST11C3731</v>
      </c>
      <c r="B2121" t="str">
        <f>IFERROR(VLOOKUP($A2121,'[5]Study Budget Mapping '!$O$2:$P$532,2,0),"TBA")</f>
        <v>TBA</v>
      </c>
      <c r="D2121" s="2" t="s">
        <v>387</v>
      </c>
      <c r="E2121" s="2" t="s">
        <v>23</v>
      </c>
      <c r="F2121" s="3">
        <v>1200000</v>
      </c>
      <c r="G2121" s="3">
        <v>3190000</v>
      </c>
      <c r="H2121" s="4"/>
      <c r="I2121" s="4"/>
      <c r="J2121" s="4"/>
      <c r="K2121" s="4"/>
      <c r="L2121" s="4"/>
      <c r="M2121" s="4"/>
    </row>
    <row r="2122" spans="1:13" ht="15" customHeight="1" x14ac:dyDescent="0.35">
      <c r="A2122" t="str">
        <f t="shared" si="33"/>
        <v>P686ST11C3731</v>
      </c>
      <c r="B2122" t="str">
        <f>IFERROR(VLOOKUP($A2122,'[5]Study Budget Mapping '!$O$2:$P$532,2,0),"TBA")</f>
        <v>TBA</v>
      </c>
      <c r="D2122" s="2" t="s">
        <v>387</v>
      </c>
      <c r="E2122" s="2" t="s">
        <v>24</v>
      </c>
      <c r="F2122" s="3">
        <v>8000000</v>
      </c>
      <c r="G2122" s="3">
        <v>7200000</v>
      </c>
      <c r="H2122" s="4"/>
      <c r="I2122" s="4"/>
      <c r="J2122" s="4"/>
      <c r="K2122" s="4"/>
      <c r="L2122" s="4"/>
      <c r="M2122" s="4"/>
    </row>
    <row r="2123" spans="1:13" ht="15" customHeight="1" x14ac:dyDescent="0.35">
      <c r="A2123" t="str">
        <f t="shared" si="33"/>
        <v>P686ST11C3731</v>
      </c>
      <c r="B2123" t="str">
        <f>IFERROR(VLOOKUP($A2123,'[5]Study Budget Mapping '!$O$2:$P$532,2,0),"TBA")</f>
        <v>TBA</v>
      </c>
      <c r="D2123" s="2" t="s">
        <v>387</v>
      </c>
      <c r="E2123" s="2" t="s">
        <v>32</v>
      </c>
      <c r="F2123" s="3">
        <v>5000000</v>
      </c>
      <c r="G2123" s="3">
        <v>6800000</v>
      </c>
      <c r="H2123" s="4"/>
      <c r="I2123" s="4"/>
      <c r="J2123" s="4"/>
      <c r="K2123" s="4"/>
      <c r="L2123" s="4"/>
      <c r="M2123" s="4"/>
    </row>
    <row r="2124" spans="1:13" ht="15" customHeight="1" x14ac:dyDescent="0.35">
      <c r="A2124" t="str">
        <f t="shared" si="33"/>
        <v>P686HE02C2421</v>
      </c>
      <c r="B2124" t="str">
        <f>IFERROR(VLOOKUP($A2124,'[5]Study Budget Mapping '!$O$2:$P$532,2,0),"TBA")</f>
        <v>TBA</v>
      </c>
      <c r="D2124" s="2" t="s">
        <v>388</v>
      </c>
      <c r="E2124" s="2" t="s">
        <v>13</v>
      </c>
      <c r="F2124" s="3">
        <v>5910000</v>
      </c>
      <c r="G2124" s="3">
        <v>5700000</v>
      </c>
      <c r="H2124" s="4"/>
      <c r="I2124" s="4"/>
      <c r="J2124" s="4"/>
      <c r="K2124" s="4"/>
      <c r="L2124" s="4"/>
      <c r="M2124" s="4"/>
    </row>
    <row r="2125" spans="1:13" ht="15" customHeight="1" x14ac:dyDescent="0.35">
      <c r="A2125" t="str">
        <f t="shared" si="33"/>
        <v>P686HE02C2421</v>
      </c>
      <c r="B2125" t="str">
        <f>IFERROR(VLOOKUP($A2125,'[5]Study Budget Mapping '!$O$2:$P$532,2,0),"TBA")</f>
        <v>TBA</v>
      </c>
      <c r="D2125" s="2" t="s">
        <v>388</v>
      </c>
      <c r="E2125" s="2" t="s">
        <v>14</v>
      </c>
      <c r="F2125" s="3">
        <v>3840000</v>
      </c>
      <c r="G2125" s="3">
        <v>5050000</v>
      </c>
      <c r="H2125" s="4"/>
      <c r="I2125" s="4"/>
      <c r="J2125" s="4"/>
      <c r="K2125" s="4"/>
      <c r="L2125" s="4"/>
      <c r="M2125" s="4"/>
    </row>
    <row r="2126" spans="1:13" ht="15" customHeight="1" x14ac:dyDescent="0.35">
      <c r="A2126" t="str">
        <f t="shared" si="33"/>
        <v>P686HE02C2421</v>
      </c>
      <c r="B2126" t="str">
        <f>IFERROR(VLOOKUP($A2126,'[5]Study Budget Mapping '!$O$2:$P$532,2,0),"TBA")</f>
        <v>TBA</v>
      </c>
      <c r="D2126" s="2" t="s">
        <v>388</v>
      </c>
      <c r="E2126" s="2" t="s">
        <v>19</v>
      </c>
      <c r="F2126" s="3">
        <v>867000</v>
      </c>
      <c r="G2126" s="3">
        <v>955000</v>
      </c>
      <c r="H2126" s="4"/>
      <c r="I2126" s="4"/>
      <c r="J2126" s="4"/>
      <c r="K2126" s="4"/>
      <c r="L2126" s="4"/>
      <c r="M2126" s="4"/>
    </row>
    <row r="2127" spans="1:13" ht="15" customHeight="1" x14ac:dyDescent="0.35">
      <c r="A2127" t="str">
        <f t="shared" si="33"/>
        <v>P686HE02C2421</v>
      </c>
      <c r="B2127" t="str">
        <f>IFERROR(VLOOKUP($A2127,'[5]Study Budget Mapping '!$O$2:$P$532,2,0),"TBA")</f>
        <v>TBA</v>
      </c>
      <c r="D2127" s="2" t="s">
        <v>388</v>
      </c>
      <c r="E2127" s="2" t="s">
        <v>20</v>
      </c>
      <c r="F2127" s="3">
        <v>15000</v>
      </c>
      <c r="G2127" s="3">
        <v>15000</v>
      </c>
      <c r="H2127" s="4"/>
      <c r="I2127" s="4"/>
      <c r="J2127" s="4"/>
      <c r="K2127" s="4"/>
      <c r="L2127" s="4"/>
      <c r="M2127" s="4"/>
    </row>
    <row r="2128" spans="1:13" ht="15" customHeight="1" x14ac:dyDescent="0.35">
      <c r="A2128" t="str">
        <f t="shared" si="33"/>
        <v>P686HE02C2421</v>
      </c>
      <c r="B2128" t="str">
        <f>IFERROR(VLOOKUP($A2128,'[5]Study Budget Mapping '!$O$2:$P$532,2,0),"TBA")</f>
        <v>TBA</v>
      </c>
      <c r="D2128" s="2" t="s">
        <v>388</v>
      </c>
      <c r="E2128" s="2" t="s">
        <v>31</v>
      </c>
      <c r="F2128" s="3">
        <v>35000</v>
      </c>
      <c r="G2128" s="3">
        <v>60000</v>
      </c>
      <c r="H2128" s="4"/>
      <c r="I2128" s="4"/>
      <c r="J2128" s="4"/>
      <c r="K2128" s="4"/>
      <c r="L2128" s="4"/>
      <c r="M2128" s="4"/>
    </row>
    <row r="2129" spans="1:13" ht="15" customHeight="1" x14ac:dyDescent="0.35">
      <c r="A2129" t="str">
        <f t="shared" si="33"/>
        <v>P686HE02C2421</v>
      </c>
      <c r="B2129" t="str">
        <f>IFERROR(VLOOKUP($A2129,'[5]Study Budget Mapping '!$O$2:$P$532,2,0),"TBA")</f>
        <v>TBA</v>
      </c>
      <c r="D2129" s="2" t="s">
        <v>388</v>
      </c>
      <c r="E2129" s="2" t="s">
        <v>15</v>
      </c>
      <c r="F2129" s="3">
        <v>7300000</v>
      </c>
      <c r="G2129" s="3">
        <v>7020000</v>
      </c>
      <c r="H2129" s="4"/>
      <c r="I2129" s="4"/>
      <c r="J2129" s="4"/>
      <c r="K2129" s="4"/>
      <c r="L2129" s="4"/>
      <c r="M2129" s="4"/>
    </row>
    <row r="2130" spans="1:13" ht="15" customHeight="1" x14ac:dyDescent="0.35">
      <c r="A2130" t="str">
        <f t="shared" si="33"/>
        <v>P686HE02C2421</v>
      </c>
      <c r="B2130" t="str">
        <f>IFERROR(VLOOKUP($A2130,'[5]Study Budget Mapping '!$O$2:$P$532,2,0),"TBA")</f>
        <v>TBA</v>
      </c>
      <c r="D2130" s="2" t="s">
        <v>388</v>
      </c>
      <c r="E2130" s="2" t="s">
        <v>22</v>
      </c>
      <c r="F2130" s="3">
        <v>1590000</v>
      </c>
      <c r="G2130" s="3">
        <v>1500000</v>
      </c>
      <c r="H2130" s="4"/>
      <c r="I2130" s="4"/>
      <c r="J2130" s="4"/>
      <c r="K2130" s="4"/>
      <c r="L2130" s="4"/>
      <c r="M2130" s="4"/>
    </row>
    <row r="2131" spans="1:13" ht="15" customHeight="1" x14ac:dyDescent="0.35">
      <c r="A2131" t="str">
        <f t="shared" si="33"/>
        <v>P686HE02C2421</v>
      </c>
      <c r="B2131" t="str">
        <f>IFERROR(VLOOKUP($A2131,'[5]Study Budget Mapping '!$O$2:$P$532,2,0),"TBA")</f>
        <v>TBA</v>
      </c>
      <c r="D2131" s="2" t="s">
        <v>388</v>
      </c>
      <c r="E2131" s="2" t="s">
        <v>16</v>
      </c>
      <c r="F2131" s="3">
        <v>1025000</v>
      </c>
      <c r="G2131" s="3">
        <v>1040000</v>
      </c>
      <c r="H2131" s="4"/>
      <c r="I2131" s="4"/>
      <c r="J2131" s="4"/>
      <c r="K2131" s="4"/>
      <c r="L2131" s="4"/>
      <c r="M2131" s="4"/>
    </row>
    <row r="2132" spans="1:13" ht="15" customHeight="1" x14ac:dyDescent="0.35">
      <c r="A2132" t="str">
        <f t="shared" si="33"/>
        <v>P686HE02C2421</v>
      </c>
      <c r="B2132" t="str">
        <f>IFERROR(VLOOKUP($A2132,'[5]Study Budget Mapping '!$O$2:$P$532,2,0),"TBA")</f>
        <v>TBA</v>
      </c>
      <c r="D2132" s="2" t="s">
        <v>388</v>
      </c>
      <c r="E2132" s="2" t="s">
        <v>17</v>
      </c>
      <c r="F2132" s="3">
        <v>540000</v>
      </c>
      <c r="G2132" s="3">
        <v>540000</v>
      </c>
      <c r="H2132" s="4"/>
      <c r="I2132" s="4"/>
      <c r="J2132" s="4"/>
      <c r="K2132" s="4"/>
      <c r="L2132" s="4"/>
      <c r="M2132" s="4"/>
    </row>
    <row r="2133" spans="1:13" ht="15" customHeight="1" x14ac:dyDescent="0.35">
      <c r="A2133" t="str">
        <f t="shared" si="33"/>
        <v>P686HE02C2421</v>
      </c>
      <c r="B2133" t="str">
        <f>IFERROR(VLOOKUP($A2133,'[5]Study Budget Mapping '!$O$2:$P$532,2,0),"TBA")</f>
        <v>TBA</v>
      </c>
      <c r="D2133" s="2" t="s">
        <v>388</v>
      </c>
      <c r="E2133" s="2" t="s">
        <v>23</v>
      </c>
      <c r="F2133" s="3">
        <v>545000</v>
      </c>
      <c r="G2133" s="3">
        <v>555000</v>
      </c>
      <c r="H2133" s="4"/>
      <c r="I2133" s="4"/>
      <c r="J2133" s="4"/>
      <c r="K2133" s="4"/>
      <c r="L2133" s="4"/>
      <c r="M2133" s="4"/>
    </row>
    <row r="2134" spans="1:13" ht="15" customHeight="1" x14ac:dyDescent="0.35">
      <c r="A2134" t="str">
        <f t="shared" si="33"/>
        <v>P686HE02C2421</v>
      </c>
      <c r="B2134" t="str">
        <f>IFERROR(VLOOKUP($A2134,'[5]Study Budget Mapping '!$O$2:$P$532,2,0),"TBA")</f>
        <v>TBA</v>
      </c>
      <c r="D2134" s="2" t="s">
        <v>388</v>
      </c>
      <c r="E2134" s="2" t="s">
        <v>24</v>
      </c>
      <c r="F2134" s="3">
        <v>390000</v>
      </c>
      <c r="G2134" s="3">
        <v>390000</v>
      </c>
      <c r="H2134" s="4"/>
      <c r="I2134" s="4"/>
      <c r="J2134" s="4"/>
      <c r="K2134" s="4"/>
      <c r="L2134" s="4"/>
      <c r="M2134" s="4"/>
    </row>
    <row r="2135" spans="1:13" ht="15" customHeight="1" x14ac:dyDescent="0.35">
      <c r="A2135" t="str">
        <f t="shared" si="33"/>
        <v>P686HE02C2421</v>
      </c>
      <c r="B2135" t="str">
        <f>IFERROR(VLOOKUP($A2135,'[5]Study Budget Mapping '!$O$2:$P$532,2,0),"TBA")</f>
        <v>TBA</v>
      </c>
      <c r="D2135" s="2" t="s">
        <v>388</v>
      </c>
      <c r="E2135" s="2" t="s">
        <v>32</v>
      </c>
      <c r="F2135" s="3">
        <v>2110000</v>
      </c>
      <c r="G2135" s="3">
        <v>2830000</v>
      </c>
      <c r="H2135" s="4"/>
      <c r="I2135" s="4"/>
      <c r="J2135" s="4"/>
      <c r="K2135" s="4"/>
      <c r="L2135" s="4"/>
      <c r="M2135" s="4"/>
    </row>
    <row r="2136" spans="1:13" ht="15" customHeight="1" x14ac:dyDescent="0.35">
      <c r="A2136" t="str">
        <f t="shared" si="33"/>
        <v>P686HE02C2501</v>
      </c>
      <c r="B2136" t="str">
        <f>IFERROR(VLOOKUP($A2136,'[5]Study Budget Mapping '!$O$2:$P$532,2,0),"TBA")</f>
        <v>TBA</v>
      </c>
      <c r="D2136" s="2" t="s">
        <v>389</v>
      </c>
      <c r="E2136" s="2" t="s">
        <v>13</v>
      </c>
      <c r="F2136" s="3">
        <v>18260000</v>
      </c>
      <c r="G2136" s="3">
        <v>18260000</v>
      </c>
      <c r="H2136" s="4"/>
      <c r="I2136" s="4"/>
      <c r="J2136" s="4"/>
      <c r="K2136" s="4"/>
      <c r="L2136" s="4"/>
      <c r="M2136" s="4"/>
    </row>
    <row r="2137" spans="1:13" ht="15" customHeight="1" x14ac:dyDescent="0.35">
      <c r="A2137" t="str">
        <f t="shared" si="33"/>
        <v>P686HE02C2501</v>
      </c>
      <c r="B2137" t="str">
        <f>IFERROR(VLOOKUP($A2137,'[5]Study Budget Mapping '!$O$2:$P$532,2,0),"TBA")</f>
        <v>TBA</v>
      </c>
      <c r="D2137" s="2" t="s">
        <v>389</v>
      </c>
      <c r="E2137" s="2" t="s">
        <v>14</v>
      </c>
      <c r="F2137" s="3">
        <v>16000000</v>
      </c>
      <c r="G2137" s="3">
        <v>16000000</v>
      </c>
      <c r="H2137" s="4"/>
      <c r="I2137" s="4"/>
      <c r="J2137" s="4"/>
      <c r="K2137" s="4"/>
      <c r="L2137" s="4"/>
      <c r="M2137" s="4"/>
    </row>
    <row r="2138" spans="1:13" ht="15" customHeight="1" x14ac:dyDescent="0.35">
      <c r="A2138" t="str">
        <f t="shared" si="33"/>
        <v>P686HE02C2501</v>
      </c>
      <c r="B2138" t="str">
        <f>IFERROR(VLOOKUP($A2138,'[5]Study Budget Mapping '!$O$2:$P$532,2,0),"TBA")</f>
        <v>TBA</v>
      </c>
      <c r="D2138" s="2" t="s">
        <v>389</v>
      </c>
      <c r="E2138" s="2" t="s">
        <v>19</v>
      </c>
      <c r="F2138" s="3">
        <v>2755000</v>
      </c>
      <c r="G2138" s="3">
        <v>2755000</v>
      </c>
      <c r="H2138" s="4"/>
      <c r="I2138" s="4"/>
      <c r="J2138" s="4"/>
      <c r="K2138" s="4"/>
      <c r="L2138" s="4"/>
      <c r="M2138" s="4"/>
    </row>
    <row r="2139" spans="1:13" ht="15" customHeight="1" x14ac:dyDescent="0.35">
      <c r="A2139" t="str">
        <f t="shared" si="33"/>
        <v>P686HE02C2501</v>
      </c>
      <c r="B2139" t="str">
        <f>IFERROR(VLOOKUP($A2139,'[5]Study Budget Mapping '!$O$2:$P$532,2,0),"TBA")</f>
        <v>TBA</v>
      </c>
      <c r="D2139" s="2" t="s">
        <v>389</v>
      </c>
      <c r="E2139" s="2" t="s">
        <v>20</v>
      </c>
      <c r="F2139" s="3">
        <v>20000</v>
      </c>
      <c r="G2139" s="3">
        <v>20000</v>
      </c>
      <c r="H2139" s="4"/>
      <c r="I2139" s="4"/>
      <c r="J2139" s="4"/>
      <c r="K2139" s="4"/>
      <c r="L2139" s="4"/>
      <c r="M2139" s="4"/>
    </row>
    <row r="2140" spans="1:13" ht="15" customHeight="1" x14ac:dyDescent="0.35">
      <c r="A2140" t="str">
        <f t="shared" si="33"/>
        <v>P686HE02C2501</v>
      </c>
      <c r="B2140" t="str">
        <f>IFERROR(VLOOKUP($A2140,'[5]Study Budget Mapping '!$O$2:$P$532,2,0),"TBA")</f>
        <v>TBA</v>
      </c>
      <c r="D2140" s="2" t="s">
        <v>389</v>
      </c>
      <c r="E2140" s="2" t="s">
        <v>15</v>
      </c>
      <c r="F2140" s="3">
        <v>11550000</v>
      </c>
      <c r="G2140" s="3">
        <v>11550000</v>
      </c>
      <c r="H2140" s="4"/>
      <c r="I2140" s="4"/>
      <c r="J2140" s="4"/>
      <c r="K2140" s="4"/>
      <c r="L2140" s="4"/>
      <c r="M2140" s="4"/>
    </row>
    <row r="2141" spans="1:13" ht="15" customHeight="1" x14ac:dyDescent="0.35">
      <c r="A2141" t="str">
        <f t="shared" si="33"/>
        <v>P686HE02C2501</v>
      </c>
      <c r="B2141" t="str">
        <f>IFERROR(VLOOKUP($A2141,'[5]Study Budget Mapping '!$O$2:$P$532,2,0),"TBA")</f>
        <v>TBA</v>
      </c>
      <c r="D2141" s="2" t="s">
        <v>389</v>
      </c>
      <c r="E2141" s="2" t="s">
        <v>22</v>
      </c>
      <c r="F2141" s="3">
        <v>2080000</v>
      </c>
      <c r="G2141" s="3">
        <v>2080000</v>
      </c>
      <c r="H2141" s="4"/>
      <c r="I2141" s="4"/>
      <c r="J2141" s="4"/>
      <c r="K2141" s="4"/>
      <c r="L2141" s="4"/>
      <c r="M2141" s="4"/>
    </row>
    <row r="2142" spans="1:13" ht="15" customHeight="1" x14ac:dyDescent="0.35">
      <c r="A2142" t="str">
        <f t="shared" si="33"/>
        <v>P686HE02C2501</v>
      </c>
      <c r="B2142" t="str">
        <f>IFERROR(VLOOKUP($A2142,'[5]Study Budget Mapping '!$O$2:$P$532,2,0),"TBA")</f>
        <v>TBA</v>
      </c>
      <c r="D2142" s="2" t="s">
        <v>389</v>
      </c>
      <c r="E2142" s="2" t="s">
        <v>16</v>
      </c>
      <c r="F2142" s="3">
        <v>1430000</v>
      </c>
      <c r="G2142" s="3">
        <v>1430000</v>
      </c>
      <c r="H2142" s="4"/>
      <c r="I2142" s="4"/>
      <c r="J2142" s="4"/>
      <c r="K2142" s="4"/>
      <c r="L2142" s="4"/>
      <c r="M2142" s="4"/>
    </row>
    <row r="2143" spans="1:13" ht="15" customHeight="1" x14ac:dyDescent="0.35">
      <c r="A2143" t="str">
        <f t="shared" si="33"/>
        <v>P686HE02C2501</v>
      </c>
      <c r="B2143" t="str">
        <f>IFERROR(VLOOKUP($A2143,'[5]Study Budget Mapping '!$O$2:$P$532,2,0),"TBA")</f>
        <v>TBA</v>
      </c>
      <c r="D2143" s="2" t="s">
        <v>389</v>
      </c>
      <c r="E2143" s="2" t="s">
        <v>17</v>
      </c>
      <c r="F2143" s="3">
        <v>550000</v>
      </c>
      <c r="G2143" s="3">
        <v>550000</v>
      </c>
      <c r="H2143" s="4"/>
      <c r="I2143" s="4"/>
      <c r="J2143" s="4"/>
      <c r="K2143" s="4"/>
      <c r="L2143" s="4"/>
      <c r="M2143" s="4"/>
    </row>
    <row r="2144" spans="1:13" ht="15" customHeight="1" x14ac:dyDescent="0.35">
      <c r="A2144" t="str">
        <f t="shared" si="33"/>
        <v>P686HE02C2501</v>
      </c>
      <c r="B2144" t="str">
        <f>IFERROR(VLOOKUP($A2144,'[5]Study Budget Mapping '!$O$2:$P$532,2,0),"TBA")</f>
        <v>TBA</v>
      </c>
      <c r="D2144" s="2" t="s">
        <v>389</v>
      </c>
      <c r="E2144" s="2" t="s">
        <v>23</v>
      </c>
      <c r="F2144" s="3">
        <v>655000</v>
      </c>
      <c r="G2144" s="3">
        <v>655000</v>
      </c>
      <c r="H2144" s="4"/>
      <c r="I2144" s="4"/>
      <c r="J2144" s="4"/>
      <c r="K2144" s="4"/>
      <c r="L2144" s="4"/>
      <c r="M2144" s="4"/>
    </row>
    <row r="2145" spans="1:13" ht="15" customHeight="1" x14ac:dyDescent="0.35">
      <c r="A2145" t="str">
        <f t="shared" si="33"/>
        <v>P686HE02C2501</v>
      </c>
      <c r="B2145" t="str">
        <f>IFERROR(VLOOKUP($A2145,'[5]Study Budget Mapping '!$O$2:$P$532,2,0),"TBA")</f>
        <v>TBA</v>
      </c>
      <c r="D2145" s="2" t="s">
        <v>389</v>
      </c>
      <c r="E2145" s="2" t="s">
        <v>24</v>
      </c>
      <c r="F2145" s="3">
        <v>1200000</v>
      </c>
      <c r="G2145" s="3">
        <v>1200000</v>
      </c>
      <c r="H2145" s="4"/>
      <c r="I2145" s="4"/>
      <c r="J2145" s="4"/>
      <c r="K2145" s="4"/>
      <c r="L2145" s="4"/>
      <c r="M2145" s="4"/>
    </row>
    <row r="2146" spans="1:13" ht="15" customHeight="1" x14ac:dyDescent="0.35">
      <c r="A2146" t="str">
        <f t="shared" si="33"/>
        <v>P686HE02C2501</v>
      </c>
      <c r="B2146" t="str">
        <f>IFERROR(VLOOKUP($A2146,'[5]Study Budget Mapping '!$O$2:$P$532,2,0),"TBA")</f>
        <v>TBA</v>
      </c>
      <c r="D2146" s="2" t="s">
        <v>389</v>
      </c>
      <c r="E2146" s="2" t="s">
        <v>32</v>
      </c>
      <c r="F2146" s="3">
        <v>3700000</v>
      </c>
      <c r="G2146" s="3">
        <v>3700000</v>
      </c>
      <c r="H2146" s="4"/>
      <c r="I2146" s="4"/>
      <c r="J2146" s="4"/>
      <c r="K2146" s="4"/>
      <c r="L2146" s="4"/>
      <c r="M2146" s="4"/>
    </row>
    <row r="2147" spans="1:13" ht="15" customHeight="1" x14ac:dyDescent="0.35">
      <c r="A2147" t="str">
        <f t="shared" si="33"/>
        <v>P686HE05C2601</v>
      </c>
      <c r="B2147" t="str">
        <f>IFERROR(VLOOKUP($A2147,'[5]Study Budget Mapping '!$O$2:$P$532,2,0),"TBA")</f>
        <v>TBA</v>
      </c>
      <c r="D2147" s="2" t="s">
        <v>390</v>
      </c>
      <c r="E2147" s="2" t="s">
        <v>13</v>
      </c>
      <c r="F2147" s="3">
        <v>35660000</v>
      </c>
      <c r="G2147" s="3">
        <v>35660000</v>
      </c>
      <c r="H2147" s="4"/>
      <c r="I2147" s="4"/>
      <c r="J2147" s="4"/>
      <c r="K2147" s="4"/>
      <c r="L2147" s="4"/>
      <c r="M2147" s="4"/>
    </row>
    <row r="2148" spans="1:13" ht="15" customHeight="1" x14ac:dyDescent="0.35">
      <c r="A2148" t="str">
        <f t="shared" si="33"/>
        <v>P686HE05C2601</v>
      </c>
      <c r="B2148" t="str">
        <f>IFERROR(VLOOKUP($A2148,'[5]Study Budget Mapping '!$O$2:$P$532,2,0),"TBA")</f>
        <v>TBA</v>
      </c>
      <c r="D2148" s="2" t="s">
        <v>390</v>
      </c>
      <c r="E2148" s="2" t="s">
        <v>14</v>
      </c>
      <c r="F2148" s="3">
        <v>19244000</v>
      </c>
      <c r="G2148" s="3">
        <v>19244000</v>
      </c>
      <c r="H2148" s="4"/>
      <c r="I2148" s="4"/>
      <c r="J2148" s="4"/>
      <c r="K2148" s="4"/>
      <c r="L2148" s="4"/>
      <c r="M2148" s="4"/>
    </row>
    <row r="2149" spans="1:13" ht="15" customHeight="1" x14ac:dyDescent="0.35">
      <c r="A2149" t="str">
        <f t="shared" si="33"/>
        <v>P686HE05C2601</v>
      </c>
      <c r="B2149" t="str">
        <f>IFERROR(VLOOKUP($A2149,'[5]Study Budget Mapping '!$O$2:$P$532,2,0),"TBA")</f>
        <v>TBA</v>
      </c>
      <c r="D2149" s="2" t="s">
        <v>390</v>
      </c>
      <c r="E2149" s="2" t="s">
        <v>19</v>
      </c>
      <c r="F2149" s="3">
        <v>4650000</v>
      </c>
      <c r="G2149" s="3">
        <v>4650000</v>
      </c>
      <c r="H2149" s="4"/>
      <c r="I2149" s="4"/>
      <c r="J2149" s="4"/>
      <c r="K2149" s="4"/>
      <c r="L2149" s="4"/>
      <c r="M2149" s="4"/>
    </row>
    <row r="2150" spans="1:13" ht="15" customHeight="1" x14ac:dyDescent="0.35">
      <c r="A2150" t="str">
        <f t="shared" si="33"/>
        <v>P686HE05C2601</v>
      </c>
      <c r="B2150" t="str">
        <f>IFERROR(VLOOKUP($A2150,'[5]Study Budget Mapping '!$O$2:$P$532,2,0),"TBA")</f>
        <v>TBA</v>
      </c>
      <c r="D2150" s="2" t="s">
        <v>390</v>
      </c>
      <c r="E2150" s="2" t="s">
        <v>20</v>
      </c>
      <c r="F2150" s="3">
        <v>1450000</v>
      </c>
      <c r="G2150" s="3">
        <v>1450000</v>
      </c>
      <c r="H2150" s="4"/>
      <c r="I2150" s="4"/>
      <c r="J2150" s="4"/>
      <c r="K2150" s="4"/>
      <c r="L2150" s="4"/>
      <c r="M2150" s="4"/>
    </row>
    <row r="2151" spans="1:13" ht="15" customHeight="1" x14ac:dyDescent="0.35">
      <c r="A2151" t="str">
        <f t="shared" si="33"/>
        <v>P686HE05C2601</v>
      </c>
      <c r="B2151" t="str">
        <f>IFERROR(VLOOKUP($A2151,'[5]Study Budget Mapping '!$O$2:$P$532,2,0),"TBA")</f>
        <v>TBA</v>
      </c>
      <c r="D2151" s="2" t="s">
        <v>390</v>
      </c>
      <c r="E2151" s="2" t="s">
        <v>31</v>
      </c>
      <c r="F2151" s="3">
        <v>70000</v>
      </c>
      <c r="G2151" s="3">
        <v>70000</v>
      </c>
      <c r="H2151" s="4"/>
      <c r="I2151" s="4"/>
      <c r="J2151" s="4"/>
      <c r="K2151" s="4"/>
      <c r="L2151" s="4"/>
      <c r="M2151" s="4"/>
    </row>
    <row r="2152" spans="1:13" ht="15" customHeight="1" x14ac:dyDescent="0.35">
      <c r="A2152" t="str">
        <f t="shared" si="33"/>
        <v>P686HE05C2601</v>
      </c>
      <c r="B2152" t="str">
        <f>IFERROR(VLOOKUP($A2152,'[5]Study Budget Mapping '!$O$2:$P$532,2,0),"TBA")</f>
        <v>TBA</v>
      </c>
      <c r="D2152" s="2" t="s">
        <v>390</v>
      </c>
      <c r="E2152" s="2" t="s">
        <v>15</v>
      </c>
      <c r="F2152" s="3">
        <v>26440000</v>
      </c>
      <c r="G2152" s="3">
        <v>26440000</v>
      </c>
      <c r="H2152" s="4"/>
      <c r="I2152" s="4"/>
      <c r="J2152" s="4"/>
      <c r="K2152" s="4"/>
      <c r="L2152" s="4"/>
      <c r="M2152" s="4"/>
    </row>
    <row r="2153" spans="1:13" ht="15" customHeight="1" x14ac:dyDescent="0.35">
      <c r="A2153" t="str">
        <f t="shared" si="33"/>
        <v>P686HE05C2601</v>
      </c>
      <c r="B2153" t="str">
        <f>IFERROR(VLOOKUP($A2153,'[5]Study Budget Mapping '!$O$2:$P$532,2,0),"TBA")</f>
        <v>TBA</v>
      </c>
      <c r="D2153" s="2" t="s">
        <v>390</v>
      </c>
      <c r="E2153" s="2" t="s">
        <v>22</v>
      </c>
      <c r="F2153" s="3">
        <v>2080000</v>
      </c>
      <c r="G2153" s="3">
        <v>2080000</v>
      </c>
      <c r="H2153" s="4"/>
      <c r="I2153" s="4"/>
      <c r="J2153" s="4"/>
      <c r="K2153" s="4"/>
      <c r="L2153" s="4"/>
      <c r="M2153" s="4"/>
    </row>
    <row r="2154" spans="1:13" ht="15" customHeight="1" x14ac:dyDescent="0.35">
      <c r="A2154" t="str">
        <f t="shared" si="33"/>
        <v>P686HE05C2601</v>
      </c>
      <c r="B2154" t="str">
        <f>IFERROR(VLOOKUP($A2154,'[5]Study Budget Mapping '!$O$2:$P$532,2,0),"TBA")</f>
        <v>TBA</v>
      </c>
      <c r="D2154" s="2" t="s">
        <v>390</v>
      </c>
      <c r="E2154" s="2" t="s">
        <v>16</v>
      </c>
      <c r="F2154" s="3">
        <v>3017000</v>
      </c>
      <c r="G2154" s="3">
        <v>3017000</v>
      </c>
      <c r="H2154" s="4"/>
      <c r="I2154" s="4"/>
      <c r="J2154" s="4"/>
      <c r="K2154" s="4"/>
      <c r="L2154" s="4"/>
      <c r="M2154" s="4"/>
    </row>
    <row r="2155" spans="1:13" ht="15" customHeight="1" x14ac:dyDescent="0.35">
      <c r="A2155" t="str">
        <f t="shared" si="33"/>
        <v>P686HE05C2601</v>
      </c>
      <c r="B2155" t="str">
        <f>IFERROR(VLOOKUP($A2155,'[5]Study Budget Mapping '!$O$2:$P$532,2,0),"TBA")</f>
        <v>TBA</v>
      </c>
      <c r="D2155" s="2" t="s">
        <v>390</v>
      </c>
      <c r="E2155" s="2" t="s">
        <v>17</v>
      </c>
      <c r="F2155" s="3">
        <v>800000</v>
      </c>
      <c r="G2155" s="3">
        <v>800000</v>
      </c>
      <c r="H2155" s="4"/>
      <c r="I2155" s="4"/>
      <c r="J2155" s="4"/>
      <c r="K2155" s="4"/>
      <c r="L2155" s="4"/>
      <c r="M2155" s="4"/>
    </row>
    <row r="2156" spans="1:13" ht="15" customHeight="1" x14ac:dyDescent="0.35">
      <c r="A2156" t="str">
        <f t="shared" si="33"/>
        <v>P686HE05C2601</v>
      </c>
      <c r="B2156" t="str">
        <f>IFERROR(VLOOKUP($A2156,'[5]Study Budget Mapping '!$O$2:$P$532,2,0),"TBA")</f>
        <v>TBA</v>
      </c>
      <c r="D2156" s="2" t="s">
        <v>390</v>
      </c>
      <c r="E2156" s="2" t="s">
        <v>23</v>
      </c>
      <c r="F2156" s="3">
        <v>865000</v>
      </c>
      <c r="G2156" s="3">
        <v>865000</v>
      </c>
      <c r="H2156" s="4"/>
      <c r="I2156" s="4"/>
      <c r="J2156" s="4"/>
      <c r="K2156" s="4"/>
      <c r="L2156" s="4"/>
      <c r="M2156" s="4"/>
    </row>
    <row r="2157" spans="1:13" ht="15" customHeight="1" x14ac:dyDescent="0.35">
      <c r="A2157" t="str">
        <f t="shared" si="33"/>
        <v>P686HE05C2601</v>
      </c>
      <c r="B2157" t="str">
        <f>IFERROR(VLOOKUP($A2157,'[5]Study Budget Mapping '!$O$2:$P$532,2,0),"TBA")</f>
        <v>TBA</v>
      </c>
      <c r="D2157" s="2" t="s">
        <v>390</v>
      </c>
      <c r="E2157" s="2" t="s">
        <v>24</v>
      </c>
      <c r="F2157" s="3">
        <v>4000000</v>
      </c>
      <c r="G2157" s="3">
        <v>4000000</v>
      </c>
      <c r="H2157" s="4"/>
      <c r="I2157" s="4"/>
      <c r="J2157" s="4"/>
      <c r="K2157" s="4"/>
      <c r="L2157" s="4"/>
      <c r="M2157" s="4"/>
    </row>
    <row r="2158" spans="1:13" ht="15" customHeight="1" x14ac:dyDescent="0.35">
      <c r="A2158" t="str">
        <f t="shared" si="33"/>
        <v>P686IM13C1211</v>
      </c>
      <c r="B2158" t="str">
        <f>IFERROR(VLOOKUP($A2158,'[5]Study Budget Mapping '!$O$2:$P$532,2,0),"TBA")</f>
        <v>TBA</v>
      </c>
      <c r="D2158" s="2" t="s">
        <v>391</v>
      </c>
      <c r="E2158" s="2" t="s">
        <v>13</v>
      </c>
      <c r="F2158" s="3">
        <v>2985000</v>
      </c>
      <c r="G2158" s="3">
        <v>4725000</v>
      </c>
      <c r="H2158" s="4"/>
      <c r="I2158" s="4"/>
      <c r="J2158" s="4"/>
      <c r="K2158" s="4"/>
      <c r="L2158" s="4"/>
      <c r="M2158" s="4"/>
    </row>
    <row r="2159" spans="1:13" ht="15" customHeight="1" x14ac:dyDescent="0.35">
      <c r="A2159" t="str">
        <f t="shared" si="33"/>
        <v>P686IM13C1211</v>
      </c>
      <c r="B2159" t="str">
        <f>IFERROR(VLOOKUP($A2159,'[5]Study Budget Mapping '!$O$2:$P$532,2,0),"TBA")</f>
        <v>TBA</v>
      </c>
      <c r="D2159" s="2" t="s">
        <v>391</v>
      </c>
      <c r="E2159" s="2" t="s">
        <v>14</v>
      </c>
      <c r="F2159" s="3">
        <v>800000</v>
      </c>
      <c r="G2159" s="3">
        <v>2020000</v>
      </c>
      <c r="H2159" s="4"/>
      <c r="I2159" s="4"/>
      <c r="J2159" s="4"/>
      <c r="K2159" s="4"/>
      <c r="L2159" s="4"/>
      <c r="M2159" s="4"/>
    </row>
    <row r="2160" spans="1:13" ht="15" customHeight="1" x14ac:dyDescent="0.35">
      <c r="A2160" t="str">
        <f t="shared" si="33"/>
        <v>P686IM13C1211</v>
      </c>
      <c r="B2160" t="str">
        <f>IFERROR(VLOOKUP($A2160,'[5]Study Budget Mapping '!$O$2:$P$532,2,0),"TBA")</f>
        <v>TBA</v>
      </c>
      <c r="D2160" s="2" t="s">
        <v>391</v>
      </c>
      <c r="E2160" s="2" t="s">
        <v>19</v>
      </c>
      <c r="F2160" s="3">
        <v>520000</v>
      </c>
      <c r="G2160" s="3">
        <v>40000</v>
      </c>
      <c r="H2160" s="4"/>
      <c r="I2160" s="4"/>
      <c r="J2160" s="4"/>
      <c r="K2160" s="4"/>
      <c r="L2160" s="4"/>
      <c r="M2160" s="4"/>
    </row>
    <row r="2161" spans="1:13" ht="15" customHeight="1" x14ac:dyDescent="0.35">
      <c r="A2161" t="str">
        <f t="shared" si="33"/>
        <v>P686IM13C1211</v>
      </c>
      <c r="B2161" t="str">
        <f>IFERROR(VLOOKUP($A2161,'[5]Study Budget Mapping '!$O$2:$P$532,2,0),"TBA")</f>
        <v>TBA</v>
      </c>
      <c r="D2161" s="2" t="s">
        <v>391</v>
      </c>
      <c r="E2161" s="2" t="s">
        <v>31</v>
      </c>
      <c r="F2161" s="3">
        <v>150000</v>
      </c>
      <c r="G2161" s="3">
        <v>315000</v>
      </c>
      <c r="H2161" s="4"/>
      <c r="I2161" s="4"/>
      <c r="J2161" s="4"/>
      <c r="K2161" s="4"/>
      <c r="L2161" s="4"/>
      <c r="M2161" s="4"/>
    </row>
    <row r="2162" spans="1:13" ht="15" customHeight="1" x14ac:dyDescent="0.35">
      <c r="A2162" t="str">
        <f t="shared" si="33"/>
        <v>P686IM13C1211</v>
      </c>
      <c r="B2162" t="str">
        <f>IFERROR(VLOOKUP($A2162,'[5]Study Budget Mapping '!$O$2:$P$532,2,0),"TBA")</f>
        <v>TBA</v>
      </c>
      <c r="D2162" s="2" t="s">
        <v>391</v>
      </c>
      <c r="E2162" s="2" t="s">
        <v>22</v>
      </c>
      <c r="F2162" s="3">
        <v>1650000</v>
      </c>
      <c r="G2162" s="3">
        <v>2080000</v>
      </c>
      <c r="H2162" s="4"/>
      <c r="I2162" s="4"/>
      <c r="J2162" s="4"/>
      <c r="K2162" s="4"/>
      <c r="L2162" s="4"/>
      <c r="M2162" s="4"/>
    </row>
    <row r="2163" spans="1:13" ht="15" customHeight="1" x14ac:dyDescent="0.35">
      <c r="A2163" t="str">
        <f t="shared" si="33"/>
        <v>P686IM13C1211</v>
      </c>
      <c r="B2163" t="str">
        <f>IFERROR(VLOOKUP($A2163,'[5]Study Budget Mapping '!$O$2:$P$532,2,0),"TBA")</f>
        <v>TBA</v>
      </c>
      <c r="D2163" s="2" t="s">
        <v>391</v>
      </c>
      <c r="E2163" s="2" t="s">
        <v>16</v>
      </c>
      <c r="F2163" s="3">
        <v>0</v>
      </c>
      <c r="G2163" s="3">
        <v>20000</v>
      </c>
      <c r="H2163" s="4"/>
      <c r="I2163" s="4"/>
      <c r="J2163" s="4"/>
      <c r="K2163" s="4"/>
      <c r="L2163" s="4"/>
      <c r="M2163" s="4"/>
    </row>
    <row r="2164" spans="1:13" ht="15" customHeight="1" x14ac:dyDescent="0.35">
      <c r="A2164" t="str">
        <f t="shared" si="33"/>
        <v>P686IM13C1211</v>
      </c>
      <c r="B2164" t="str">
        <f>IFERROR(VLOOKUP($A2164,'[5]Study Budget Mapping '!$O$2:$P$532,2,0),"TBA")</f>
        <v>TBA</v>
      </c>
      <c r="D2164" s="2" t="s">
        <v>391</v>
      </c>
      <c r="E2164" s="2" t="s">
        <v>17</v>
      </c>
      <c r="F2164" s="3">
        <v>300000</v>
      </c>
      <c r="G2164" s="3">
        <v>400000</v>
      </c>
      <c r="H2164" s="4"/>
      <c r="I2164" s="4"/>
      <c r="J2164" s="4"/>
      <c r="K2164" s="4"/>
      <c r="L2164" s="4"/>
      <c r="M2164" s="4"/>
    </row>
    <row r="2165" spans="1:13" ht="15" customHeight="1" x14ac:dyDescent="0.35">
      <c r="A2165" t="str">
        <f t="shared" si="33"/>
        <v>P686IM13C1211</v>
      </c>
      <c r="B2165" t="str">
        <f>IFERROR(VLOOKUP($A2165,'[5]Study Budget Mapping '!$O$2:$P$532,2,0),"TBA")</f>
        <v>TBA</v>
      </c>
      <c r="D2165" s="2" t="s">
        <v>391</v>
      </c>
      <c r="E2165" s="2" t="s">
        <v>23</v>
      </c>
      <c r="F2165" s="3">
        <v>850000</v>
      </c>
      <c r="G2165" s="3">
        <v>660000</v>
      </c>
      <c r="H2165" s="4"/>
      <c r="I2165" s="4"/>
      <c r="J2165" s="4"/>
      <c r="K2165" s="4"/>
      <c r="L2165" s="4"/>
      <c r="M2165" s="4"/>
    </row>
    <row r="2166" spans="1:13" ht="15" customHeight="1" x14ac:dyDescent="0.35">
      <c r="A2166" t="str">
        <f t="shared" si="33"/>
        <v>P686IM13C1211</v>
      </c>
      <c r="B2166" t="str">
        <f>IFERROR(VLOOKUP($A2166,'[5]Study Budget Mapping '!$O$2:$P$532,2,0),"TBA")</f>
        <v>TBA</v>
      </c>
      <c r="D2166" s="2" t="s">
        <v>391</v>
      </c>
      <c r="E2166" s="2" t="s">
        <v>24</v>
      </c>
      <c r="F2166" s="3">
        <v>325000</v>
      </c>
      <c r="G2166" s="3">
        <v>290000</v>
      </c>
      <c r="H2166" s="4"/>
      <c r="I2166" s="4"/>
      <c r="J2166" s="4"/>
      <c r="K2166" s="4"/>
      <c r="L2166" s="4"/>
      <c r="M2166" s="4"/>
    </row>
    <row r="2167" spans="1:13" ht="15" customHeight="1" x14ac:dyDescent="0.35">
      <c r="A2167" t="str">
        <f t="shared" si="33"/>
        <v>P686HE02C3732</v>
      </c>
      <c r="B2167" t="str">
        <f>IFERROR(VLOOKUP($A2167,'[5]Study Budget Mapping '!$O$2:$P$532,2,0),"TBA")</f>
        <v>TBA</v>
      </c>
      <c r="D2167" s="2" t="s">
        <v>392</v>
      </c>
      <c r="E2167" s="2" t="s">
        <v>13</v>
      </c>
      <c r="F2167" s="3">
        <v>188100000</v>
      </c>
      <c r="G2167" s="3">
        <v>188100000</v>
      </c>
      <c r="H2167" s="4"/>
      <c r="I2167" s="4"/>
      <c r="J2167" s="4"/>
      <c r="K2167" s="4"/>
      <c r="L2167" s="4"/>
      <c r="M2167" s="4"/>
    </row>
    <row r="2168" spans="1:13" ht="15" customHeight="1" x14ac:dyDescent="0.35">
      <c r="A2168" t="str">
        <f t="shared" si="33"/>
        <v>P686HE02C3732</v>
      </c>
      <c r="B2168" t="str">
        <f>IFERROR(VLOOKUP($A2168,'[5]Study Budget Mapping '!$O$2:$P$532,2,0),"TBA")</f>
        <v>TBA</v>
      </c>
      <c r="D2168" s="2" t="s">
        <v>392</v>
      </c>
      <c r="E2168" s="2" t="s">
        <v>14</v>
      </c>
      <c r="F2168" s="3">
        <v>44220000</v>
      </c>
      <c r="G2168" s="3">
        <v>44220000</v>
      </c>
      <c r="H2168" s="4"/>
      <c r="I2168" s="4"/>
      <c r="J2168" s="4"/>
      <c r="K2168" s="4"/>
      <c r="L2168" s="4"/>
      <c r="M2168" s="4"/>
    </row>
    <row r="2169" spans="1:13" ht="15" customHeight="1" x14ac:dyDescent="0.35">
      <c r="A2169" t="str">
        <f t="shared" si="33"/>
        <v>P686HE02C3732</v>
      </c>
      <c r="B2169" t="str">
        <f>IFERROR(VLOOKUP($A2169,'[5]Study Budget Mapping '!$O$2:$P$532,2,0),"TBA")</f>
        <v>TBA</v>
      </c>
      <c r="D2169" s="2" t="s">
        <v>392</v>
      </c>
      <c r="E2169" s="2" t="s">
        <v>19</v>
      </c>
      <c r="F2169" s="3">
        <v>23840000</v>
      </c>
      <c r="G2169" s="3">
        <v>23840000</v>
      </c>
      <c r="H2169" s="4"/>
      <c r="I2169" s="4"/>
      <c r="J2169" s="4"/>
      <c r="K2169" s="4"/>
      <c r="L2169" s="4"/>
      <c r="M2169" s="4"/>
    </row>
    <row r="2170" spans="1:13" ht="15" customHeight="1" x14ac:dyDescent="0.35">
      <c r="A2170" t="str">
        <f t="shared" si="33"/>
        <v>P686HE02C3732</v>
      </c>
      <c r="B2170" t="str">
        <f>IFERROR(VLOOKUP($A2170,'[5]Study Budget Mapping '!$O$2:$P$532,2,0),"TBA")</f>
        <v>TBA</v>
      </c>
      <c r="D2170" s="2" t="s">
        <v>392</v>
      </c>
      <c r="E2170" s="2" t="s">
        <v>20</v>
      </c>
      <c r="F2170" s="3">
        <v>5560000</v>
      </c>
      <c r="G2170" s="3">
        <v>5560000</v>
      </c>
      <c r="H2170" s="4"/>
      <c r="I2170" s="4"/>
      <c r="J2170" s="4"/>
      <c r="K2170" s="4"/>
      <c r="L2170" s="4"/>
      <c r="M2170" s="4"/>
    </row>
    <row r="2171" spans="1:13" ht="15" customHeight="1" x14ac:dyDescent="0.35">
      <c r="A2171" t="str">
        <f t="shared" si="33"/>
        <v>P686HE02C3732</v>
      </c>
      <c r="B2171" t="str">
        <f>IFERROR(VLOOKUP($A2171,'[5]Study Budget Mapping '!$O$2:$P$532,2,0),"TBA")</f>
        <v>TBA</v>
      </c>
      <c r="D2171" s="2" t="s">
        <v>392</v>
      </c>
      <c r="E2171" s="2" t="s">
        <v>21</v>
      </c>
      <c r="F2171" s="3">
        <v>201000000</v>
      </c>
      <c r="G2171" s="3">
        <v>201000000</v>
      </c>
      <c r="H2171" s="4"/>
      <c r="I2171" s="4"/>
      <c r="J2171" s="4"/>
      <c r="K2171" s="4"/>
      <c r="L2171" s="4"/>
      <c r="M2171" s="4"/>
    </row>
    <row r="2172" spans="1:13" ht="15" customHeight="1" x14ac:dyDescent="0.35">
      <c r="A2172" t="str">
        <f t="shared" si="33"/>
        <v>P686HE02C3732</v>
      </c>
      <c r="B2172" t="str">
        <f>IFERROR(VLOOKUP($A2172,'[5]Study Budget Mapping '!$O$2:$P$532,2,0),"TBA")</f>
        <v>TBA</v>
      </c>
      <c r="D2172" s="2" t="s">
        <v>392</v>
      </c>
      <c r="E2172" s="2" t="s">
        <v>15</v>
      </c>
      <c r="F2172" s="3">
        <v>42570000</v>
      </c>
      <c r="G2172" s="3">
        <v>42570000</v>
      </c>
      <c r="H2172" s="4"/>
      <c r="I2172" s="4"/>
      <c r="J2172" s="4"/>
      <c r="K2172" s="4"/>
      <c r="L2172" s="4"/>
      <c r="M2172" s="4"/>
    </row>
    <row r="2173" spans="1:13" ht="15" customHeight="1" x14ac:dyDescent="0.35">
      <c r="A2173" t="str">
        <f t="shared" si="33"/>
        <v>P686HE02C3732</v>
      </c>
      <c r="B2173" t="str">
        <f>IFERROR(VLOOKUP($A2173,'[5]Study Budget Mapping '!$O$2:$P$532,2,0),"TBA")</f>
        <v>TBA</v>
      </c>
      <c r="D2173" s="2" t="s">
        <v>392</v>
      </c>
      <c r="E2173" s="2" t="s">
        <v>22</v>
      </c>
      <c r="F2173" s="3">
        <v>3500000</v>
      </c>
      <c r="G2173" s="3">
        <v>3500000</v>
      </c>
      <c r="H2173" s="4"/>
      <c r="I2173" s="4"/>
      <c r="J2173" s="4"/>
      <c r="K2173" s="4"/>
      <c r="L2173" s="4"/>
      <c r="M2173" s="4"/>
    </row>
    <row r="2174" spans="1:13" ht="15" customHeight="1" x14ac:dyDescent="0.35">
      <c r="A2174" t="str">
        <f t="shared" si="33"/>
        <v>P686HE02C3732</v>
      </c>
      <c r="B2174" t="str">
        <f>IFERROR(VLOOKUP($A2174,'[5]Study Budget Mapping '!$O$2:$P$532,2,0),"TBA")</f>
        <v>TBA</v>
      </c>
      <c r="D2174" s="2" t="s">
        <v>392</v>
      </c>
      <c r="E2174" s="2" t="s">
        <v>16</v>
      </c>
      <c r="F2174" s="3">
        <v>4560000</v>
      </c>
      <c r="G2174" s="3">
        <v>4560000</v>
      </c>
      <c r="H2174" s="4"/>
      <c r="I2174" s="4"/>
      <c r="J2174" s="4"/>
      <c r="K2174" s="4"/>
      <c r="L2174" s="4"/>
      <c r="M2174" s="4"/>
    </row>
    <row r="2175" spans="1:13" ht="15" customHeight="1" x14ac:dyDescent="0.35">
      <c r="A2175" t="str">
        <f t="shared" si="33"/>
        <v>P686HE02C3732</v>
      </c>
      <c r="B2175" t="str">
        <f>IFERROR(VLOOKUP($A2175,'[5]Study Budget Mapping '!$O$2:$P$532,2,0),"TBA")</f>
        <v>TBA</v>
      </c>
      <c r="D2175" s="2" t="s">
        <v>392</v>
      </c>
      <c r="E2175" s="2" t="s">
        <v>17</v>
      </c>
      <c r="F2175" s="3">
        <v>875000</v>
      </c>
      <c r="G2175" s="3">
        <v>875000</v>
      </c>
      <c r="H2175" s="4"/>
      <c r="I2175" s="4"/>
      <c r="J2175" s="4"/>
      <c r="K2175" s="4"/>
      <c r="L2175" s="4"/>
      <c r="M2175" s="4"/>
    </row>
    <row r="2176" spans="1:13" ht="15" customHeight="1" x14ac:dyDescent="0.35">
      <c r="A2176" t="str">
        <f t="shared" si="33"/>
        <v>P686HE02C3732</v>
      </c>
      <c r="B2176" t="str">
        <f>IFERROR(VLOOKUP($A2176,'[5]Study Budget Mapping '!$O$2:$P$532,2,0),"TBA")</f>
        <v>TBA</v>
      </c>
      <c r="D2176" s="2" t="s">
        <v>392</v>
      </c>
      <c r="E2176" s="2" t="s">
        <v>23</v>
      </c>
      <c r="F2176" s="3">
        <v>2265000</v>
      </c>
      <c r="G2176" s="3">
        <v>2265000</v>
      </c>
      <c r="H2176" s="4"/>
      <c r="I2176" s="4"/>
      <c r="J2176" s="4"/>
      <c r="K2176" s="4"/>
      <c r="L2176" s="4"/>
      <c r="M2176" s="4"/>
    </row>
    <row r="2177" spans="1:13" ht="15" customHeight="1" x14ac:dyDescent="0.35">
      <c r="A2177" t="str">
        <f t="shared" si="33"/>
        <v>P686HE02C3732</v>
      </c>
      <c r="B2177" t="str">
        <f>IFERROR(VLOOKUP($A2177,'[5]Study Budget Mapping '!$O$2:$P$532,2,0),"TBA")</f>
        <v>TBA</v>
      </c>
      <c r="D2177" s="2" t="s">
        <v>392</v>
      </c>
      <c r="E2177" s="2" t="s">
        <v>24</v>
      </c>
      <c r="F2177" s="3">
        <v>22200000</v>
      </c>
      <c r="G2177" s="3">
        <v>22200000</v>
      </c>
      <c r="H2177" s="4"/>
      <c r="I2177" s="4"/>
      <c r="J2177" s="4"/>
      <c r="K2177" s="4"/>
      <c r="L2177" s="4"/>
      <c r="M2177" s="4"/>
    </row>
    <row r="2178" spans="1:13" ht="15" customHeight="1" x14ac:dyDescent="0.35">
      <c r="A2178" t="str">
        <f t="shared" si="33"/>
        <v>P686HE02C3732</v>
      </c>
      <c r="B2178" t="str">
        <f>IFERROR(VLOOKUP($A2178,'[5]Study Budget Mapping '!$O$2:$P$532,2,0),"TBA")</f>
        <v>TBA</v>
      </c>
      <c r="D2178" s="2" t="s">
        <v>392</v>
      </c>
      <c r="E2178" s="2" t="s">
        <v>32</v>
      </c>
      <c r="F2178" s="3">
        <v>110000</v>
      </c>
      <c r="G2178" s="3">
        <v>110000</v>
      </c>
      <c r="H2178" s="4"/>
      <c r="I2178" s="4"/>
      <c r="J2178" s="4"/>
      <c r="K2178" s="4"/>
      <c r="L2178" s="4"/>
      <c r="M2178" s="4"/>
    </row>
    <row r="2179" spans="1:13" ht="15" customHeight="1" x14ac:dyDescent="0.35">
      <c r="A2179" t="str">
        <f t="shared" ref="A2179:A2242" si="34">TRIM(_xlfn.TEXTBEFORE(D2179,"-",1))</f>
        <v>P686HE02C3733</v>
      </c>
      <c r="B2179" t="str">
        <f>IFERROR(VLOOKUP($A2179,'[5]Study Budget Mapping '!$O$2:$P$532,2,0),"TBA")</f>
        <v>TBA</v>
      </c>
      <c r="D2179" s="2" t="s">
        <v>393</v>
      </c>
      <c r="E2179" s="2" t="s">
        <v>15</v>
      </c>
      <c r="F2179" s="3">
        <v>15000000</v>
      </c>
      <c r="G2179" s="3">
        <v>15000000</v>
      </c>
      <c r="H2179" s="4"/>
      <c r="I2179" s="4"/>
      <c r="J2179" s="4"/>
      <c r="K2179" s="4"/>
      <c r="L2179" s="4"/>
      <c r="M2179" s="4"/>
    </row>
    <row r="2180" spans="1:13" ht="15" customHeight="1" x14ac:dyDescent="0.35">
      <c r="A2180" t="str">
        <f t="shared" si="34"/>
        <v>P686HE02C2911</v>
      </c>
      <c r="B2180" t="str">
        <f>IFERROR(VLOOKUP($A2180,'[5]Study Budget Mapping '!$O$2:$P$532,2,0),"TBA")</f>
        <v>TBA</v>
      </c>
      <c r="D2180" s="2" t="s">
        <v>394</v>
      </c>
      <c r="E2180" s="2" t="s">
        <v>15</v>
      </c>
      <c r="F2180" s="3">
        <v>6000000</v>
      </c>
      <c r="G2180" s="3">
        <v>6000000</v>
      </c>
      <c r="H2180" s="4"/>
      <c r="I2180" s="4"/>
      <c r="J2180" s="4"/>
      <c r="K2180" s="4"/>
      <c r="L2180" s="4"/>
      <c r="M2180" s="4"/>
    </row>
    <row r="2181" spans="1:13" ht="15" customHeight="1" x14ac:dyDescent="0.35">
      <c r="A2181" t="str">
        <f t="shared" si="34"/>
        <v>P686HE02C3831</v>
      </c>
      <c r="B2181" t="str">
        <f>IFERROR(VLOOKUP($A2181,'[5]Study Budget Mapping '!$O$2:$P$532,2,0),"TBA")</f>
        <v>TBA</v>
      </c>
      <c r="D2181" s="2" t="s">
        <v>395</v>
      </c>
      <c r="E2181" s="2" t="s">
        <v>15</v>
      </c>
      <c r="F2181" s="3">
        <v>15000000</v>
      </c>
      <c r="G2181" s="3">
        <v>15000000</v>
      </c>
      <c r="H2181" s="4"/>
      <c r="I2181" s="4"/>
      <c r="J2181" s="4"/>
      <c r="K2181" s="4"/>
      <c r="L2181" s="4"/>
      <c r="M2181" s="4"/>
    </row>
    <row r="2182" spans="1:13" ht="15" customHeight="1" x14ac:dyDescent="0.35">
      <c r="A2182" t="str">
        <f t="shared" si="34"/>
        <v>P686HE02C3832</v>
      </c>
      <c r="B2182" t="str">
        <f>IFERROR(VLOOKUP($A2182,'[5]Study Budget Mapping '!$O$2:$P$532,2,0),"TBA")</f>
        <v>TBA</v>
      </c>
      <c r="D2182" s="2" t="s">
        <v>396</v>
      </c>
      <c r="E2182" s="2" t="s">
        <v>15</v>
      </c>
      <c r="F2182" s="3">
        <v>15000000</v>
      </c>
      <c r="G2182" s="3">
        <v>15000000</v>
      </c>
      <c r="H2182" s="4"/>
      <c r="I2182" s="4"/>
      <c r="J2182" s="4"/>
      <c r="K2182" s="4"/>
      <c r="L2182" s="4"/>
      <c r="M2182" s="4"/>
    </row>
    <row r="2183" spans="1:13" ht="15" customHeight="1" x14ac:dyDescent="0.35">
      <c r="A2183" t="str">
        <f t="shared" si="34"/>
        <v>P687IM13C1021</v>
      </c>
      <c r="B2183" t="str">
        <f>IFERROR(VLOOKUP($A2183,'[5]Study Budget Mapping '!$O$2:$P$532,2,0),"TBA")</f>
        <v>TBA</v>
      </c>
      <c r="D2183" s="2" t="s">
        <v>397</v>
      </c>
      <c r="E2183" s="2" t="s">
        <v>13</v>
      </c>
      <c r="F2183" s="3">
        <v>2490000</v>
      </c>
      <c r="G2183" s="3">
        <v>2490000</v>
      </c>
      <c r="H2183" s="4"/>
      <c r="I2183" s="4"/>
      <c r="J2183" s="4"/>
      <c r="K2183" s="4"/>
      <c r="L2183" s="4"/>
      <c r="M2183" s="4"/>
    </row>
    <row r="2184" spans="1:13" ht="15" customHeight="1" x14ac:dyDescent="0.35">
      <c r="A2184" t="str">
        <f t="shared" si="34"/>
        <v>P687IM13C1021</v>
      </c>
      <c r="B2184" t="str">
        <f>IFERROR(VLOOKUP($A2184,'[5]Study Budget Mapping '!$O$2:$P$532,2,0),"TBA")</f>
        <v>TBA</v>
      </c>
      <c r="D2184" s="2" t="s">
        <v>397</v>
      </c>
      <c r="E2184" s="2" t="s">
        <v>14</v>
      </c>
      <c r="F2184" s="3">
        <v>1070000</v>
      </c>
      <c r="G2184" s="3">
        <v>1070000</v>
      </c>
      <c r="H2184" s="4"/>
      <c r="I2184" s="4"/>
      <c r="J2184" s="4"/>
      <c r="K2184" s="4"/>
      <c r="L2184" s="4"/>
      <c r="M2184" s="4"/>
    </row>
    <row r="2185" spans="1:13" ht="15" customHeight="1" x14ac:dyDescent="0.35">
      <c r="A2185" t="str">
        <f t="shared" si="34"/>
        <v>P687IM13C1021</v>
      </c>
      <c r="B2185" t="str">
        <f>IFERROR(VLOOKUP($A2185,'[5]Study Budget Mapping '!$O$2:$P$532,2,0),"TBA")</f>
        <v>TBA</v>
      </c>
      <c r="D2185" s="2" t="s">
        <v>397</v>
      </c>
      <c r="E2185" s="2" t="s">
        <v>19</v>
      </c>
      <c r="F2185" s="3">
        <v>600000</v>
      </c>
      <c r="G2185" s="3">
        <v>600000</v>
      </c>
      <c r="H2185" s="4"/>
      <c r="I2185" s="4"/>
      <c r="J2185" s="4"/>
      <c r="K2185" s="4"/>
      <c r="L2185" s="4"/>
      <c r="M2185" s="4"/>
    </row>
    <row r="2186" spans="1:13" ht="15" customHeight="1" x14ac:dyDescent="0.35">
      <c r="A2186" t="str">
        <f t="shared" si="34"/>
        <v>P687IM13C1021</v>
      </c>
      <c r="B2186" t="str">
        <f>IFERROR(VLOOKUP($A2186,'[5]Study Budget Mapping '!$O$2:$P$532,2,0),"TBA")</f>
        <v>TBA</v>
      </c>
      <c r="D2186" s="2" t="s">
        <v>397</v>
      </c>
      <c r="E2186" s="2" t="s">
        <v>31</v>
      </c>
      <c r="F2186" s="3">
        <v>70000</v>
      </c>
      <c r="G2186" s="3">
        <v>70000</v>
      </c>
      <c r="H2186" s="4"/>
      <c r="I2186" s="4"/>
      <c r="J2186" s="4"/>
      <c r="K2186" s="4"/>
      <c r="L2186" s="4"/>
      <c r="M2186" s="4"/>
    </row>
    <row r="2187" spans="1:13" ht="15" customHeight="1" x14ac:dyDescent="0.35">
      <c r="A2187" t="str">
        <f t="shared" si="34"/>
        <v>P687IM13C1021</v>
      </c>
      <c r="B2187" t="str">
        <f>IFERROR(VLOOKUP($A2187,'[5]Study Budget Mapping '!$O$2:$P$532,2,0),"TBA")</f>
        <v>TBA</v>
      </c>
      <c r="D2187" s="2" t="s">
        <v>397</v>
      </c>
      <c r="E2187" s="2" t="s">
        <v>15</v>
      </c>
      <c r="F2187" s="3">
        <v>440000</v>
      </c>
      <c r="G2187" s="3">
        <v>440000</v>
      </c>
      <c r="H2187" s="4"/>
      <c r="I2187" s="4"/>
      <c r="J2187" s="4"/>
      <c r="K2187" s="4"/>
      <c r="L2187" s="4"/>
      <c r="M2187" s="4"/>
    </row>
    <row r="2188" spans="1:13" ht="15" customHeight="1" x14ac:dyDescent="0.35">
      <c r="A2188" t="str">
        <f t="shared" si="34"/>
        <v>P687IM13C1021</v>
      </c>
      <c r="B2188" t="str">
        <f>IFERROR(VLOOKUP($A2188,'[5]Study Budget Mapping '!$O$2:$P$532,2,0),"TBA")</f>
        <v>TBA</v>
      </c>
      <c r="D2188" s="2" t="s">
        <v>397</v>
      </c>
      <c r="E2188" s="2" t="s">
        <v>16</v>
      </c>
      <c r="F2188" s="3">
        <v>220000</v>
      </c>
      <c r="G2188" s="3">
        <v>220000</v>
      </c>
      <c r="H2188" s="4"/>
      <c r="I2188" s="4"/>
      <c r="J2188" s="4"/>
      <c r="K2188" s="4"/>
      <c r="L2188" s="4"/>
      <c r="M2188" s="4"/>
    </row>
    <row r="2189" spans="1:13" ht="15" customHeight="1" x14ac:dyDescent="0.35">
      <c r="A2189" t="str">
        <f t="shared" si="34"/>
        <v>P687IM13C1021</v>
      </c>
      <c r="B2189" t="str">
        <f>IFERROR(VLOOKUP($A2189,'[5]Study Budget Mapping '!$O$2:$P$532,2,0),"TBA")</f>
        <v>TBA</v>
      </c>
      <c r="D2189" s="2" t="s">
        <v>397</v>
      </c>
      <c r="E2189" s="2" t="s">
        <v>17</v>
      </c>
      <c r="F2189" s="3">
        <v>110000</v>
      </c>
      <c r="G2189" s="3">
        <v>110000</v>
      </c>
      <c r="H2189" s="4"/>
      <c r="I2189" s="4"/>
      <c r="J2189" s="4"/>
      <c r="K2189" s="4"/>
      <c r="L2189" s="4"/>
      <c r="M2189" s="4"/>
    </row>
    <row r="2190" spans="1:13" ht="15" customHeight="1" x14ac:dyDescent="0.35">
      <c r="A2190" t="str">
        <f t="shared" si="34"/>
        <v>P687IM13C1021</v>
      </c>
      <c r="B2190" t="str">
        <f>IFERROR(VLOOKUP($A2190,'[5]Study Budget Mapping '!$O$2:$P$532,2,0),"TBA")</f>
        <v>TBA</v>
      </c>
      <c r="D2190" s="2" t="s">
        <v>397</v>
      </c>
      <c r="E2190" s="2" t="s">
        <v>23</v>
      </c>
      <c r="F2190" s="3">
        <v>340000</v>
      </c>
      <c r="G2190" s="3">
        <v>340000</v>
      </c>
      <c r="H2190" s="4"/>
      <c r="I2190" s="4"/>
      <c r="J2190" s="4"/>
      <c r="K2190" s="4"/>
      <c r="L2190" s="4"/>
      <c r="M2190" s="4"/>
    </row>
    <row r="2191" spans="1:13" ht="15" customHeight="1" x14ac:dyDescent="0.35">
      <c r="A2191" t="str">
        <f t="shared" si="34"/>
        <v>P687IM13C1021</v>
      </c>
      <c r="B2191" t="str">
        <f>IFERROR(VLOOKUP($A2191,'[5]Study Budget Mapping '!$O$2:$P$532,2,0),"TBA")</f>
        <v>TBA</v>
      </c>
      <c r="D2191" s="2" t="s">
        <v>397</v>
      </c>
      <c r="E2191" s="2" t="s">
        <v>24</v>
      </c>
      <c r="F2191" s="3">
        <v>60000</v>
      </c>
      <c r="G2191" s="3">
        <v>60000</v>
      </c>
      <c r="H2191" s="4"/>
      <c r="I2191" s="4"/>
      <c r="J2191" s="4"/>
      <c r="K2191" s="4"/>
      <c r="L2191" s="4"/>
      <c r="M2191" s="4"/>
    </row>
    <row r="2192" spans="1:13" ht="15" customHeight="1" x14ac:dyDescent="0.35">
      <c r="A2192" t="str">
        <f t="shared" si="34"/>
        <v>P687IM13C2521</v>
      </c>
      <c r="B2192" t="str">
        <f>IFERROR(VLOOKUP($A2192,'[5]Study Budget Mapping '!$O$2:$P$532,2,0),"TBA")</f>
        <v>TBA</v>
      </c>
      <c r="D2192" s="2" t="s">
        <v>398</v>
      </c>
      <c r="E2192" s="2" t="s">
        <v>13</v>
      </c>
      <c r="F2192" s="3">
        <v>4795359</v>
      </c>
      <c r="G2192" s="3">
        <v>4800000</v>
      </c>
      <c r="H2192" s="4"/>
      <c r="I2192" s="4"/>
      <c r="J2192" s="4"/>
      <c r="K2192" s="4"/>
      <c r="L2192" s="4"/>
      <c r="M2192" s="4"/>
    </row>
    <row r="2193" spans="1:13" ht="15" customHeight="1" x14ac:dyDescent="0.35">
      <c r="A2193" t="str">
        <f t="shared" si="34"/>
        <v>P687IM13C2521</v>
      </c>
      <c r="B2193" t="str">
        <f>IFERROR(VLOOKUP($A2193,'[5]Study Budget Mapping '!$O$2:$P$532,2,0),"TBA")</f>
        <v>TBA</v>
      </c>
      <c r="D2193" s="2" t="s">
        <v>398</v>
      </c>
      <c r="E2193" s="2" t="s">
        <v>14</v>
      </c>
      <c r="F2193" s="3">
        <v>1170000</v>
      </c>
      <c r="G2193" s="3">
        <v>1480000</v>
      </c>
      <c r="H2193" s="4"/>
      <c r="I2193" s="4"/>
      <c r="J2193" s="4"/>
      <c r="K2193" s="4"/>
      <c r="L2193" s="4"/>
      <c r="M2193" s="4"/>
    </row>
    <row r="2194" spans="1:13" ht="15" customHeight="1" x14ac:dyDescent="0.35">
      <c r="A2194" t="str">
        <f t="shared" si="34"/>
        <v>P687IM13C2521</v>
      </c>
      <c r="B2194" t="str">
        <f>IFERROR(VLOOKUP($A2194,'[5]Study Budget Mapping '!$O$2:$P$532,2,0),"TBA")</f>
        <v>TBA</v>
      </c>
      <c r="D2194" s="2" t="s">
        <v>398</v>
      </c>
      <c r="E2194" s="2" t="s">
        <v>19</v>
      </c>
      <c r="F2194" s="3">
        <v>3057000</v>
      </c>
      <c r="G2194" s="3">
        <v>2997000</v>
      </c>
      <c r="H2194" s="4"/>
      <c r="I2194" s="4"/>
      <c r="J2194" s="4"/>
      <c r="K2194" s="4"/>
      <c r="L2194" s="4"/>
      <c r="M2194" s="4"/>
    </row>
    <row r="2195" spans="1:13" ht="15" customHeight="1" x14ac:dyDescent="0.35">
      <c r="A2195" t="str">
        <f t="shared" si="34"/>
        <v>P687IM13C2521</v>
      </c>
      <c r="B2195" t="str">
        <f>IFERROR(VLOOKUP($A2195,'[5]Study Budget Mapping '!$O$2:$P$532,2,0),"TBA")</f>
        <v>TBA</v>
      </c>
      <c r="D2195" s="2" t="s">
        <v>398</v>
      </c>
      <c r="E2195" s="2" t="s">
        <v>15</v>
      </c>
      <c r="F2195" s="3">
        <v>4660000</v>
      </c>
      <c r="G2195" s="3">
        <v>5150000</v>
      </c>
      <c r="H2195" s="4"/>
      <c r="I2195" s="4"/>
      <c r="J2195" s="4"/>
      <c r="K2195" s="4"/>
      <c r="L2195" s="4"/>
      <c r="M2195" s="4"/>
    </row>
    <row r="2196" spans="1:13" ht="15" customHeight="1" x14ac:dyDescent="0.35">
      <c r="A2196" t="str">
        <f t="shared" si="34"/>
        <v>P687IM13C2521</v>
      </c>
      <c r="B2196" t="str">
        <f>IFERROR(VLOOKUP($A2196,'[5]Study Budget Mapping '!$O$2:$P$532,2,0),"TBA")</f>
        <v>TBA</v>
      </c>
      <c r="D2196" s="2" t="s">
        <v>398</v>
      </c>
      <c r="E2196" s="2" t="s">
        <v>16</v>
      </c>
      <c r="F2196" s="3">
        <v>590000</v>
      </c>
      <c r="G2196" s="3">
        <v>0</v>
      </c>
      <c r="H2196" s="4"/>
      <c r="I2196" s="4"/>
      <c r="J2196" s="4"/>
      <c r="K2196" s="4"/>
      <c r="L2196" s="4"/>
      <c r="M2196" s="4"/>
    </row>
    <row r="2197" spans="1:13" ht="15" customHeight="1" x14ac:dyDescent="0.35">
      <c r="A2197" t="str">
        <f t="shared" si="34"/>
        <v>P687IM13C2521</v>
      </c>
      <c r="B2197" t="str">
        <f>IFERROR(VLOOKUP($A2197,'[5]Study Budget Mapping '!$O$2:$P$532,2,0),"TBA")</f>
        <v>TBA</v>
      </c>
      <c r="D2197" s="2" t="s">
        <v>398</v>
      </c>
      <c r="E2197" s="2" t="s">
        <v>17</v>
      </c>
      <c r="F2197" s="3">
        <v>230000</v>
      </c>
      <c r="G2197" s="3">
        <v>230000</v>
      </c>
      <c r="H2197" s="4"/>
      <c r="I2197" s="4"/>
      <c r="J2197" s="4"/>
      <c r="K2197" s="4"/>
      <c r="L2197" s="4"/>
      <c r="M2197" s="4"/>
    </row>
    <row r="2198" spans="1:13" ht="15" customHeight="1" x14ac:dyDescent="0.35">
      <c r="A2198" t="str">
        <f t="shared" si="34"/>
        <v>P687IM13C2521</v>
      </c>
      <c r="B2198" t="str">
        <f>IFERROR(VLOOKUP($A2198,'[5]Study Budget Mapping '!$O$2:$P$532,2,0),"TBA")</f>
        <v>TBA</v>
      </c>
      <c r="D2198" s="2" t="s">
        <v>398</v>
      </c>
      <c r="E2198" s="2" t="s">
        <v>23</v>
      </c>
      <c r="F2198" s="3">
        <v>410000</v>
      </c>
      <c r="G2198" s="3">
        <v>480000</v>
      </c>
      <c r="H2198" s="4"/>
      <c r="I2198" s="4"/>
      <c r="J2198" s="4"/>
      <c r="K2198" s="4"/>
      <c r="L2198" s="4"/>
      <c r="M2198" s="4"/>
    </row>
    <row r="2199" spans="1:13" ht="15" customHeight="1" x14ac:dyDescent="0.35">
      <c r="A2199" t="str">
        <f t="shared" si="34"/>
        <v>P687IM13C2521</v>
      </c>
      <c r="B2199" t="str">
        <f>IFERROR(VLOOKUP($A2199,'[5]Study Budget Mapping '!$O$2:$P$532,2,0),"TBA")</f>
        <v>TBA</v>
      </c>
      <c r="D2199" s="2" t="s">
        <v>398</v>
      </c>
      <c r="E2199" s="2" t="s">
        <v>24</v>
      </c>
      <c r="F2199" s="3">
        <v>380000</v>
      </c>
      <c r="G2199" s="3">
        <v>570000</v>
      </c>
      <c r="H2199" s="4"/>
      <c r="I2199" s="4"/>
      <c r="J2199" s="4"/>
      <c r="K2199" s="4"/>
      <c r="L2199" s="4"/>
      <c r="M2199" s="4"/>
    </row>
    <row r="2200" spans="1:13" ht="15" customHeight="1" x14ac:dyDescent="0.35">
      <c r="A2200" t="str">
        <f t="shared" si="34"/>
        <v>P687IM13C6021</v>
      </c>
      <c r="B2200" t="str">
        <f>IFERROR(VLOOKUP($A2200,'[5]Study Budget Mapping '!$O$2:$P$532,2,0),"TBA")</f>
        <v>TBA</v>
      </c>
      <c r="D2200" s="2" t="s">
        <v>399</v>
      </c>
      <c r="E2200" s="2" t="s">
        <v>13</v>
      </c>
      <c r="F2200" s="3">
        <v>1300000</v>
      </c>
      <c r="G2200" s="3">
        <v>1300000</v>
      </c>
      <c r="H2200" s="4"/>
      <c r="I2200" s="4"/>
      <c r="J2200" s="4"/>
      <c r="K2200" s="4"/>
      <c r="L2200" s="4"/>
      <c r="M2200" s="4"/>
    </row>
    <row r="2201" spans="1:13" ht="15" customHeight="1" x14ac:dyDescent="0.35">
      <c r="A2201" t="str">
        <f t="shared" si="34"/>
        <v>P687IM13C6021</v>
      </c>
      <c r="B2201" t="str">
        <f>IFERROR(VLOOKUP($A2201,'[5]Study Budget Mapping '!$O$2:$P$532,2,0),"TBA")</f>
        <v>TBA</v>
      </c>
      <c r="D2201" s="2" t="s">
        <v>399</v>
      </c>
      <c r="E2201" s="2" t="s">
        <v>14</v>
      </c>
      <c r="F2201" s="3">
        <v>100000</v>
      </c>
      <c r="G2201" s="3">
        <v>100000</v>
      </c>
      <c r="H2201" s="4"/>
      <c r="I2201" s="4"/>
      <c r="J2201" s="4"/>
      <c r="K2201" s="4"/>
      <c r="L2201" s="4"/>
      <c r="M2201" s="4"/>
    </row>
    <row r="2202" spans="1:13" ht="15" customHeight="1" x14ac:dyDescent="0.35">
      <c r="A2202" t="str">
        <f t="shared" si="34"/>
        <v>P687IM13C6021</v>
      </c>
      <c r="B2202" t="str">
        <f>IFERROR(VLOOKUP($A2202,'[5]Study Budget Mapping '!$O$2:$P$532,2,0),"TBA")</f>
        <v>TBA</v>
      </c>
      <c r="D2202" s="2" t="s">
        <v>399</v>
      </c>
      <c r="E2202" s="2" t="s">
        <v>19</v>
      </c>
      <c r="F2202" s="3">
        <v>410000</v>
      </c>
      <c r="G2202" s="3">
        <v>410000</v>
      </c>
      <c r="H2202" s="4"/>
      <c r="I2202" s="4"/>
      <c r="J2202" s="4"/>
      <c r="K2202" s="4"/>
      <c r="L2202" s="4"/>
      <c r="M2202" s="4"/>
    </row>
    <row r="2203" spans="1:13" ht="15" customHeight="1" x14ac:dyDescent="0.35">
      <c r="A2203" t="str">
        <f t="shared" si="34"/>
        <v>P687IM13C2621</v>
      </c>
      <c r="B2203" t="str">
        <f>IFERROR(VLOOKUP($A2203,'[5]Study Budget Mapping '!$O$2:$P$532,2,0),"TBA")</f>
        <v>TBA</v>
      </c>
      <c r="D2203" s="2" t="s">
        <v>400</v>
      </c>
      <c r="E2203" s="2" t="s">
        <v>13</v>
      </c>
      <c r="F2203" s="3">
        <v>9050000</v>
      </c>
      <c r="G2203" s="3">
        <v>10691000</v>
      </c>
      <c r="H2203" s="4"/>
      <c r="I2203" s="4"/>
      <c r="J2203" s="4"/>
      <c r="K2203" s="4"/>
      <c r="L2203" s="4"/>
      <c r="M2203" s="4"/>
    </row>
    <row r="2204" spans="1:13" ht="15" customHeight="1" x14ac:dyDescent="0.35">
      <c r="A2204" t="str">
        <f t="shared" si="34"/>
        <v>P687IM13C2621</v>
      </c>
      <c r="B2204" t="str">
        <f>IFERROR(VLOOKUP($A2204,'[5]Study Budget Mapping '!$O$2:$P$532,2,0),"TBA")</f>
        <v>TBA</v>
      </c>
      <c r="D2204" s="2" t="s">
        <v>400</v>
      </c>
      <c r="E2204" s="2" t="s">
        <v>14</v>
      </c>
      <c r="F2204" s="3">
        <v>1350000</v>
      </c>
      <c r="G2204" s="3">
        <v>2340000</v>
      </c>
      <c r="H2204" s="4"/>
      <c r="I2204" s="4"/>
      <c r="J2204" s="4"/>
      <c r="K2204" s="4"/>
      <c r="L2204" s="4"/>
      <c r="M2204" s="4"/>
    </row>
    <row r="2205" spans="1:13" ht="15" customHeight="1" x14ac:dyDescent="0.35">
      <c r="A2205" t="str">
        <f t="shared" si="34"/>
        <v>P687IM13C2621</v>
      </c>
      <c r="B2205" t="str">
        <f>IFERROR(VLOOKUP($A2205,'[5]Study Budget Mapping '!$O$2:$P$532,2,0),"TBA")</f>
        <v>TBA</v>
      </c>
      <c r="D2205" s="2" t="s">
        <v>400</v>
      </c>
      <c r="E2205" s="2" t="s">
        <v>19</v>
      </c>
      <c r="F2205" s="3">
        <v>2890000</v>
      </c>
      <c r="G2205" s="3">
        <v>2390000</v>
      </c>
      <c r="H2205" s="4"/>
      <c r="I2205" s="4"/>
      <c r="J2205" s="4"/>
      <c r="K2205" s="4"/>
      <c r="L2205" s="4"/>
      <c r="M2205" s="4"/>
    </row>
    <row r="2206" spans="1:13" ht="15" customHeight="1" x14ac:dyDescent="0.35">
      <c r="A2206" t="str">
        <f t="shared" si="34"/>
        <v>P687IM13C2621</v>
      </c>
      <c r="B2206" t="str">
        <f>IFERROR(VLOOKUP($A2206,'[5]Study Budget Mapping '!$O$2:$P$532,2,0),"TBA")</f>
        <v>TBA</v>
      </c>
      <c r="D2206" s="2" t="s">
        <v>400</v>
      </c>
      <c r="E2206" s="2" t="s">
        <v>15</v>
      </c>
      <c r="F2206" s="3">
        <v>1400000</v>
      </c>
      <c r="G2206" s="3">
        <v>2040000</v>
      </c>
      <c r="H2206" s="4"/>
      <c r="I2206" s="4"/>
      <c r="J2206" s="4"/>
      <c r="K2206" s="4"/>
      <c r="L2206" s="4"/>
      <c r="M2206" s="4"/>
    </row>
    <row r="2207" spans="1:13" ht="15" customHeight="1" x14ac:dyDescent="0.35">
      <c r="A2207" t="str">
        <f t="shared" si="34"/>
        <v>P687IM13C2621</v>
      </c>
      <c r="B2207" t="str">
        <f>IFERROR(VLOOKUP($A2207,'[5]Study Budget Mapping '!$O$2:$P$532,2,0),"TBA")</f>
        <v>TBA</v>
      </c>
      <c r="D2207" s="2" t="s">
        <v>400</v>
      </c>
      <c r="E2207" s="2" t="s">
        <v>22</v>
      </c>
      <c r="F2207" s="3">
        <v>750000</v>
      </c>
      <c r="G2207" s="3">
        <v>780000</v>
      </c>
      <c r="H2207" s="4"/>
      <c r="I2207" s="4"/>
      <c r="J2207" s="4"/>
      <c r="K2207" s="4"/>
      <c r="L2207" s="4"/>
      <c r="M2207" s="4"/>
    </row>
    <row r="2208" spans="1:13" ht="15" customHeight="1" x14ac:dyDescent="0.35">
      <c r="A2208" t="str">
        <f t="shared" si="34"/>
        <v>P687IM13C2621</v>
      </c>
      <c r="B2208" t="str">
        <f>IFERROR(VLOOKUP($A2208,'[5]Study Budget Mapping '!$O$2:$P$532,2,0),"TBA")</f>
        <v>TBA</v>
      </c>
      <c r="D2208" s="2" t="s">
        <v>400</v>
      </c>
      <c r="E2208" s="2" t="s">
        <v>17</v>
      </c>
      <c r="F2208" s="3">
        <v>300000</v>
      </c>
      <c r="G2208" s="3">
        <v>310000</v>
      </c>
      <c r="H2208" s="4"/>
      <c r="I2208" s="4"/>
      <c r="J2208" s="4"/>
      <c r="K2208" s="4"/>
      <c r="L2208" s="4"/>
      <c r="M2208" s="4"/>
    </row>
    <row r="2209" spans="1:13" ht="15" customHeight="1" x14ac:dyDescent="0.35">
      <c r="A2209" t="str">
        <f t="shared" si="34"/>
        <v>P687IM13C2621</v>
      </c>
      <c r="B2209" t="str">
        <f>IFERROR(VLOOKUP($A2209,'[5]Study Budget Mapping '!$O$2:$P$532,2,0),"TBA")</f>
        <v>TBA</v>
      </c>
      <c r="D2209" s="2" t="s">
        <v>400</v>
      </c>
      <c r="E2209" s="2" t="s">
        <v>23</v>
      </c>
      <c r="F2209" s="3">
        <v>0</v>
      </c>
      <c r="G2209" s="3">
        <v>72000</v>
      </c>
      <c r="H2209" s="4"/>
      <c r="I2209" s="4"/>
      <c r="J2209" s="4"/>
      <c r="K2209" s="4"/>
      <c r="L2209" s="4"/>
      <c r="M2209" s="4"/>
    </row>
    <row r="2210" spans="1:13" ht="15" customHeight="1" x14ac:dyDescent="0.35">
      <c r="A2210" t="str">
        <f t="shared" si="34"/>
        <v>P687IM13C2621</v>
      </c>
      <c r="B2210" t="str">
        <f>IFERROR(VLOOKUP($A2210,'[5]Study Budget Mapping '!$O$2:$P$532,2,0),"TBA")</f>
        <v>TBA</v>
      </c>
      <c r="D2210" s="2" t="s">
        <v>400</v>
      </c>
      <c r="E2210" s="2" t="s">
        <v>24</v>
      </c>
      <c r="F2210" s="3">
        <v>50000</v>
      </c>
      <c r="G2210" s="3">
        <v>390000</v>
      </c>
      <c r="H2210" s="4"/>
      <c r="I2210" s="4"/>
      <c r="J2210" s="4"/>
      <c r="K2210" s="4"/>
      <c r="L2210" s="4"/>
      <c r="M2210" s="4"/>
    </row>
    <row r="2211" spans="1:13" ht="15" customHeight="1" x14ac:dyDescent="0.35">
      <c r="A2211" t="str">
        <f t="shared" si="34"/>
        <v>P687IM13C3721</v>
      </c>
      <c r="B2211" t="str">
        <f>IFERROR(VLOOKUP($A2211,'[5]Study Budget Mapping '!$O$2:$P$532,2,0),"TBA")</f>
        <v>TBA</v>
      </c>
      <c r="D2211" s="2" t="s">
        <v>401</v>
      </c>
      <c r="E2211" s="2" t="s">
        <v>13</v>
      </c>
      <c r="F2211" s="3">
        <v>2360000</v>
      </c>
      <c r="G2211" s="3">
        <v>2360000</v>
      </c>
      <c r="H2211" s="4"/>
      <c r="I2211" s="4"/>
      <c r="J2211" s="4"/>
      <c r="K2211" s="4"/>
      <c r="L2211" s="4"/>
      <c r="M2211" s="4"/>
    </row>
    <row r="2212" spans="1:13" ht="15" customHeight="1" x14ac:dyDescent="0.35">
      <c r="A2212" t="str">
        <f t="shared" si="34"/>
        <v>P687IM13C3721</v>
      </c>
      <c r="B2212" t="str">
        <f>IFERROR(VLOOKUP($A2212,'[5]Study Budget Mapping '!$O$2:$P$532,2,0),"TBA")</f>
        <v>TBA</v>
      </c>
      <c r="D2212" s="2" t="s">
        <v>401</v>
      </c>
      <c r="E2212" s="2" t="s">
        <v>14</v>
      </c>
      <c r="F2212" s="3">
        <v>400000</v>
      </c>
      <c r="G2212" s="3">
        <v>400000</v>
      </c>
      <c r="H2212" s="4"/>
      <c r="I2212" s="4"/>
      <c r="J2212" s="4"/>
      <c r="K2212" s="4"/>
      <c r="L2212" s="4"/>
      <c r="M2212" s="4"/>
    </row>
    <row r="2213" spans="1:13" ht="15" customHeight="1" x14ac:dyDescent="0.35">
      <c r="A2213" t="str">
        <f t="shared" si="34"/>
        <v>P687IM13C3721</v>
      </c>
      <c r="B2213" t="str">
        <f>IFERROR(VLOOKUP($A2213,'[5]Study Budget Mapping '!$O$2:$P$532,2,0),"TBA")</f>
        <v>TBA</v>
      </c>
      <c r="D2213" s="2" t="s">
        <v>401</v>
      </c>
      <c r="E2213" s="2" t="s">
        <v>19</v>
      </c>
      <c r="F2213" s="3">
        <v>2845000</v>
      </c>
      <c r="G2213" s="3">
        <v>2845000</v>
      </c>
      <c r="H2213" s="4"/>
      <c r="I2213" s="4"/>
      <c r="J2213" s="4"/>
      <c r="K2213" s="4"/>
      <c r="L2213" s="4"/>
      <c r="M2213" s="4"/>
    </row>
    <row r="2214" spans="1:13" ht="15" customHeight="1" x14ac:dyDescent="0.35">
      <c r="A2214" t="str">
        <f t="shared" si="34"/>
        <v>P687IM13C3721</v>
      </c>
      <c r="B2214" t="str">
        <f>IFERROR(VLOOKUP($A2214,'[5]Study Budget Mapping '!$O$2:$P$532,2,0),"TBA")</f>
        <v>TBA</v>
      </c>
      <c r="D2214" s="2" t="s">
        <v>401</v>
      </c>
      <c r="E2214" s="2" t="s">
        <v>15</v>
      </c>
      <c r="F2214" s="3">
        <v>1370000</v>
      </c>
      <c r="G2214" s="3">
        <v>1370000</v>
      </c>
      <c r="H2214" s="4"/>
      <c r="I2214" s="4"/>
      <c r="J2214" s="4"/>
      <c r="K2214" s="4"/>
      <c r="L2214" s="4"/>
      <c r="M2214" s="4"/>
    </row>
    <row r="2215" spans="1:13" ht="15" customHeight="1" x14ac:dyDescent="0.35">
      <c r="A2215" t="str">
        <f t="shared" si="34"/>
        <v>P687IM13C3721</v>
      </c>
      <c r="B2215" t="str">
        <f>IFERROR(VLOOKUP($A2215,'[5]Study Budget Mapping '!$O$2:$P$532,2,0),"TBA")</f>
        <v>TBA</v>
      </c>
      <c r="D2215" s="2" t="s">
        <v>401</v>
      </c>
      <c r="E2215" s="2" t="s">
        <v>22</v>
      </c>
      <c r="F2215" s="3">
        <v>1020000</v>
      </c>
      <c r="G2215" s="3">
        <v>1020000</v>
      </c>
      <c r="H2215" s="4"/>
      <c r="I2215" s="4"/>
      <c r="J2215" s="4"/>
      <c r="K2215" s="4"/>
      <c r="L2215" s="4"/>
      <c r="M2215" s="4"/>
    </row>
    <row r="2216" spans="1:13" ht="15" customHeight="1" x14ac:dyDescent="0.35">
      <c r="A2216" t="str">
        <f t="shared" si="34"/>
        <v>P687IM13C3721</v>
      </c>
      <c r="B2216" t="str">
        <f>IFERROR(VLOOKUP($A2216,'[5]Study Budget Mapping '!$O$2:$P$532,2,0),"TBA")</f>
        <v>TBA</v>
      </c>
      <c r="D2216" s="2" t="s">
        <v>401</v>
      </c>
      <c r="E2216" s="2" t="s">
        <v>16</v>
      </c>
      <c r="F2216" s="3">
        <v>300000</v>
      </c>
      <c r="G2216" s="3">
        <v>300000</v>
      </c>
      <c r="H2216" s="4"/>
      <c r="I2216" s="4"/>
      <c r="J2216" s="4"/>
      <c r="K2216" s="4"/>
      <c r="L2216" s="4"/>
      <c r="M2216" s="4"/>
    </row>
    <row r="2217" spans="1:13" ht="15" customHeight="1" x14ac:dyDescent="0.35">
      <c r="A2217" t="str">
        <f t="shared" si="34"/>
        <v>P687IM13C3721</v>
      </c>
      <c r="B2217" t="str">
        <f>IFERROR(VLOOKUP($A2217,'[5]Study Budget Mapping '!$O$2:$P$532,2,0),"TBA")</f>
        <v>TBA</v>
      </c>
      <c r="D2217" s="2" t="s">
        <v>401</v>
      </c>
      <c r="E2217" s="2" t="s">
        <v>17</v>
      </c>
      <c r="F2217" s="3">
        <v>250000</v>
      </c>
      <c r="G2217" s="3">
        <v>250000</v>
      </c>
      <c r="H2217" s="4"/>
      <c r="I2217" s="4"/>
      <c r="J2217" s="4"/>
      <c r="K2217" s="4"/>
      <c r="L2217" s="4"/>
      <c r="M2217" s="4"/>
    </row>
    <row r="2218" spans="1:13" ht="15" customHeight="1" x14ac:dyDescent="0.35">
      <c r="A2218" t="str">
        <f t="shared" si="34"/>
        <v>P687IM13C3721</v>
      </c>
      <c r="B2218" t="str">
        <f>IFERROR(VLOOKUP($A2218,'[5]Study Budget Mapping '!$O$2:$P$532,2,0),"TBA")</f>
        <v>TBA</v>
      </c>
      <c r="D2218" s="2" t="s">
        <v>401</v>
      </c>
      <c r="E2218" s="2" t="s">
        <v>23</v>
      </c>
      <c r="F2218" s="3">
        <v>170000</v>
      </c>
      <c r="G2218" s="3">
        <v>170000</v>
      </c>
      <c r="H2218" s="4"/>
      <c r="I2218" s="4"/>
      <c r="J2218" s="4"/>
      <c r="K2218" s="4"/>
      <c r="L2218" s="4"/>
      <c r="M2218" s="4"/>
    </row>
    <row r="2219" spans="1:13" ht="15" customHeight="1" x14ac:dyDescent="0.35">
      <c r="A2219" t="str">
        <f t="shared" si="34"/>
        <v>P687IM13C3721</v>
      </c>
      <c r="B2219" t="str">
        <f>IFERROR(VLOOKUP($A2219,'[5]Study Budget Mapping '!$O$2:$P$532,2,0),"TBA")</f>
        <v>TBA</v>
      </c>
      <c r="D2219" s="2" t="s">
        <v>401</v>
      </c>
      <c r="E2219" s="2" t="s">
        <v>24</v>
      </c>
      <c r="F2219" s="3">
        <v>120000</v>
      </c>
      <c r="G2219" s="3">
        <v>120000</v>
      </c>
      <c r="H2219" s="4"/>
      <c r="I2219" s="4"/>
      <c r="J2219" s="4"/>
      <c r="K2219" s="4"/>
      <c r="L2219" s="4"/>
      <c r="M2219" s="4"/>
    </row>
    <row r="2220" spans="1:13" ht="15" customHeight="1" x14ac:dyDescent="0.35">
      <c r="A2220" t="str">
        <f t="shared" si="34"/>
        <v>P687IM13C3722</v>
      </c>
      <c r="B2220" t="str">
        <f>IFERROR(VLOOKUP($A2220,'[5]Study Budget Mapping '!$O$2:$P$532,2,0),"TBA")</f>
        <v>TBA</v>
      </c>
      <c r="D2220" s="2" t="s">
        <v>402</v>
      </c>
      <c r="E2220" s="2" t="s">
        <v>13</v>
      </c>
      <c r="F2220" s="3">
        <v>21200000</v>
      </c>
      <c r="G2220" s="3">
        <v>21200000</v>
      </c>
      <c r="H2220" s="4"/>
      <c r="I2220" s="4"/>
      <c r="J2220" s="4"/>
      <c r="K2220" s="4"/>
      <c r="L2220" s="4"/>
      <c r="M2220" s="4"/>
    </row>
    <row r="2221" spans="1:13" ht="15" customHeight="1" x14ac:dyDescent="0.35">
      <c r="A2221" t="str">
        <f t="shared" si="34"/>
        <v>P687IM13C3722</v>
      </c>
      <c r="B2221" t="str">
        <f>IFERROR(VLOOKUP($A2221,'[5]Study Budget Mapping '!$O$2:$P$532,2,0),"TBA")</f>
        <v>TBA</v>
      </c>
      <c r="D2221" s="2" t="s">
        <v>402</v>
      </c>
      <c r="E2221" s="2" t="s">
        <v>14</v>
      </c>
      <c r="F2221" s="3">
        <v>1485000</v>
      </c>
      <c r="G2221" s="3">
        <v>1485000</v>
      </c>
      <c r="H2221" s="4"/>
      <c r="I2221" s="4"/>
      <c r="J2221" s="4"/>
      <c r="K2221" s="4"/>
      <c r="L2221" s="4"/>
      <c r="M2221" s="4"/>
    </row>
    <row r="2222" spans="1:13" ht="15" customHeight="1" x14ac:dyDescent="0.35">
      <c r="A2222" t="str">
        <f t="shared" si="34"/>
        <v>P687IM13C3722</v>
      </c>
      <c r="B2222" t="str">
        <f>IFERROR(VLOOKUP($A2222,'[5]Study Budget Mapping '!$O$2:$P$532,2,0),"TBA")</f>
        <v>TBA</v>
      </c>
      <c r="D2222" s="2" t="s">
        <v>402</v>
      </c>
      <c r="E2222" s="2" t="s">
        <v>19</v>
      </c>
      <c r="F2222" s="3">
        <v>9255000</v>
      </c>
      <c r="G2222" s="3">
        <v>9255000</v>
      </c>
      <c r="H2222" s="4"/>
      <c r="I2222" s="4"/>
      <c r="J2222" s="4"/>
      <c r="K2222" s="4"/>
      <c r="L2222" s="4"/>
      <c r="M2222" s="4"/>
    </row>
    <row r="2223" spans="1:13" ht="15" customHeight="1" x14ac:dyDescent="0.35">
      <c r="A2223" t="str">
        <f t="shared" si="34"/>
        <v>P687IM13C3722</v>
      </c>
      <c r="B2223" t="str">
        <f>IFERROR(VLOOKUP($A2223,'[5]Study Budget Mapping '!$O$2:$P$532,2,0),"TBA")</f>
        <v>TBA</v>
      </c>
      <c r="D2223" s="2" t="s">
        <v>402</v>
      </c>
      <c r="E2223" s="2" t="s">
        <v>31</v>
      </c>
      <c r="F2223" s="3">
        <v>1030000</v>
      </c>
      <c r="G2223" s="3">
        <v>1030000</v>
      </c>
      <c r="H2223" s="4"/>
      <c r="I2223" s="4"/>
      <c r="J2223" s="4"/>
      <c r="K2223" s="4"/>
      <c r="L2223" s="4"/>
      <c r="M2223" s="4"/>
    </row>
    <row r="2224" spans="1:13" ht="15" customHeight="1" x14ac:dyDescent="0.35">
      <c r="A2224" t="str">
        <f t="shared" si="34"/>
        <v>P687IM13C3722</v>
      </c>
      <c r="B2224" t="str">
        <f>IFERROR(VLOOKUP($A2224,'[5]Study Budget Mapping '!$O$2:$P$532,2,0),"TBA")</f>
        <v>TBA</v>
      </c>
      <c r="D2224" s="2" t="s">
        <v>402</v>
      </c>
      <c r="E2224" s="2" t="s">
        <v>15</v>
      </c>
      <c r="F2224" s="3">
        <v>7660000</v>
      </c>
      <c r="G2224" s="3">
        <v>7660000</v>
      </c>
      <c r="H2224" s="4"/>
      <c r="I2224" s="4"/>
      <c r="J2224" s="4"/>
      <c r="K2224" s="4"/>
      <c r="L2224" s="4"/>
      <c r="M2224" s="4"/>
    </row>
    <row r="2225" spans="1:13" ht="15" customHeight="1" x14ac:dyDescent="0.35">
      <c r="A2225" t="str">
        <f t="shared" si="34"/>
        <v>P687IM13C3722</v>
      </c>
      <c r="B2225" t="str">
        <f>IFERROR(VLOOKUP($A2225,'[5]Study Budget Mapping '!$O$2:$P$532,2,0),"TBA")</f>
        <v>TBA</v>
      </c>
      <c r="D2225" s="2" t="s">
        <v>402</v>
      </c>
      <c r="E2225" s="2" t="s">
        <v>22</v>
      </c>
      <c r="F2225" s="3">
        <v>850000</v>
      </c>
      <c r="G2225" s="3">
        <v>850000</v>
      </c>
      <c r="H2225" s="4"/>
      <c r="I2225" s="4"/>
      <c r="J2225" s="4"/>
      <c r="K2225" s="4"/>
      <c r="L2225" s="4"/>
      <c r="M2225" s="4"/>
    </row>
    <row r="2226" spans="1:13" ht="15" customHeight="1" x14ac:dyDescent="0.35">
      <c r="A2226" t="str">
        <f t="shared" si="34"/>
        <v>P687IM13C3722</v>
      </c>
      <c r="B2226" t="str">
        <f>IFERROR(VLOOKUP($A2226,'[5]Study Budget Mapping '!$O$2:$P$532,2,0),"TBA")</f>
        <v>TBA</v>
      </c>
      <c r="D2226" s="2" t="s">
        <v>402</v>
      </c>
      <c r="E2226" s="2" t="s">
        <v>16</v>
      </c>
      <c r="F2226" s="3">
        <v>1455000</v>
      </c>
      <c r="G2226" s="3">
        <v>1455000</v>
      </c>
      <c r="H2226" s="4"/>
      <c r="I2226" s="4"/>
      <c r="J2226" s="4"/>
      <c r="K2226" s="4"/>
      <c r="L2226" s="4"/>
      <c r="M2226" s="4"/>
    </row>
    <row r="2227" spans="1:13" ht="15" customHeight="1" x14ac:dyDescent="0.35">
      <c r="A2227" t="str">
        <f t="shared" si="34"/>
        <v>P687IM13C3722</v>
      </c>
      <c r="B2227" t="str">
        <f>IFERROR(VLOOKUP($A2227,'[5]Study Budget Mapping '!$O$2:$P$532,2,0),"TBA")</f>
        <v>TBA</v>
      </c>
      <c r="D2227" s="2" t="s">
        <v>402</v>
      </c>
      <c r="E2227" s="2" t="s">
        <v>17</v>
      </c>
      <c r="F2227" s="3">
        <v>280000</v>
      </c>
      <c r="G2227" s="3">
        <v>280000</v>
      </c>
      <c r="H2227" s="4"/>
      <c r="I2227" s="4"/>
      <c r="J2227" s="4"/>
      <c r="K2227" s="4"/>
      <c r="L2227" s="4"/>
      <c r="M2227" s="4"/>
    </row>
    <row r="2228" spans="1:13" ht="15" customHeight="1" x14ac:dyDescent="0.35">
      <c r="A2228" t="str">
        <f t="shared" si="34"/>
        <v>P687IM13C3722</v>
      </c>
      <c r="B2228" t="str">
        <f>IFERROR(VLOOKUP($A2228,'[5]Study Budget Mapping '!$O$2:$P$532,2,0),"TBA")</f>
        <v>TBA</v>
      </c>
      <c r="D2228" s="2" t="s">
        <v>402</v>
      </c>
      <c r="E2228" s="2" t="s">
        <v>24</v>
      </c>
      <c r="F2228" s="3">
        <v>130000</v>
      </c>
      <c r="G2228" s="3">
        <v>130000</v>
      </c>
      <c r="H2228" s="4"/>
      <c r="I2228" s="4"/>
      <c r="J2228" s="4"/>
      <c r="K2228" s="4"/>
      <c r="L2228" s="4"/>
      <c r="M2228" s="4"/>
    </row>
    <row r="2229" spans="1:13" ht="15" customHeight="1" x14ac:dyDescent="0.35">
      <c r="A2229" t="str">
        <f t="shared" si="34"/>
        <v>P687IM13C3921</v>
      </c>
      <c r="B2229" t="str">
        <f>IFERROR(VLOOKUP($A2229,'[5]Study Budget Mapping '!$O$2:$P$532,2,0),"TBA")</f>
        <v>TBA</v>
      </c>
      <c r="D2229" s="2" t="s">
        <v>403</v>
      </c>
      <c r="E2229" s="2" t="s">
        <v>15</v>
      </c>
      <c r="F2229" s="3">
        <v>10000000</v>
      </c>
      <c r="G2229" s="3">
        <v>10000000</v>
      </c>
      <c r="H2229" s="4"/>
      <c r="I2229" s="4"/>
      <c r="J2229" s="4"/>
      <c r="K2229" s="4"/>
      <c r="L2229" s="4"/>
      <c r="M2229" s="4"/>
    </row>
    <row r="2230" spans="1:13" ht="15" customHeight="1" x14ac:dyDescent="0.35">
      <c r="A2230" t="str">
        <f t="shared" si="34"/>
        <v>P690ST01C1031</v>
      </c>
      <c r="B2230" t="str">
        <f>IFERROR(VLOOKUP($A2230,'[5]Study Budget Mapping '!$O$2:$P$532,2,0),"TBA")</f>
        <v>TBA</v>
      </c>
      <c r="D2230" s="2" t="s">
        <v>404</v>
      </c>
      <c r="E2230" s="2" t="s">
        <v>13</v>
      </c>
      <c r="F2230" s="3">
        <v>6170000</v>
      </c>
      <c r="G2230" s="3">
        <v>3660000</v>
      </c>
      <c r="H2230" s="4"/>
      <c r="I2230" s="4"/>
      <c r="J2230" s="4"/>
      <c r="K2230" s="4"/>
      <c r="L2230" s="4"/>
      <c r="M2230" s="4"/>
    </row>
    <row r="2231" spans="1:13" ht="15" customHeight="1" x14ac:dyDescent="0.35">
      <c r="A2231" t="str">
        <f t="shared" si="34"/>
        <v>P690ST01C1031</v>
      </c>
      <c r="B2231" t="str">
        <f>IFERROR(VLOOKUP($A2231,'[5]Study Budget Mapping '!$O$2:$P$532,2,0),"TBA")</f>
        <v>TBA</v>
      </c>
      <c r="D2231" s="2" t="s">
        <v>404</v>
      </c>
      <c r="E2231" s="2" t="s">
        <v>14</v>
      </c>
      <c r="F2231" s="3">
        <v>4630000</v>
      </c>
      <c r="G2231" s="3">
        <v>3220000</v>
      </c>
      <c r="H2231" s="4"/>
      <c r="I2231" s="4"/>
      <c r="J2231" s="4"/>
      <c r="K2231" s="4"/>
      <c r="L2231" s="4"/>
      <c r="M2231" s="4"/>
    </row>
    <row r="2232" spans="1:13" ht="15" customHeight="1" x14ac:dyDescent="0.35">
      <c r="A2232" t="str">
        <f t="shared" si="34"/>
        <v>P690ST01C1031</v>
      </c>
      <c r="B2232" t="str">
        <f>IFERROR(VLOOKUP($A2232,'[5]Study Budget Mapping '!$O$2:$P$532,2,0),"TBA")</f>
        <v>TBA</v>
      </c>
      <c r="D2232" s="2" t="s">
        <v>404</v>
      </c>
      <c r="E2232" s="2" t="s">
        <v>19</v>
      </c>
      <c r="F2232" s="3">
        <v>276000</v>
      </c>
      <c r="G2232" s="3">
        <v>990000</v>
      </c>
      <c r="H2232" s="4"/>
      <c r="I2232" s="4"/>
      <c r="J2232" s="4"/>
      <c r="K2232" s="4"/>
      <c r="L2232" s="4"/>
      <c r="M2232" s="4"/>
    </row>
    <row r="2233" spans="1:13" ht="15" customHeight="1" x14ac:dyDescent="0.35">
      <c r="A2233" t="str">
        <f t="shared" si="34"/>
        <v>P690ST01C1031</v>
      </c>
      <c r="B2233" t="str">
        <f>IFERROR(VLOOKUP($A2233,'[5]Study Budget Mapping '!$O$2:$P$532,2,0),"TBA")</f>
        <v>TBA</v>
      </c>
      <c r="D2233" s="2" t="s">
        <v>404</v>
      </c>
      <c r="E2233" s="2" t="s">
        <v>20</v>
      </c>
      <c r="F2233" s="3">
        <v>400000</v>
      </c>
      <c r="G2233" s="3">
        <v>761000</v>
      </c>
      <c r="H2233" s="4"/>
      <c r="I2233" s="4"/>
      <c r="J2233" s="4"/>
      <c r="K2233" s="4"/>
      <c r="L2233" s="4"/>
      <c r="M2233" s="4"/>
    </row>
    <row r="2234" spans="1:13" ht="15" customHeight="1" x14ac:dyDescent="0.35">
      <c r="A2234" t="str">
        <f t="shared" si="34"/>
        <v>P690ST01C1031</v>
      </c>
      <c r="B2234" t="str">
        <f>IFERROR(VLOOKUP($A2234,'[5]Study Budget Mapping '!$O$2:$P$532,2,0),"TBA")</f>
        <v>TBA</v>
      </c>
      <c r="D2234" s="2" t="s">
        <v>404</v>
      </c>
      <c r="E2234" s="2" t="s">
        <v>15</v>
      </c>
      <c r="F2234" s="3">
        <v>7910000</v>
      </c>
      <c r="G2234" s="3">
        <v>10727000</v>
      </c>
      <c r="H2234" s="4"/>
      <c r="I2234" s="4"/>
      <c r="J2234" s="4"/>
      <c r="K2234" s="4"/>
      <c r="L2234" s="4"/>
      <c r="M2234" s="4"/>
    </row>
    <row r="2235" spans="1:13" ht="15" customHeight="1" x14ac:dyDescent="0.35">
      <c r="A2235" t="str">
        <f t="shared" si="34"/>
        <v>P690ST01C1031</v>
      </c>
      <c r="B2235" t="str">
        <f>IFERROR(VLOOKUP($A2235,'[5]Study Budget Mapping '!$O$2:$P$532,2,0),"TBA")</f>
        <v>TBA</v>
      </c>
      <c r="D2235" s="2" t="s">
        <v>404</v>
      </c>
      <c r="E2235" s="2" t="s">
        <v>22</v>
      </c>
      <c r="F2235" s="3">
        <v>0</v>
      </c>
      <c r="G2235" s="3">
        <v>1240578</v>
      </c>
      <c r="H2235" s="4"/>
      <c r="I2235" s="4"/>
      <c r="J2235" s="4"/>
      <c r="K2235" s="4"/>
      <c r="L2235" s="4"/>
      <c r="M2235" s="4"/>
    </row>
    <row r="2236" spans="1:13" ht="15" customHeight="1" x14ac:dyDescent="0.35">
      <c r="A2236" t="str">
        <f t="shared" si="34"/>
        <v>P690ST01C1031</v>
      </c>
      <c r="B2236" t="str">
        <f>IFERROR(VLOOKUP($A2236,'[5]Study Budget Mapping '!$O$2:$P$532,2,0),"TBA")</f>
        <v>TBA</v>
      </c>
      <c r="D2236" s="2" t="s">
        <v>404</v>
      </c>
      <c r="E2236" s="2" t="s">
        <v>16</v>
      </c>
      <c r="F2236" s="3">
        <v>780000</v>
      </c>
      <c r="G2236" s="3">
        <v>1565000</v>
      </c>
      <c r="H2236" s="4"/>
      <c r="I2236" s="4"/>
      <c r="J2236" s="4"/>
      <c r="K2236" s="4"/>
      <c r="L2236" s="4"/>
      <c r="M2236" s="4"/>
    </row>
    <row r="2237" spans="1:13" ht="15" customHeight="1" x14ac:dyDescent="0.35">
      <c r="A2237" t="str">
        <f t="shared" si="34"/>
        <v>P690ST01C1031</v>
      </c>
      <c r="B2237" t="str">
        <f>IFERROR(VLOOKUP($A2237,'[5]Study Budget Mapping '!$O$2:$P$532,2,0),"TBA")</f>
        <v>TBA</v>
      </c>
      <c r="D2237" s="2" t="s">
        <v>404</v>
      </c>
      <c r="E2237" s="2" t="s">
        <v>17</v>
      </c>
      <c r="F2237" s="3">
        <v>400000</v>
      </c>
      <c r="G2237" s="3">
        <v>800000</v>
      </c>
      <c r="H2237" s="4"/>
      <c r="I2237" s="4"/>
      <c r="J2237" s="4"/>
      <c r="K2237" s="4"/>
      <c r="L2237" s="4"/>
      <c r="M2237" s="4"/>
    </row>
    <row r="2238" spans="1:13" ht="15" customHeight="1" x14ac:dyDescent="0.35">
      <c r="A2238" t="str">
        <f t="shared" si="34"/>
        <v>P690ST01C1031</v>
      </c>
      <c r="B2238" t="str">
        <f>IFERROR(VLOOKUP($A2238,'[5]Study Budget Mapping '!$O$2:$P$532,2,0),"TBA")</f>
        <v>TBA</v>
      </c>
      <c r="D2238" s="2" t="s">
        <v>404</v>
      </c>
      <c r="E2238" s="2" t="s">
        <v>23</v>
      </c>
      <c r="F2238" s="3">
        <v>100000</v>
      </c>
      <c r="G2238" s="3">
        <v>210000</v>
      </c>
      <c r="H2238" s="4"/>
      <c r="I2238" s="4"/>
      <c r="J2238" s="4"/>
      <c r="K2238" s="4"/>
      <c r="L2238" s="4"/>
      <c r="M2238" s="4"/>
    </row>
    <row r="2239" spans="1:13" ht="15" customHeight="1" x14ac:dyDescent="0.35">
      <c r="A2239" t="str">
        <f t="shared" si="34"/>
        <v>P690ST01C1031</v>
      </c>
      <c r="B2239" t="str">
        <f>IFERROR(VLOOKUP($A2239,'[5]Study Budget Mapping '!$O$2:$P$532,2,0),"TBA")</f>
        <v>TBA</v>
      </c>
      <c r="D2239" s="2" t="s">
        <v>404</v>
      </c>
      <c r="E2239" s="2" t="s">
        <v>24</v>
      </c>
      <c r="F2239" s="3">
        <v>740000</v>
      </c>
      <c r="G2239" s="3">
        <v>1480000</v>
      </c>
      <c r="H2239" s="4"/>
      <c r="I2239" s="4"/>
      <c r="J2239" s="4"/>
      <c r="K2239" s="4"/>
      <c r="L2239" s="4"/>
      <c r="M2239" s="4"/>
    </row>
    <row r="2240" spans="1:13" ht="15" customHeight="1" x14ac:dyDescent="0.35">
      <c r="A2240" t="str">
        <f t="shared" si="34"/>
        <v>P690ST01C1031</v>
      </c>
      <c r="B2240" t="str">
        <f>IFERROR(VLOOKUP($A2240,'[5]Study Budget Mapping '!$O$2:$P$532,2,0),"TBA")</f>
        <v>TBA</v>
      </c>
      <c r="D2240" s="2" t="s">
        <v>404</v>
      </c>
      <c r="E2240" s="2" t="s">
        <v>32</v>
      </c>
      <c r="F2240" s="3">
        <v>0</v>
      </c>
      <c r="G2240" s="3">
        <v>370000</v>
      </c>
      <c r="H2240" s="4"/>
      <c r="I2240" s="4"/>
      <c r="J2240" s="4"/>
      <c r="K2240" s="4"/>
      <c r="L2240" s="4"/>
      <c r="M2240" s="4"/>
    </row>
    <row r="2241" spans="1:13" ht="15" customHeight="1" x14ac:dyDescent="0.35">
      <c r="A2241" t="str">
        <f t="shared" si="34"/>
        <v>P692IM21C1411</v>
      </c>
      <c r="B2241" t="str">
        <f>IFERROR(VLOOKUP($A2241,'[5]Study Budget Mapping '!$O$2:$P$532,2,0),"TBA")</f>
        <v>TBA</v>
      </c>
      <c r="D2241" s="2" t="s">
        <v>405</v>
      </c>
      <c r="E2241" s="2" t="s">
        <v>13</v>
      </c>
      <c r="F2241" s="3">
        <v>1325000</v>
      </c>
      <c r="G2241" s="3">
        <v>3951000</v>
      </c>
      <c r="H2241" s="4"/>
      <c r="I2241" s="4"/>
      <c r="J2241" s="4"/>
      <c r="K2241" s="4"/>
      <c r="L2241" s="4"/>
      <c r="M2241" s="4"/>
    </row>
    <row r="2242" spans="1:13" ht="15" customHeight="1" x14ac:dyDescent="0.35">
      <c r="A2242" t="str">
        <f t="shared" si="34"/>
        <v>P692IM21C1411</v>
      </c>
      <c r="B2242" t="str">
        <f>IFERROR(VLOOKUP($A2242,'[5]Study Budget Mapping '!$O$2:$P$532,2,0),"TBA")</f>
        <v>TBA</v>
      </c>
      <c r="D2242" s="2" t="s">
        <v>405</v>
      </c>
      <c r="E2242" s="2" t="s">
        <v>14</v>
      </c>
      <c r="F2242" s="3">
        <v>1160000</v>
      </c>
      <c r="G2242" s="3">
        <v>3150000</v>
      </c>
      <c r="H2242" s="4"/>
      <c r="I2242" s="4"/>
      <c r="J2242" s="4"/>
      <c r="K2242" s="4"/>
      <c r="L2242" s="4"/>
      <c r="M2242" s="4"/>
    </row>
    <row r="2243" spans="1:13" ht="15" customHeight="1" x14ac:dyDescent="0.35">
      <c r="A2243" t="str">
        <f t="shared" ref="A2243:A2306" si="35">TRIM(_xlfn.TEXTBEFORE(D2243,"-",1))</f>
        <v>P692IM21C1411</v>
      </c>
      <c r="B2243" t="str">
        <f>IFERROR(VLOOKUP($A2243,'[5]Study Budget Mapping '!$O$2:$P$532,2,0),"TBA")</f>
        <v>TBA</v>
      </c>
      <c r="D2243" s="2" t="s">
        <v>405</v>
      </c>
      <c r="E2243" s="2" t="s">
        <v>19</v>
      </c>
      <c r="F2243" s="3">
        <v>1520000</v>
      </c>
      <c r="G2243" s="3">
        <v>1185000</v>
      </c>
      <c r="H2243" s="4"/>
      <c r="I2243" s="4"/>
      <c r="J2243" s="4"/>
      <c r="K2243" s="4"/>
      <c r="L2243" s="4"/>
      <c r="M2243" s="4"/>
    </row>
    <row r="2244" spans="1:13" ht="15" customHeight="1" x14ac:dyDescent="0.35">
      <c r="A2244" t="str">
        <f t="shared" si="35"/>
        <v>P692IM21C1411</v>
      </c>
      <c r="B2244" t="str">
        <f>IFERROR(VLOOKUP($A2244,'[5]Study Budget Mapping '!$O$2:$P$532,2,0),"TBA")</f>
        <v>TBA</v>
      </c>
      <c r="D2244" s="2" t="s">
        <v>405</v>
      </c>
      <c r="E2244" s="2" t="s">
        <v>15</v>
      </c>
      <c r="F2244" s="3">
        <v>3260000</v>
      </c>
      <c r="G2244" s="3">
        <v>750000</v>
      </c>
      <c r="H2244" s="4"/>
      <c r="I2244" s="4"/>
      <c r="J2244" s="4"/>
      <c r="K2244" s="4"/>
      <c r="L2244" s="4"/>
      <c r="M2244" s="4"/>
    </row>
    <row r="2245" spans="1:13" ht="15" customHeight="1" x14ac:dyDescent="0.35">
      <c r="A2245" t="str">
        <f t="shared" si="35"/>
        <v>P692IM21C1411</v>
      </c>
      <c r="B2245" t="str">
        <f>IFERROR(VLOOKUP($A2245,'[5]Study Budget Mapping '!$O$2:$P$532,2,0),"TBA")</f>
        <v>TBA</v>
      </c>
      <c r="D2245" s="2" t="s">
        <v>405</v>
      </c>
      <c r="E2245" s="2" t="s">
        <v>22</v>
      </c>
      <c r="F2245" s="3">
        <v>0</v>
      </c>
      <c r="G2245" s="3">
        <v>1683000</v>
      </c>
      <c r="H2245" s="4"/>
      <c r="I2245" s="4"/>
      <c r="J2245" s="4"/>
      <c r="K2245" s="4"/>
      <c r="L2245" s="4"/>
      <c r="M2245" s="4"/>
    </row>
    <row r="2246" spans="1:13" ht="15" customHeight="1" x14ac:dyDescent="0.35">
      <c r="A2246" t="str">
        <f t="shared" si="35"/>
        <v>P692IM21C1411</v>
      </c>
      <c r="B2246" t="str">
        <f>IFERROR(VLOOKUP($A2246,'[5]Study Budget Mapping '!$O$2:$P$532,2,0),"TBA")</f>
        <v>TBA</v>
      </c>
      <c r="D2246" s="2" t="s">
        <v>405</v>
      </c>
      <c r="E2246" s="2" t="s">
        <v>16</v>
      </c>
      <c r="F2246" s="3">
        <v>360000</v>
      </c>
      <c r="G2246" s="3">
        <v>250000</v>
      </c>
      <c r="H2246" s="4"/>
      <c r="I2246" s="4"/>
      <c r="J2246" s="4"/>
      <c r="K2246" s="4"/>
      <c r="L2246" s="4"/>
      <c r="M2246" s="4"/>
    </row>
    <row r="2247" spans="1:13" ht="15" customHeight="1" x14ac:dyDescent="0.35">
      <c r="A2247" t="str">
        <f t="shared" si="35"/>
        <v>P692IM21C1411</v>
      </c>
      <c r="B2247" t="str">
        <f>IFERROR(VLOOKUP($A2247,'[5]Study Budget Mapping '!$O$2:$P$532,2,0),"TBA")</f>
        <v>TBA</v>
      </c>
      <c r="D2247" s="2" t="s">
        <v>405</v>
      </c>
      <c r="E2247" s="2" t="s">
        <v>17</v>
      </c>
      <c r="F2247" s="3">
        <v>150000</v>
      </c>
      <c r="G2247" s="3">
        <v>150000</v>
      </c>
      <c r="H2247" s="4"/>
      <c r="I2247" s="4"/>
      <c r="J2247" s="4"/>
      <c r="K2247" s="4"/>
      <c r="L2247" s="4"/>
      <c r="M2247" s="4"/>
    </row>
    <row r="2248" spans="1:13" ht="15" customHeight="1" x14ac:dyDescent="0.35">
      <c r="A2248" t="str">
        <f t="shared" si="35"/>
        <v>P692IM21C1411</v>
      </c>
      <c r="B2248" t="str">
        <f>IFERROR(VLOOKUP($A2248,'[5]Study Budget Mapping '!$O$2:$P$532,2,0),"TBA")</f>
        <v>TBA</v>
      </c>
      <c r="D2248" s="2" t="s">
        <v>405</v>
      </c>
      <c r="E2248" s="2" t="s">
        <v>24</v>
      </c>
      <c r="F2248" s="3">
        <v>110000</v>
      </c>
      <c r="G2248" s="3">
        <v>150000</v>
      </c>
      <c r="H2248" s="4"/>
      <c r="I2248" s="4"/>
      <c r="J2248" s="4"/>
      <c r="K2248" s="4"/>
      <c r="L2248" s="4"/>
      <c r="M2248" s="4"/>
    </row>
    <row r="2249" spans="1:13" ht="15" customHeight="1" x14ac:dyDescent="0.35">
      <c r="A2249" t="str">
        <f t="shared" si="35"/>
        <v>P692IM21C1411</v>
      </c>
      <c r="B2249" t="str">
        <f>IFERROR(VLOOKUP($A2249,'[5]Study Budget Mapping '!$O$2:$P$532,2,0),"TBA")</f>
        <v>TBA</v>
      </c>
      <c r="D2249" s="2" t="s">
        <v>405</v>
      </c>
      <c r="E2249" s="2" t="s">
        <v>32</v>
      </c>
      <c r="F2249" s="3">
        <v>600000</v>
      </c>
      <c r="G2249" s="3">
        <v>770000</v>
      </c>
      <c r="H2249" s="4"/>
      <c r="I2249" s="4"/>
      <c r="J2249" s="4"/>
      <c r="K2249" s="4"/>
      <c r="L2249" s="4"/>
      <c r="M2249" s="4"/>
    </row>
    <row r="2250" spans="1:13" ht="15" customHeight="1" x14ac:dyDescent="0.35">
      <c r="A2250" t="str">
        <f t="shared" si="35"/>
        <v>P692IM21C1911</v>
      </c>
      <c r="B2250" t="str">
        <f>IFERROR(VLOOKUP($A2250,'[5]Study Budget Mapping '!$O$2:$P$532,2,0),"TBA")</f>
        <v>TBA</v>
      </c>
      <c r="D2250" s="2" t="s">
        <v>406</v>
      </c>
      <c r="E2250" s="2" t="s">
        <v>13</v>
      </c>
      <c r="F2250" s="3">
        <v>300000</v>
      </c>
      <c r="G2250" s="3">
        <v>582000</v>
      </c>
      <c r="H2250" s="4"/>
      <c r="I2250" s="4"/>
      <c r="J2250" s="4"/>
      <c r="K2250" s="4"/>
      <c r="L2250" s="4"/>
      <c r="M2250" s="4"/>
    </row>
    <row r="2251" spans="1:13" ht="15" customHeight="1" x14ac:dyDescent="0.35">
      <c r="A2251" t="str">
        <f t="shared" si="35"/>
        <v>P692IM21C1911</v>
      </c>
      <c r="B2251" t="str">
        <f>IFERROR(VLOOKUP($A2251,'[5]Study Budget Mapping '!$O$2:$P$532,2,0),"TBA")</f>
        <v>TBA</v>
      </c>
      <c r="D2251" s="2" t="s">
        <v>406</v>
      </c>
      <c r="E2251" s="2" t="s">
        <v>14</v>
      </c>
      <c r="F2251" s="3">
        <v>230000</v>
      </c>
      <c r="G2251" s="3">
        <v>560000</v>
      </c>
      <c r="H2251" s="4"/>
      <c r="I2251" s="4"/>
      <c r="J2251" s="4"/>
      <c r="K2251" s="4"/>
      <c r="L2251" s="4"/>
      <c r="M2251" s="4"/>
    </row>
    <row r="2252" spans="1:13" ht="15" customHeight="1" x14ac:dyDescent="0.35">
      <c r="A2252" t="str">
        <f t="shared" si="35"/>
        <v>P692IM21C1911</v>
      </c>
      <c r="B2252" t="str">
        <f>IFERROR(VLOOKUP($A2252,'[5]Study Budget Mapping '!$O$2:$P$532,2,0),"TBA")</f>
        <v>TBA</v>
      </c>
      <c r="D2252" s="2" t="s">
        <v>406</v>
      </c>
      <c r="E2252" s="2" t="s">
        <v>19</v>
      </c>
      <c r="F2252" s="3">
        <v>0</v>
      </c>
      <c r="G2252" s="3">
        <v>415000</v>
      </c>
      <c r="H2252" s="4"/>
      <c r="I2252" s="4"/>
      <c r="J2252" s="4"/>
      <c r="K2252" s="4"/>
      <c r="L2252" s="4"/>
      <c r="M2252" s="4"/>
    </row>
    <row r="2253" spans="1:13" ht="15" customHeight="1" x14ac:dyDescent="0.35">
      <c r="A2253" t="str">
        <f t="shared" si="35"/>
        <v>P692IM21C1911</v>
      </c>
      <c r="B2253" t="str">
        <f>IFERROR(VLOOKUP($A2253,'[5]Study Budget Mapping '!$O$2:$P$532,2,0),"TBA")</f>
        <v>TBA</v>
      </c>
      <c r="D2253" s="2" t="s">
        <v>406</v>
      </c>
      <c r="E2253" s="2" t="s">
        <v>15</v>
      </c>
      <c r="F2253" s="3">
        <v>1435000</v>
      </c>
      <c r="G2253" s="3">
        <v>200000</v>
      </c>
      <c r="H2253" s="4"/>
      <c r="I2253" s="4"/>
      <c r="J2253" s="4"/>
      <c r="K2253" s="4"/>
      <c r="L2253" s="4"/>
      <c r="M2253" s="4"/>
    </row>
    <row r="2254" spans="1:13" ht="15" customHeight="1" x14ac:dyDescent="0.35">
      <c r="A2254" t="str">
        <f t="shared" si="35"/>
        <v>P692IM21C1911</v>
      </c>
      <c r="B2254" t="str">
        <f>IFERROR(VLOOKUP($A2254,'[5]Study Budget Mapping '!$O$2:$P$532,2,0),"TBA")</f>
        <v>TBA</v>
      </c>
      <c r="D2254" s="2" t="s">
        <v>406</v>
      </c>
      <c r="E2254" s="2" t="s">
        <v>22</v>
      </c>
      <c r="F2254" s="3">
        <v>0</v>
      </c>
      <c r="G2254" s="3">
        <v>906000</v>
      </c>
      <c r="H2254" s="4"/>
      <c r="I2254" s="4"/>
      <c r="J2254" s="4"/>
      <c r="K2254" s="4"/>
      <c r="L2254" s="4"/>
      <c r="M2254" s="4"/>
    </row>
    <row r="2255" spans="1:13" ht="15" customHeight="1" x14ac:dyDescent="0.35">
      <c r="A2255" t="str">
        <f t="shared" si="35"/>
        <v>P692IM21C1911</v>
      </c>
      <c r="B2255" t="str">
        <f>IFERROR(VLOOKUP($A2255,'[5]Study Budget Mapping '!$O$2:$P$532,2,0),"TBA")</f>
        <v>TBA</v>
      </c>
      <c r="D2255" s="2" t="s">
        <v>406</v>
      </c>
      <c r="E2255" s="2" t="s">
        <v>16</v>
      </c>
      <c r="F2255" s="3">
        <v>500000</v>
      </c>
      <c r="G2255" s="3">
        <v>0</v>
      </c>
      <c r="H2255" s="4"/>
      <c r="I2255" s="4"/>
      <c r="J2255" s="4"/>
      <c r="K2255" s="4"/>
      <c r="L2255" s="4"/>
      <c r="M2255" s="4"/>
    </row>
    <row r="2256" spans="1:13" ht="15" customHeight="1" x14ac:dyDescent="0.35">
      <c r="A2256" t="str">
        <f t="shared" si="35"/>
        <v>P692IM21C1911</v>
      </c>
      <c r="B2256" t="str">
        <f>IFERROR(VLOOKUP($A2256,'[5]Study Budget Mapping '!$O$2:$P$532,2,0),"TBA")</f>
        <v>TBA</v>
      </c>
      <c r="D2256" s="2" t="s">
        <v>406</v>
      </c>
      <c r="E2256" s="2" t="s">
        <v>28</v>
      </c>
      <c r="F2256" s="3">
        <v>170000</v>
      </c>
      <c r="G2256" s="3">
        <v>0</v>
      </c>
      <c r="H2256" s="4"/>
      <c r="I2256" s="4"/>
      <c r="J2256" s="4"/>
      <c r="K2256" s="4"/>
      <c r="L2256" s="4"/>
      <c r="M2256" s="4"/>
    </row>
    <row r="2257" spans="1:13" ht="15" customHeight="1" x14ac:dyDescent="0.35">
      <c r="A2257" t="str">
        <f t="shared" si="35"/>
        <v>P692IM21C1911</v>
      </c>
      <c r="B2257" t="str">
        <f>IFERROR(VLOOKUP($A2257,'[5]Study Budget Mapping '!$O$2:$P$532,2,0),"TBA")</f>
        <v>TBA</v>
      </c>
      <c r="D2257" s="2" t="s">
        <v>406</v>
      </c>
      <c r="E2257" s="2" t="s">
        <v>32</v>
      </c>
      <c r="F2257" s="3">
        <v>270000</v>
      </c>
      <c r="G2257" s="3">
        <v>0</v>
      </c>
      <c r="H2257" s="4"/>
      <c r="I2257" s="4"/>
      <c r="J2257" s="4"/>
      <c r="K2257" s="4"/>
      <c r="L2257" s="4"/>
      <c r="M2257" s="4"/>
    </row>
    <row r="2258" spans="1:13" ht="15" customHeight="1" x14ac:dyDescent="0.35">
      <c r="A2258" t="str">
        <f t="shared" si="35"/>
        <v>P692ST11C1031</v>
      </c>
      <c r="B2258" t="str">
        <f>IFERROR(VLOOKUP($A2258,'[5]Study Budget Mapping '!$O$2:$P$532,2,0),"TBA")</f>
        <v>TBA</v>
      </c>
      <c r="D2258" s="2" t="s">
        <v>407</v>
      </c>
      <c r="E2258" s="2" t="s">
        <v>13</v>
      </c>
      <c r="F2258" s="3">
        <v>8110000</v>
      </c>
      <c r="G2258" s="3">
        <v>8110000</v>
      </c>
      <c r="H2258" s="4"/>
      <c r="I2258" s="4"/>
      <c r="J2258" s="4"/>
      <c r="K2258" s="4"/>
      <c r="L2258" s="4"/>
      <c r="M2258" s="4"/>
    </row>
    <row r="2259" spans="1:13" ht="15" customHeight="1" x14ac:dyDescent="0.35">
      <c r="A2259" t="str">
        <f t="shared" si="35"/>
        <v>P692ST11C1031</v>
      </c>
      <c r="B2259" t="str">
        <f>IFERROR(VLOOKUP($A2259,'[5]Study Budget Mapping '!$O$2:$P$532,2,0),"TBA")</f>
        <v>TBA</v>
      </c>
      <c r="D2259" s="2" t="s">
        <v>407</v>
      </c>
      <c r="E2259" s="2" t="s">
        <v>14</v>
      </c>
      <c r="F2259" s="3">
        <v>5520000</v>
      </c>
      <c r="G2259" s="3">
        <v>5520000</v>
      </c>
      <c r="H2259" s="4"/>
      <c r="I2259" s="4"/>
      <c r="J2259" s="4"/>
      <c r="K2259" s="4"/>
      <c r="L2259" s="4"/>
      <c r="M2259" s="4"/>
    </row>
    <row r="2260" spans="1:13" ht="15" customHeight="1" x14ac:dyDescent="0.35">
      <c r="A2260" t="str">
        <f t="shared" si="35"/>
        <v>P692ST11C1031</v>
      </c>
      <c r="B2260" t="str">
        <f>IFERROR(VLOOKUP($A2260,'[5]Study Budget Mapping '!$O$2:$P$532,2,0),"TBA")</f>
        <v>TBA</v>
      </c>
      <c r="D2260" s="2" t="s">
        <v>407</v>
      </c>
      <c r="E2260" s="2" t="s">
        <v>19</v>
      </c>
      <c r="F2260" s="3">
        <v>40000</v>
      </c>
      <c r="G2260" s="3">
        <v>40000</v>
      </c>
      <c r="H2260" s="4"/>
      <c r="I2260" s="4"/>
      <c r="J2260" s="4"/>
      <c r="K2260" s="4"/>
      <c r="L2260" s="4"/>
      <c r="M2260" s="4"/>
    </row>
    <row r="2261" spans="1:13" ht="15" customHeight="1" x14ac:dyDescent="0.35">
      <c r="A2261" t="str">
        <f t="shared" si="35"/>
        <v>P692ST11C1031</v>
      </c>
      <c r="B2261" t="str">
        <f>IFERROR(VLOOKUP($A2261,'[5]Study Budget Mapping '!$O$2:$P$532,2,0),"TBA")</f>
        <v>TBA</v>
      </c>
      <c r="D2261" s="2" t="s">
        <v>407</v>
      </c>
      <c r="E2261" s="2" t="s">
        <v>15</v>
      </c>
      <c r="F2261" s="3">
        <v>4580000</v>
      </c>
      <c r="G2261" s="3">
        <v>4580000</v>
      </c>
      <c r="H2261" s="4"/>
      <c r="I2261" s="4"/>
      <c r="J2261" s="4"/>
      <c r="K2261" s="4"/>
      <c r="L2261" s="4"/>
      <c r="M2261" s="4"/>
    </row>
    <row r="2262" spans="1:13" ht="15" customHeight="1" x14ac:dyDescent="0.35">
      <c r="A2262" t="str">
        <f t="shared" si="35"/>
        <v>P692ST11C1031</v>
      </c>
      <c r="B2262" t="str">
        <f>IFERROR(VLOOKUP($A2262,'[5]Study Budget Mapping '!$O$2:$P$532,2,0),"TBA")</f>
        <v>TBA</v>
      </c>
      <c r="D2262" s="2" t="s">
        <v>407</v>
      </c>
      <c r="E2262" s="2" t="s">
        <v>16</v>
      </c>
      <c r="F2262" s="3">
        <v>280000</v>
      </c>
      <c r="G2262" s="3">
        <v>280000</v>
      </c>
      <c r="H2262" s="4"/>
      <c r="I2262" s="4"/>
      <c r="J2262" s="4"/>
      <c r="K2262" s="4"/>
      <c r="L2262" s="4"/>
      <c r="M2262" s="4"/>
    </row>
    <row r="2263" spans="1:13" ht="15" customHeight="1" x14ac:dyDescent="0.35">
      <c r="A2263" t="str">
        <f t="shared" si="35"/>
        <v>P692ST11C1031</v>
      </c>
      <c r="B2263" t="str">
        <f>IFERROR(VLOOKUP($A2263,'[5]Study Budget Mapping '!$O$2:$P$532,2,0),"TBA")</f>
        <v>TBA</v>
      </c>
      <c r="D2263" s="2" t="s">
        <v>407</v>
      </c>
      <c r="E2263" s="2" t="s">
        <v>17</v>
      </c>
      <c r="F2263" s="3">
        <v>320000</v>
      </c>
      <c r="G2263" s="3">
        <v>320000</v>
      </c>
      <c r="H2263" s="4"/>
      <c r="I2263" s="4"/>
      <c r="J2263" s="4"/>
      <c r="K2263" s="4"/>
      <c r="L2263" s="4"/>
      <c r="M2263" s="4"/>
    </row>
    <row r="2264" spans="1:13" ht="15" customHeight="1" x14ac:dyDescent="0.35">
      <c r="A2264" t="str">
        <f t="shared" si="35"/>
        <v>P692ST11C1031</v>
      </c>
      <c r="B2264" t="str">
        <f>IFERROR(VLOOKUP($A2264,'[5]Study Budget Mapping '!$O$2:$P$532,2,0),"TBA")</f>
        <v>TBA</v>
      </c>
      <c r="D2264" s="2" t="s">
        <v>407</v>
      </c>
      <c r="E2264" s="2" t="s">
        <v>24</v>
      </c>
      <c r="F2264" s="3">
        <v>1000000</v>
      </c>
      <c r="G2264" s="3">
        <v>1000000</v>
      </c>
      <c r="H2264" s="4"/>
      <c r="I2264" s="4"/>
      <c r="J2264" s="4"/>
      <c r="K2264" s="4"/>
      <c r="L2264" s="4"/>
      <c r="M2264" s="4"/>
    </row>
    <row r="2265" spans="1:13" ht="15" customHeight="1" x14ac:dyDescent="0.35">
      <c r="A2265" t="str">
        <f t="shared" si="35"/>
        <v>P692ST11C1031</v>
      </c>
      <c r="B2265" t="str">
        <f>IFERROR(VLOOKUP($A2265,'[5]Study Budget Mapping '!$O$2:$P$532,2,0),"TBA")</f>
        <v>TBA</v>
      </c>
      <c r="D2265" s="2" t="s">
        <v>407</v>
      </c>
      <c r="E2265" s="2" t="s">
        <v>32</v>
      </c>
      <c r="F2265" s="3">
        <v>250000</v>
      </c>
      <c r="G2265" s="3">
        <v>250000</v>
      </c>
      <c r="H2265" s="4"/>
      <c r="I2265" s="4"/>
      <c r="J2265" s="4"/>
      <c r="K2265" s="4"/>
      <c r="L2265" s="4"/>
      <c r="M2265" s="4"/>
    </row>
    <row r="2266" spans="1:13" ht="15" customHeight="1" x14ac:dyDescent="0.35">
      <c r="A2266" t="str">
        <f t="shared" si="35"/>
        <v>P692HE00C1431</v>
      </c>
      <c r="B2266" t="str">
        <f>IFERROR(VLOOKUP($A2266,'[5]Study Budget Mapping '!$O$2:$P$532,2,0),"TBA")</f>
        <v>TBA</v>
      </c>
      <c r="D2266" s="2" t="s">
        <v>408</v>
      </c>
      <c r="E2266" s="2" t="s">
        <v>13</v>
      </c>
      <c r="F2266" s="3">
        <v>6110000</v>
      </c>
      <c r="G2266" s="3">
        <v>6110000</v>
      </c>
      <c r="H2266" s="4"/>
      <c r="I2266" s="4"/>
      <c r="J2266" s="4"/>
      <c r="K2266" s="4"/>
      <c r="L2266" s="4"/>
      <c r="M2266" s="4"/>
    </row>
    <row r="2267" spans="1:13" ht="15" customHeight="1" x14ac:dyDescent="0.35">
      <c r="A2267" t="str">
        <f t="shared" si="35"/>
        <v>P692HE00C1431</v>
      </c>
      <c r="B2267" t="str">
        <f>IFERROR(VLOOKUP($A2267,'[5]Study Budget Mapping '!$O$2:$P$532,2,0),"TBA")</f>
        <v>TBA</v>
      </c>
      <c r="D2267" s="2" t="s">
        <v>408</v>
      </c>
      <c r="E2267" s="2" t="s">
        <v>14</v>
      </c>
      <c r="F2267" s="3">
        <v>1770000</v>
      </c>
      <c r="G2267" s="3">
        <v>1770000</v>
      </c>
      <c r="H2267" s="4"/>
      <c r="I2267" s="4"/>
      <c r="J2267" s="4"/>
      <c r="K2267" s="4"/>
      <c r="L2267" s="4"/>
      <c r="M2267" s="4"/>
    </row>
    <row r="2268" spans="1:13" ht="15" customHeight="1" x14ac:dyDescent="0.35">
      <c r="A2268" t="str">
        <f t="shared" si="35"/>
        <v>P692HE00C1431</v>
      </c>
      <c r="B2268" t="str">
        <f>IFERROR(VLOOKUP($A2268,'[5]Study Budget Mapping '!$O$2:$P$532,2,0),"TBA")</f>
        <v>TBA</v>
      </c>
      <c r="D2268" s="2" t="s">
        <v>408</v>
      </c>
      <c r="E2268" s="2" t="s">
        <v>19</v>
      </c>
      <c r="F2268" s="3">
        <v>2410000</v>
      </c>
      <c r="G2268" s="3">
        <v>2410000</v>
      </c>
      <c r="H2268" s="4"/>
      <c r="I2268" s="4"/>
      <c r="J2268" s="4"/>
      <c r="K2268" s="4"/>
      <c r="L2268" s="4"/>
      <c r="M2268" s="4"/>
    </row>
    <row r="2269" spans="1:13" ht="15" customHeight="1" x14ac:dyDescent="0.35">
      <c r="A2269" t="str">
        <f t="shared" si="35"/>
        <v>P692HE00C1431</v>
      </c>
      <c r="B2269" t="str">
        <f>IFERROR(VLOOKUP($A2269,'[5]Study Budget Mapping '!$O$2:$P$532,2,0),"TBA")</f>
        <v>TBA</v>
      </c>
      <c r="D2269" s="2" t="s">
        <v>408</v>
      </c>
      <c r="E2269" s="2" t="s">
        <v>20</v>
      </c>
      <c r="F2269" s="3">
        <v>650000</v>
      </c>
      <c r="G2269" s="3">
        <v>650000</v>
      </c>
      <c r="H2269" s="4"/>
      <c r="I2269" s="4"/>
      <c r="J2269" s="4"/>
      <c r="K2269" s="4"/>
      <c r="L2269" s="4"/>
      <c r="M2269" s="4"/>
    </row>
    <row r="2270" spans="1:13" ht="15" customHeight="1" x14ac:dyDescent="0.35">
      <c r="A2270" t="str">
        <f t="shared" si="35"/>
        <v>P692HE00C1431</v>
      </c>
      <c r="B2270" t="str">
        <f>IFERROR(VLOOKUP($A2270,'[5]Study Budget Mapping '!$O$2:$P$532,2,0),"TBA")</f>
        <v>TBA</v>
      </c>
      <c r="D2270" s="2" t="s">
        <v>408</v>
      </c>
      <c r="E2270" s="2" t="s">
        <v>15</v>
      </c>
      <c r="F2270" s="3">
        <v>5270000</v>
      </c>
      <c r="G2270" s="3">
        <v>5270000</v>
      </c>
      <c r="H2270" s="4"/>
      <c r="I2270" s="4"/>
      <c r="J2270" s="4"/>
      <c r="K2270" s="4"/>
      <c r="L2270" s="4"/>
      <c r="M2270" s="4"/>
    </row>
    <row r="2271" spans="1:13" ht="15" customHeight="1" x14ac:dyDescent="0.35">
      <c r="A2271" t="str">
        <f t="shared" si="35"/>
        <v>P692HE00C1431</v>
      </c>
      <c r="B2271" t="str">
        <f>IFERROR(VLOOKUP($A2271,'[5]Study Budget Mapping '!$O$2:$P$532,2,0),"TBA")</f>
        <v>TBA</v>
      </c>
      <c r="D2271" s="2" t="s">
        <v>408</v>
      </c>
      <c r="E2271" s="2" t="s">
        <v>22</v>
      </c>
      <c r="F2271" s="3">
        <v>1490000</v>
      </c>
      <c r="G2271" s="3">
        <v>1490000</v>
      </c>
      <c r="H2271" s="4"/>
      <c r="I2271" s="4"/>
      <c r="J2271" s="4"/>
      <c r="K2271" s="4"/>
      <c r="L2271" s="4"/>
      <c r="M2271" s="4"/>
    </row>
    <row r="2272" spans="1:13" ht="15" customHeight="1" x14ac:dyDescent="0.35">
      <c r="A2272" t="str">
        <f t="shared" si="35"/>
        <v>P692HE00C1431</v>
      </c>
      <c r="B2272" t="str">
        <f>IFERROR(VLOOKUP($A2272,'[5]Study Budget Mapping '!$O$2:$P$532,2,0),"TBA")</f>
        <v>TBA</v>
      </c>
      <c r="D2272" s="2" t="s">
        <v>408</v>
      </c>
      <c r="E2272" s="2" t="s">
        <v>16</v>
      </c>
      <c r="F2272" s="3">
        <v>880000</v>
      </c>
      <c r="G2272" s="3">
        <v>880000</v>
      </c>
      <c r="H2272" s="4"/>
      <c r="I2272" s="4"/>
      <c r="J2272" s="4"/>
      <c r="K2272" s="4"/>
      <c r="L2272" s="4"/>
      <c r="M2272" s="4"/>
    </row>
    <row r="2273" spans="1:13" ht="15" customHeight="1" x14ac:dyDescent="0.35">
      <c r="A2273" t="str">
        <f t="shared" si="35"/>
        <v>P692HE00C1431</v>
      </c>
      <c r="B2273" t="str">
        <f>IFERROR(VLOOKUP($A2273,'[5]Study Budget Mapping '!$O$2:$P$532,2,0),"TBA")</f>
        <v>TBA</v>
      </c>
      <c r="D2273" s="2" t="s">
        <v>408</v>
      </c>
      <c r="E2273" s="2" t="s">
        <v>17</v>
      </c>
      <c r="F2273" s="3">
        <v>430000</v>
      </c>
      <c r="G2273" s="3">
        <v>430000</v>
      </c>
      <c r="H2273" s="4"/>
      <c r="I2273" s="4"/>
      <c r="J2273" s="4"/>
      <c r="K2273" s="4"/>
      <c r="L2273" s="4"/>
      <c r="M2273" s="4"/>
    </row>
    <row r="2274" spans="1:13" ht="15" customHeight="1" x14ac:dyDescent="0.35">
      <c r="A2274" t="str">
        <f t="shared" si="35"/>
        <v>P692HE00C1431</v>
      </c>
      <c r="B2274" t="str">
        <f>IFERROR(VLOOKUP($A2274,'[5]Study Budget Mapping '!$O$2:$P$532,2,0),"TBA")</f>
        <v>TBA</v>
      </c>
      <c r="D2274" s="2" t="s">
        <v>408</v>
      </c>
      <c r="E2274" s="2" t="s">
        <v>23</v>
      </c>
      <c r="F2274" s="3">
        <v>460000</v>
      </c>
      <c r="G2274" s="3">
        <v>460000</v>
      </c>
      <c r="H2274" s="4"/>
      <c r="I2274" s="4"/>
      <c r="J2274" s="4"/>
      <c r="K2274" s="4"/>
      <c r="L2274" s="4"/>
      <c r="M2274" s="4"/>
    </row>
    <row r="2275" spans="1:13" ht="15" customHeight="1" x14ac:dyDescent="0.35">
      <c r="A2275" t="str">
        <f t="shared" si="35"/>
        <v>P692HE00C1431</v>
      </c>
      <c r="B2275" t="str">
        <f>IFERROR(VLOOKUP($A2275,'[5]Study Budget Mapping '!$O$2:$P$532,2,0),"TBA")</f>
        <v>TBA</v>
      </c>
      <c r="D2275" s="2" t="s">
        <v>408</v>
      </c>
      <c r="E2275" s="2" t="s">
        <v>24</v>
      </c>
      <c r="F2275" s="3">
        <v>910000</v>
      </c>
      <c r="G2275" s="3">
        <v>910000</v>
      </c>
      <c r="H2275" s="4"/>
      <c r="I2275" s="4"/>
      <c r="J2275" s="4"/>
      <c r="K2275" s="4"/>
      <c r="L2275" s="4"/>
      <c r="M2275" s="4"/>
    </row>
    <row r="2276" spans="1:13" ht="15" customHeight="1" x14ac:dyDescent="0.35">
      <c r="A2276" t="str">
        <f t="shared" si="35"/>
        <v>P692HE00C1431</v>
      </c>
      <c r="B2276" t="str">
        <f>IFERROR(VLOOKUP($A2276,'[5]Study Budget Mapping '!$O$2:$P$532,2,0),"TBA")</f>
        <v>TBA</v>
      </c>
      <c r="D2276" s="2" t="s">
        <v>408</v>
      </c>
      <c r="E2276" s="2" t="s">
        <v>32</v>
      </c>
      <c r="F2276" s="3">
        <v>1100000</v>
      </c>
      <c r="G2276" s="3">
        <v>1100000</v>
      </c>
      <c r="H2276" s="4"/>
      <c r="I2276" s="4"/>
      <c r="J2276" s="4"/>
      <c r="K2276" s="4"/>
      <c r="L2276" s="4"/>
      <c r="M2276" s="4"/>
    </row>
    <row r="2277" spans="1:13" ht="15" customHeight="1" x14ac:dyDescent="0.35">
      <c r="A2277" t="str">
        <f t="shared" si="35"/>
        <v>P692IM00C1401</v>
      </c>
      <c r="B2277" t="str">
        <f>IFERROR(VLOOKUP($A2277,'[5]Study Budget Mapping '!$O$2:$P$532,2,0),"TBA")</f>
        <v>TBA</v>
      </c>
      <c r="D2277" s="2" t="s">
        <v>409</v>
      </c>
      <c r="E2277" s="2" t="s">
        <v>15</v>
      </c>
      <c r="F2277" s="3">
        <v>1000000</v>
      </c>
      <c r="G2277" s="3">
        <v>1000000</v>
      </c>
      <c r="H2277" s="4"/>
      <c r="I2277" s="4"/>
      <c r="J2277" s="4"/>
      <c r="K2277" s="4"/>
      <c r="L2277" s="4"/>
      <c r="M2277" s="4"/>
    </row>
    <row r="2278" spans="1:13" ht="15" customHeight="1" x14ac:dyDescent="0.35">
      <c r="A2278" t="str">
        <f t="shared" si="35"/>
        <v>P693ST01C2531</v>
      </c>
      <c r="B2278" t="str">
        <f>IFERROR(VLOOKUP($A2278,'[5]Study Budget Mapping '!$O$2:$P$532,2,0),"TBA")</f>
        <v>TBA</v>
      </c>
      <c r="D2278" s="2" t="s">
        <v>410</v>
      </c>
      <c r="E2278" s="2" t="s">
        <v>13</v>
      </c>
      <c r="F2278" s="3">
        <v>11100000</v>
      </c>
      <c r="G2278" s="3">
        <v>11100000</v>
      </c>
      <c r="H2278" s="4"/>
      <c r="I2278" s="4"/>
      <c r="J2278" s="4"/>
      <c r="K2278" s="4"/>
      <c r="L2278" s="4"/>
      <c r="M2278" s="4"/>
    </row>
    <row r="2279" spans="1:13" ht="15" customHeight="1" x14ac:dyDescent="0.35">
      <c r="A2279" t="str">
        <f t="shared" si="35"/>
        <v>P693ST01C2531</v>
      </c>
      <c r="B2279" t="str">
        <f>IFERROR(VLOOKUP($A2279,'[5]Study Budget Mapping '!$O$2:$P$532,2,0),"TBA")</f>
        <v>TBA</v>
      </c>
      <c r="D2279" s="2" t="s">
        <v>410</v>
      </c>
      <c r="E2279" s="2" t="s">
        <v>14</v>
      </c>
      <c r="F2279" s="3">
        <v>1300000</v>
      </c>
      <c r="G2279" s="3">
        <v>1300000</v>
      </c>
      <c r="H2279" s="4"/>
      <c r="I2279" s="4"/>
      <c r="J2279" s="4"/>
      <c r="K2279" s="4"/>
      <c r="L2279" s="4"/>
      <c r="M2279" s="4"/>
    </row>
    <row r="2280" spans="1:13" ht="15" customHeight="1" x14ac:dyDescent="0.35">
      <c r="A2280" t="str">
        <f t="shared" si="35"/>
        <v>P693ST01C2531</v>
      </c>
      <c r="B2280" t="str">
        <f>IFERROR(VLOOKUP($A2280,'[5]Study Budget Mapping '!$O$2:$P$532,2,0),"TBA")</f>
        <v>TBA</v>
      </c>
      <c r="D2280" s="2" t="s">
        <v>410</v>
      </c>
      <c r="E2280" s="2" t="s">
        <v>20</v>
      </c>
      <c r="F2280" s="3">
        <v>610000</v>
      </c>
      <c r="G2280" s="3">
        <v>610000</v>
      </c>
      <c r="H2280" s="4"/>
      <c r="I2280" s="4"/>
      <c r="J2280" s="4"/>
      <c r="K2280" s="4"/>
      <c r="L2280" s="4"/>
      <c r="M2280" s="4"/>
    </row>
    <row r="2281" spans="1:13" ht="15" customHeight="1" x14ac:dyDescent="0.35">
      <c r="A2281" t="str">
        <f t="shared" si="35"/>
        <v>P693ST01C2531</v>
      </c>
      <c r="B2281" t="str">
        <f>IFERROR(VLOOKUP($A2281,'[5]Study Budget Mapping '!$O$2:$P$532,2,0),"TBA")</f>
        <v>TBA</v>
      </c>
      <c r="D2281" s="2" t="s">
        <v>410</v>
      </c>
      <c r="E2281" s="2" t="s">
        <v>15</v>
      </c>
      <c r="F2281" s="3">
        <v>5460000</v>
      </c>
      <c r="G2281" s="3">
        <v>5460000</v>
      </c>
      <c r="H2281" s="4"/>
      <c r="I2281" s="4"/>
      <c r="J2281" s="4"/>
      <c r="K2281" s="4"/>
      <c r="L2281" s="4"/>
      <c r="M2281" s="4"/>
    </row>
    <row r="2282" spans="1:13" ht="15" customHeight="1" x14ac:dyDescent="0.35">
      <c r="A2282" t="str">
        <f t="shared" si="35"/>
        <v>P693ST01C2531</v>
      </c>
      <c r="B2282" t="str">
        <f>IFERROR(VLOOKUP($A2282,'[5]Study Budget Mapping '!$O$2:$P$532,2,0),"TBA")</f>
        <v>TBA</v>
      </c>
      <c r="D2282" s="2" t="s">
        <v>410</v>
      </c>
      <c r="E2282" s="2" t="s">
        <v>16</v>
      </c>
      <c r="F2282" s="3">
        <v>570000</v>
      </c>
      <c r="G2282" s="3">
        <v>570000</v>
      </c>
      <c r="H2282" s="4"/>
      <c r="I2282" s="4"/>
      <c r="J2282" s="4"/>
      <c r="K2282" s="4"/>
      <c r="L2282" s="4"/>
      <c r="M2282" s="4"/>
    </row>
    <row r="2283" spans="1:13" ht="15" customHeight="1" x14ac:dyDescent="0.35">
      <c r="A2283" t="str">
        <f t="shared" si="35"/>
        <v>P693ST01C2531</v>
      </c>
      <c r="B2283" t="str">
        <f>IFERROR(VLOOKUP($A2283,'[5]Study Budget Mapping '!$O$2:$P$532,2,0),"TBA")</f>
        <v>TBA</v>
      </c>
      <c r="D2283" s="2" t="s">
        <v>410</v>
      </c>
      <c r="E2283" s="2" t="s">
        <v>17</v>
      </c>
      <c r="F2283" s="3">
        <v>420000</v>
      </c>
      <c r="G2283" s="3">
        <v>420000</v>
      </c>
      <c r="H2283" s="4"/>
      <c r="I2283" s="4"/>
      <c r="J2283" s="4"/>
      <c r="K2283" s="4"/>
      <c r="L2283" s="4"/>
      <c r="M2283" s="4"/>
    </row>
    <row r="2284" spans="1:13" ht="15" customHeight="1" x14ac:dyDescent="0.35">
      <c r="A2284" t="str">
        <f t="shared" si="35"/>
        <v>P693ST01C2531</v>
      </c>
      <c r="B2284" t="str">
        <f>IFERROR(VLOOKUP($A2284,'[5]Study Budget Mapping '!$O$2:$P$532,2,0),"TBA")</f>
        <v>TBA</v>
      </c>
      <c r="D2284" s="2" t="s">
        <v>410</v>
      </c>
      <c r="E2284" s="2" t="s">
        <v>24</v>
      </c>
      <c r="F2284" s="3">
        <v>310000</v>
      </c>
      <c r="G2284" s="3">
        <v>310000</v>
      </c>
      <c r="H2284" s="4"/>
      <c r="I2284" s="4"/>
      <c r="J2284" s="4"/>
      <c r="K2284" s="4"/>
      <c r="L2284" s="4"/>
      <c r="M2284" s="4"/>
    </row>
    <row r="2285" spans="1:13" ht="15" customHeight="1" x14ac:dyDescent="0.35">
      <c r="A2285" t="str">
        <f t="shared" si="35"/>
        <v>P693ST01C2531</v>
      </c>
      <c r="B2285" t="str">
        <f>IFERROR(VLOOKUP($A2285,'[5]Study Budget Mapping '!$O$2:$P$532,2,0),"TBA")</f>
        <v>TBA</v>
      </c>
      <c r="D2285" s="2" t="s">
        <v>410</v>
      </c>
      <c r="E2285" s="2" t="s">
        <v>32</v>
      </c>
      <c r="F2285" s="3">
        <v>340000</v>
      </c>
      <c r="G2285" s="3">
        <v>340000</v>
      </c>
      <c r="H2285" s="4"/>
      <c r="I2285" s="4"/>
      <c r="J2285" s="4"/>
      <c r="K2285" s="4"/>
      <c r="L2285" s="4"/>
      <c r="M2285" s="4"/>
    </row>
    <row r="2286" spans="1:13" ht="15" customHeight="1" x14ac:dyDescent="0.35">
      <c r="A2286" t="str">
        <f t="shared" si="35"/>
        <v>P694ST00C1031</v>
      </c>
      <c r="B2286" t="str">
        <f>IFERROR(VLOOKUP($A2286,'[5]Study Budget Mapping '!$O$2:$P$532,2,0),"TBA")</f>
        <v>TBA</v>
      </c>
      <c r="D2286" s="2" t="s">
        <v>411</v>
      </c>
      <c r="E2286" s="2" t="s">
        <v>13</v>
      </c>
      <c r="F2286" s="3">
        <v>13690000</v>
      </c>
      <c r="G2286" s="3">
        <v>60200000</v>
      </c>
      <c r="H2286" s="4"/>
      <c r="I2286" s="4"/>
      <c r="J2286" s="4"/>
      <c r="K2286" s="4"/>
      <c r="L2286" s="4"/>
      <c r="M2286" s="4"/>
    </row>
    <row r="2287" spans="1:13" ht="15" customHeight="1" x14ac:dyDescent="0.35">
      <c r="A2287" t="str">
        <f t="shared" si="35"/>
        <v>P694ST00C1031</v>
      </c>
      <c r="B2287" t="str">
        <f>IFERROR(VLOOKUP($A2287,'[5]Study Budget Mapping '!$O$2:$P$532,2,0),"TBA")</f>
        <v>TBA</v>
      </c>
      <c r="D2287" s="2" t="s">
        <v>411</v>
      </c>
      <c r="E2287" s="2" t="s">
        <v>14</v>
      </c>
      <c r="F2287" s="3">
        <v>2100000</v>
      </c>
      <c r="G2287" s="3">
        <v>5300000</v>
      </c>
      <c r="H2287" s="4"/>
      <c r="I2287" s="4"/>
      <c r="J2287" s="4"/>
      <c r="K2287" s="4"/>
      <c r="L2287" s="4"/>
      <c r="M2287" s="4"/>
    </row>
    <row r="2288" spans="1:13" ht="15" customHeight="1" x14ac:dyDescent="0.35">
      <c r="A2288" t="str">
        <f t="shared" si="35"/>
        <v>P694ST00C1031</v>
      </c>
      <c r="B2288" t="str">
        <f>IFERROR(VLOOKUP($A2288,'[5]Study Budget Mapping '!$O$2:$P$532,2,0),"TBA")</f>
        <v>TBA</v>
      </c>
      <c r="D2288" s="2" t="s">
        <v>411</v>
      </c>
      <c r="E2288" s="2" t="s">
        <v>19</v>
      </c>
      <c r="F2288" s="3">
        <v>0</v>
      </c>
      <c r="G2288" s="3">
        <v>6790000</v>
      </c>
      <c r="H2288" s="4"/>
      <c r="I2288" s="4"/>
      <c r="J2288" s="4"/>
      <c r="K2288" s="4"/>
      <c r="L2288" s="4"/>
      <c r="M2288" s="4"/>
    </row>
    <row r="2289" spans="1:13" ht="15" customHeight="1" x14ac:dyDescent="0.35">
      <c r="A2289" t="str">
        <f t="shared" si="35"/>
        <v>P694ST00C1031</v>
      </c>
      <c r="B2289" t="str">
        <f>IFERROR(VLOOKUP($A2289,'[5]Study Budget Mapping '!$O$2:$P$532,2,0),"TBA")</f>
        <v>TBA</v>
      </c>
      <c r="D2289" s="2" t="s">
        <v>411</v>
      </c>
      <c r="E2289" s="2" t="s">
        <v>20</v>
      </c>
      <c r="F2289" s="3">
        <v>480000</v>
      </c>
      <c r="G2289" s="3">
        <v>1350000</v>
      </c>
      <c r="H2289" s="4"/>
      <c r="I2289" s="4"/>
      <c r="J2289" s="4"/>
      <c r="K2289" s="4"/>
      <c r="L2289" s="4"/>
      <c r="M2289" s="4"/>
    </row>
    <row r="2290" spans="1:13" ht="15" customHeight="1" x14ac:dyDescent="0.35">
      <c r="A2290" t="str">
        <f t="shared" si="35"/>
        <v>P694ST00C1031</v>
      </c>
      <c r="B2290" t="str">
        <f>IFERROR(VLOOKUP($A2290,'[5]Study Budget Mapping '!$O$2:$P$532,2,0),"TBA")</f>
        <v>TBA</v>
      </c>
      <c r="D2290" s="2" t="s">
        <v>411</v>
      </c>
      <c r="E2290" s="2" t="s">
        <v>15</v>
      </c>
      <c r="F2290" s="3">
        <v>10030000</v>
      </c>
      <c r="G2290" s="3">
        <v>18595000</v>
      </c>
      <c r="H2290" s="4"/>
      <c r="I2290" s="4"/>
      <c r="J2290" s="4"/>
      <c r="K2290" s="4"/>
      <c r="L2290" s="4"/>
      <c r="M2290" s="4"/>
    </row>
    <row r="2291" spans="1:13" ht="15" customHeight="1" x14ac:dyDescent="0.35">
      <c r="A2291" t="str">
        <f t="shared" si="35"/>
        <v>P694ST00C1031</v>
      </c>
      <c r="B2291" t="str">
        <f>IFERROR(VLOOKUP($A2291,'[5]Study Budget Mapping '!$O$2:$P$532,2,0),"TBA")</f>
        <v>TBA</v>
      </c>
      <c r="D2291" s="2" t="s">
        <v>411</v>
      </c>
      <c r="E2291" s="2" t="s">
        <v>16</v>
      </c>
      <c r="F2291" s="3">
        <v>1190000</v>
      </c>
      <c r="G2291" s="3">
        <v>2600000</v>
      </c>
      <c r="H2291" s="4"/>
      <c r="I2291" s="4"/>
      <c r="J2291" s="4"/>
      <c r="K2291" s="4"/>
      <c r="L2291" s="4"/>
      <c r="M2291" s="4"/>
    </row>
    <row r="2292" spans="1:13" ht="15" customHeight="1" x14ac:dyDescent="0.35">
      <c r="A2292" t="str">
        <f t="shared" si="35"/>
        <v>P694ST00C1031</v>
      </c>
      <c r="B2292" t="str">
        <f>IFERROR(VLOOKUP($A2292,'[5]Study Budget Mapping '!$O$2:$P$532,2,0),"TBA")</f>
        <v>TBA</v>
      </c>
      <c r="D2292" s="2" t="s">
        <v>411</v>
      </c>
      <c r="E2292" s="2" t="s">
        <v>17</v>
      </c>
      <c r="F2292" s="3">
        <v>410000</v>
      </c>
      <c r="G2292" s="3">
        <v>1300000</v>
      </c>
      <c r="H2292" s="4"/>
      <c r="I2292" s="4"/>
      <c r="J2292" s="4"/>
      <c r="K2292" s="4"/>
      <c r="L2292" s="4"/>
      <c r="M2292" s="4"/>
    </row>
    <row r="2293" spans="1:13" ht="15" customHeight="1" x14ac:dyDescent="0.35">
      <c r="A2293" t="str">
        <f t="shared" si="35"/>
        <v>P694ST00C1031</v>
      </c>
      <c r="B2293" t="str">
        <f>IFERROR(VLOOKUP($A2293,'[5]Study Budget Mapping '!$O$2:$P$532,2,0),"TBA")</f>
        <v>TBA</v>
      </c>
      <c r="D2293" s="2" t="s">
        <v>411</v>
      </c>
      <c r="E2293" s="2" t="s">
        <v>23</v>
      </c>
      <c r="F2293" s="3">
        <v>0</v>
      </c>
      <c r="G2293" s="3">
        <v>530000</v>
      </c>
      <c r="H2293" s="4"/>
      <c r="I2293" s="4"/>
      <c r="J2293" s="4"/>
      <c r="K2293" s="4"/>
      <c r="L2293" s="4"/>
      <c r="M2293" s="4"/>
    </row>
    <row r="2294" spans="1:13" ht="15" customHeight="1" x14ac:dyDescent="0.35">
      <c r="A2294" t="str">
        <f t="shared" si="35"/>
        <v>P694ST00C1031</v>
      </c>
      <c r="B2294" t="str">
        <f>IFERROR(VLOOKUP($A2294,'[5]Study Budget Mapping '!$O$2:$P$532,2,0),"TBA")</f>
        <v>TBA</v>
      </c>
      <c r="D2294" s="2" t="s">
        <v>411</v>
      </c>
      <c r="E2294" s="2" t="s">
        <v>24</v>
      </c>
      <c r="F2294" s="3">
        <v>1390000</v>
      </c>
      <c r="G2294" s="3">
        <v>1650000</v>
      </c>
      <c r="H2294" s="4"/>
      <c r="I2294" s="4"/>
      <c r="J2294" s="4"/>
      <c r="K2294" s="4"/>
      <c r="L2294" s="4"/>
      <c r="M2294" s="4"/>
    </row>
    <row r="2295" spans="1:13" ht="15" customHeight="1" x14ac:dyDescent="0.35">
      <c r="A2295" t="str">
        <f t="shared" si="35"/>
        <v>P694ST00C1031</v>
      </c>
      <c r="B2295" t="str">
        <f>IFERROR(VLOOKUP($A2295,'[5]Study Budget Mapping '!$O$2:$P$532,2,0),"TBA")</f>
        <v>TBA</v>
      </c>
      <c r="D2295" s="2" t="s">
        <v>411</v>
      </c>
      <c r="E2295" s="2" t="s">
        <v>32</v>
      </c>
      <c r="F2295" s="3">
        <v>3500000</v>
      </c>
      <c r="G2295" s="3">
        <v>5460000</v>
      </c>
      <c r="H2295" s="4"/>
      <c r="I2295" s="4"/>
      <c r="J2295" s="4"/>
      <c r="K2295" s="4"/>
      <c r="L2295" s="4"/>
      <c r="M2295" s="4"/>
    </row>
    <row r="2296" spans="1:13" ht="15" customHeight="1" x14ac:dyDescent="0.35">
      <c r="A2296" t="str">
        <f t="shared" si="35"/>
        <v>P694ST12C2631</v>
      </c>
      <c r="B2296" t="str">
        <f>IFERROR(VLOOKUP($A2296,'[5]Study Budget Mapping '!$O$2:$P$532,2,0),"TBA")</f>
        <v>TBA</v>
      </c>
      <c r="D2296" s="2" t="s">
        <v>412</v>
      </c>
      <c r="E2296" s="2" t="s">
        <v>15</v>
      </c>
      <c r="F2296" s="3">
        <v>15000000</v>
      </c>
      <c r="G2296" s="3">
        <v>15000000</v>
      </c>
      <c r="H2296" s="4"/>
      <c r="I2296" s="4"/>
      <c r="J2296" s="4"/>
      <c r="K2296" s="4"/>
      <c r="L2296" s="4"/>
      <c r="M2296" s="4"/>
    </row>
    <row r="2297" spans="1:13" ht="15" customHeight="1" x14ac:dyDescent="0.35">
      <c r="A2297" t="str">
        <f t="shared" si="35"/>
        <v>P695ST00C1031</v>
      </c>
      <c r="B2297" t="str">
        <f>IFERROR(VLOOKUP($A2297,'[5]Study Budget Mapping '!$O$2:$P$532,2,0),"TBA")</f>
        <v>TBA</v>
      </c>
      <c r="D2297" s="2" t="s">
        <v>413</v>
      </c>
      <c r="E2297" s="2" t="s">
        <v>13</v>
      </c>
      <c r="F2297" s="3">
        <v>17900000</v>
      </c>
      <c r="G2297" s="3">
        <v>23960000</v>
      </c>
      <c r="H2297" s="4"/>
      <c r="I2297" s="4"/>
      <c r="J2297" s="4"/>
      <c r="K2297" s="4"/>
      <c r="L2297" s="4"/>
      <c r="M2297" s="4"/>
    </row>
    <row r="2298" spans="1:13" ht="15" customHeight="1" x14ac:dyDescent="0.35">
      <c r="A2298" t="str">
        <f t="shared" si="35"/>
        <v>P695ST00C1031</v>
      </c>
      <c r="B2298" t="str">
        <f>IFERROR(VLOOKUP($A2298,'[5]Study Budget Mapping '!$O$2:$P$532,2,0),"TBA")</f>
        <v>TBA</v>
      </c>
      <c r="D2298" s="2" t="s">
        <v>413</v>
      </c>
      <c r="E2298" s="2" t="s">
        <v>14</v>
      </c>
      <c r="F2298" s="3">
        <v>3300000</v>
      </c>
      <c r="G2298" s="3">
        <v>5980000</v>
      </c>
      <c r="H2298" s="4"/>
      <c r="I2298" s="4"/>
      <c r="J2298" s="4"/>
      <c r="K2298" s="4"/>
      <c r="L2298" s="4"/>
      <c r="M2298" s="4"/>
    </row>
    <row r="2299" spans="1:13" ht="15" customHeight="1" x14ac:dyDescent="0.35">
      <c r="A2299" t="str">
        <f t="shared" si="35"/>
        <v>P695ST00C1031</v>
      </c>
      <c r="B2299" t="str">
        <f>IFERROR(VLOOKUP($A2299,'[5]Study Budget Mapping '!$O$2:$P$532,2,0),"TBA")</f>
        <v>TBA</v>
      </c>
      <c r="D2299" s="2" t="s">
        <v>413</v>
      </c>
      <c r="E2299" s="2" t="s">
        <v>19</v>
      </c>
      <c r="F2299" s="3">
        <v>480000</v>
      </c>
      <c r="G2299" s="3">
        <v>710000</v>
      </c>
      <c r="H2299" s="4"/>
      <c r="I2299" s="4"/>
      <c r="J2299" s="4"/>
      <c r="K2299" s="4"/>
      <c r="L2299" s="4"/>
      <c r="M2299" s="4"/>
    </row>
    <row r="2300" spans="1:13" ht="15" customHeight="1" x14ac:dyDescent="0.35">
      <c r="A2300" t="str">
        <f t="shared" si="35"/>
        <v>P695ST00C1031</v>
      </c>
      <c r="B2300" t="str">
        <f>IFERROR(VLOOKUP($A2300,'[5]Study Budget Mapping '!$O$2:$P$532,2,0),"TBA")</f>
        <v>TBA</v>
      </c>
      <c r="D2300" s="2" t="s">
        <v>413</v>
      </c>
      <c r="E2300" s="2" t="s">
        <v>20</v>
      </c>
      <c r="F2300" s="3">
        <v>20000</v>
      </c>
      <c r="G2300" s="3">
        <v>440000</v>
      </c>
      <c r="H2300" s="4"/>
      <c r="I2300" s="4"/>
      <c r="J2300" s="4"/>
      <c r="K2300" s="4"/>
      <c r="L2300" s="4"/>
      <c r="M2300" s="4"/>
    </row>
    <row r="2301" spans="1:13" ht="15" customHeight="1" x14ac:dyDescent="0.35">
      <c r="A2301" t="str">
        <f t="shared" si="35"/>
        <v>P695ST00C1031</v>
      </c>
      <c r="B2301" t="str">
        <f>IFERROR(VLOOKUP($A2301,'[5]Study Budget Mapping '!$O$2:$P$532,2,0),"TBA")</f>
        <v>TBA</v>
      </c>
      <c r="D2301" s="2" t="s">
        <v>413</v>
      </c>
      <c r="E2301" s="2" t="s">
        <v>31</v>
      </c>
      <c r="F2301" s="3">
        <v>0</v>
      </c>
      <c r="G2301" s="3">
        <v>45000</v>
      </c>
      <c r="H2301" s="4"/>
      <c r="I2301" s="4"/>
      <c r="J2301" s="4"/>
      <c r="K2301" s="4"/>
      <c r="L2301" s="4"/>
      <c r="M2301" s="4"/>
    </row>
    <row r="2302" spans="1:13" ht="15" customHeight="1" x14ac:dyDescent="0.35">
      <c r="A2302" t="str">
        <f t="shared" si="35"/>
        <v>P695ST00C1031</v>
      </c>
      <c r="B2302" t="str">
        <f>IFERROR(VLOOKUP($A2302,'[5]Study Budget Mapping '!$O$2:$P$532,2,0),"TBA")</f>
        <v>TBA</v>
      </c>
      <c r="D2302" s="2" t="s">
        <v>413</v>
      </c>
      <c r="E2302" s="2" t="s">
        <v>15</v>
      </c>
      <c r="F2302" s="3">
        <v>8400000</v>
      </c>
      <c r="G2302" s="3">
        <v>9225000</v>
      </c>
      <c r="H2302" s="4"/>
      <c r="I2302" s="4"/>
      <c r="J2302" s="4"/>
      <c r="K2302" s="4"/>
      <c r="L2302" s="4"/>
      <c r="M2302" s="4"/>
    </row>
    <row r="2303" spans="1:13" ht="15" customHeight="1" x14ac:dyDescent="0.35">
      <c r="A2303" t="str">
        <f t="shared" si="35"/>
        <v>P695ST00C1031</v>
      </c>
      <c r="B2303" t="str">
        <f>IFERROR(VLOOKUP($A2303,'[5]Study Budget Mapping '!$O$2:$P$532,2,0),"TBA")</f>
        <v>TBA</v>
      </c>
      <c r="D2303" s="2" t="s">
        <v>413</v>
      </c>
      <c r="E2303" s="2" t="s">
        <v>22</v>
      </c>
      <c r="F2303" s="3">
        <v>1520000</v>
      </c>
      <c r="G2303" s="3">
        <v>1260000</v>
      </c>
      <c r="H2303" s="4"/>
      <c r="I2303" s="4"/>
      <c r="J2303" s="4"/>
      <c r="K2303" s="4"/>
      <c r="L2303" s="4"/>
      <c r="M2303" s="4"/>
    </row>
    <row r="2304" spans="1:13" ht="15" customHeight="1" x14ac:dyDescent="0.35">
      <c r="A2304" t="str">
        <f t="shared" si="35"/>
        <v>P695ST00C1031</v>
      </c>
      <c r="B2304" t="str">
        <f>IFERROR(VLOOKUP($A2304,'[5]Study Budget Mapping '!$O$2:$P$532,2,0),"TBA")</f>
        <v>TBA</v>
      </c>
      <c r="D2304" s="2" t="s">
        <v>413</v>
      </c>
      <c r="E2304" s="2" t="s">
        <v>16</v>
      </c>
      <c r="F2304" s="3">
        <v>810000</v>
      </c>
      <c r="G2304" s="3">
        <v>1155000</v>
      </c>
      <c r="H2304" s="4"/>
      <c r="I2304" s="4"/>
      <c r="J2304" s="4"/>
      <c r="K2304" s="4"/>
      <c r="L2304" s="4"/>
      <c r="M2304" s="4"/>
    </row>
    <row r="2305" spans="1:13" ht="15" customHeight="1" x14ac:dyDescent="0.35">
      <c r="A2305" t="str">
        <f t="shared" si="35"/>
        <v>P695ST00C1031</v>
      </c>
      <c r="B2305" t="str">
        <f>IFERROR(VLOOKUP($A2305,'[5]Study Budget Mapping '!$O$2:$P$532,2,0),"TBA")</f>
        <v>TBA</v>
      </c>
      <c r="D2305" s="2" t="s">
        <v>413</v>
      </c>
      <c r="E2305" s="2" t="s">
        <v>17</v>
      </c>
      <c r="F2305" s="3">
        <v>430000</v>
      </c>
      <c r="G2305" s="3">
        <v>94000</v>
      </c>
      <c r="H2305" s="4"/>
      <c r="I2305" s="4"/>
      <c r="J2305" s="4"/>
      <c r="K2305" s="4"/>
      <c r="L2305" s="4"/>
      <c r="M2305" s="4"/>
    </row>
    <row r="2306" spans="1:13" ht="15" customHeight="1" x14ac:dyDescent="0.35">
      <c r="A2306" t="str">
        <f t="shared" si="35"/>
        <v>P695ST00C1031</v>
      </c>
      <c r="B2306" t="str">
        <f>IFERROR(VLOOKUP($A2306,'[5]Study Budget Mapping '!$O$2:$P$532,2,0),"TBA")</f>
        <v>TBA</v>
      </c>
      <c r="D2306" s="2" t="s">
        <v>413</v>
      </c>
      <c r="E2306" s="2" t="s">
        <v>23</v>
      </c>
      <c r="F2306" s="3">
        <v>540000</v>
      </c>
      <c r="G2306" s="3">
        <v>80000</v>
      </c>
      <c r="H2306" s="4"/>
      <c r="I2306" s="4"/>
      <c r="J2306" s="4"/>
      <c r="K2306" s="4"/>
      <c r="L2306" s="4"/>
      <c r="M2306" s="4"/>
    </row>
    <row r="2307" spans="1:13" ht="15" customHeight="1" x14ac:dyDescent="0.35">
      <c r="A2307" t="str">
        <f t="shared" ref="A2307:A2370" si="36">TRIM(_xlfn.TEXTBEFORE(D2307,"-",1))</f>
        <v>P695ST00C1031</v>
      </c>
      <c r="B2307" t="str">
        <f>IFERROR(VLOOKUP($A2307,'[5]Study Budget Mapping '!$O$2:$P$532,2,0),"TBA")</f>
        <v>TBA</v>
      </c>
      <c r="D2307" s="2" t="s">
        <v>413</v>
      </c>
      <c r="E2307" s="2" t="s">
        <v>24</v>
      </c>
      <c r="F2307" s="3">
        <v>870000</v>
      </c>
      <c r="G2307" s="3">
        <v>1280000</v>
      </c>
      <c r="H2307" s="4"/>
      <c r="I2307" s="4"/>
      <c r="J2307" s="4"/>
      <c r="K2307" s="4"/>
      <c r="L2307" s="4"/>
      <c r="M2307" s="4"/>
    </row>
    <row r="2308" spans="1:13" ht="15" customHeight="1" x14ac:dyDescent="0.35">
      <c r="A2308" t="str">
        <f t="shared" si="36"/>
        <v>P695ST00C1031</v>
      </c>
      <c r="B2308" t="str">
        <f>IFERROR(VLOOKUP($A2308,'[5]Study Budget Mapping '!$O$2:$P$532,2,0),"TBA")</f>
        <v>TBA</v>
      </c>
      <c r="D2308" s="2" t="s">
        <v>413</v>
      </c>
      <c r="E2308" s="2" t="s">
        <v>32</v>
      </c>
      <c r="F2308" s="3">
        <v>2600000</v>
      </c>
      <c r="G2308" s="3">
        <v>94000</v>
      </c>
      <c r="H2308" s="4"/>
      <c r="I2308" s="4"/>
      <c r="J2308" s="4"/>
      <c r="K2308" s="4"/>
      <c r="L2308" s="4"/>
      <c r="M2308" s="4"/>
    </row>
    <row r="2309" spans="1:13" ht="15" customHeight="1" x14ac:dyDescent="0.35">
      <c r="A2309" t="str">
        <f t="shared" si="36"/>
        <v>P696ST04C1531</v>
      </c>
      <c r="B2309" t="str">
        <f>IFERROR(VLOOKUP($A2309,'[5]Study Budget Mapping '!$O$2:$P$532,2,0),"TBA")</f>
        <v>TBA</v>
      </c>
      <c r="D2309" s="2" t="s">
        <v>414</v>
      </c>
      <c r="E2309" s="2" t="s">
        <v>13</v>
      </c>
      <c r="F2309" s="3">
        <v>34911590</v>
      </c>
      <c r="G2309" s="3">
        <v>34000000</v>
      </c>
      <c r="H2309" s="4"/>
      <c r="I2309" s="4"/>
      <c r="J2309" s="4"/>
      <c r="K2309" s="4"/>
      <c r="L2309" s="4"/>
      <c r="M2309" s="4"/>
    </row>
    <row r="2310" spans="1:13" ht="15" customHeight="1" x14ac:dyDescent="0.35">
      <c r="A2310" t="str">
        <f t="shared" si="36"/>
        <v>P696ST04C1531</v>
      </c>
      <c r="B2310" t="str">
        <f>IFERROR(VLOOKUP($A2310,'[5]Study Budget Mapping '!$O$2:$P$532,2,0),"TBA")</f>
        <v>TBA</v>
      </c>
      <c r="D2310" s="2" t="s">
        <v>414</v>
      </c>
      <c r="E2310" s="2" t="s">
        <v>14</v>
      </c>
      <c r="F2310" s="3">
        <v>1999471</v>
      </c>
      <c r="G2310" s="3">
        <v>3090000</v>
      </c>
      <c r="H2310" s="4"/>
      <c r="I2310" s="4"/>
      <c r="J2310" s="4"/>
      <c r="K2310" s="4"/>
      <c r="L2310" s="4"/>
      <c r="M2310" s="4"/>
    </row>
    <row r="2311" spans="1:13" ht="15" customHeight="1" x14ac:dyDescent="0.35">
      <c r="A2311" t="str">
        <f t="shared" si="36"/>
        <v>P696ST04C1531</v>
      </c>
      <c r="B2311" t="str">
        <f>IFERROR(VLOOKUP($A2311,'[5]Study Budget Mapping '!$O$2:$P$532,2,0),"TBA")</f>
        <v>TBA</v>
      </c>
      <c r="D2311" s="2" t="s">
        <v>414</v>
      </c>
      <c r="E2311" s="2" t="s">
        <v>19</v>
      </c>
      <c r="F2311" s="3">
        <v>0</v>
      </c>
      <c r="G2311" s="3">
        <v>160000</v>
      </c>
      <c r="H2311" s="4"/>
      <c r="I2311" s="4"/>
      <c r="J2311" s="4"/>
      <c r="K2311" s="4"/>
      <c r="L2311" s="4"/>
      <c r="M2311" s="4"/>
    </row>
    <row r="2312" spans="1:13" ht="15" customHeight="1" x14ac:dyDescent="0.35">
      <c r="A2312" t="str">
        <f t="shared" si="36"/>
        <v>P696ST04C1531</v>
      </c>
      <c r="B2312" t="str">
        <f>IFERROR(VLOOKUP($A2312,'[5]Study Budget Mapping '!$O$2:$P$532,2,0),"TBA")</f>
        <v>TBA</v>
      </c>
      <c r="D2312" s="2" t="s">
        <v>414</v>
      </c>
      <c r="E2312" s="2" t="s">
        <v>20</v>
      </c>
      <c r="F2312" s="3">
        <v>623667</v>
      </c>
      <c r="G2312" s="3">
        <v>700000</v>
      </c>
      <c r="H2312" s="4"/>
      <c r="I2312" s="4"/>
      <c r="J2312" s="4"/>
      <c r="K2312" s="4"/>
      <c r="L2312" s="4"/>
      <c r="M2312" s="4"/>
    </row>
    <row r="2313" spans="1:13" ht="15" customHeight="1" x14ac:dyDescent="0.35">
      <c r="A2313" t="str">
        <f t="shared" si="36"/>
        <v>P696ST04C1531</v>
      </c>
      <c r="B2313" t="str">
        <f>IFERROR(VLOOKUP($A2313,'[5]Study Budget Mapping '!$O$2:$P$532,2,0),"TBA")</f>
        <v>TBA</v>
      </c>
      <c r="D2313" s="2" t="s">
        <v>414</v>
      </c>
      <c r="E2313" s="2" t="s">
        <v>15</v>
      </c>
      <c r="F2313" s="3">
        <v>12621455</v>
      </c>
      <c r="G2313" s="3">
        <v>10500000</v>
      </c>
      <c r="H2313" s="4"/>
      <c r="I2313" s="4"/>
      <c r="J2313" s="4"/>
      <c r="K2313" s="4"/>
      <c r="L2313" s="4"/>
      <c r="M2313" s="4"/>
    </row>
    <row r="2314" spans="1:13" ht="15" customHeight="1" x14ac:dyDescent="0.35">
      <c r="A2314" t="str">
        <f t="shared" si="36"/>
        <v>P696ST04C1531</v>
      </c>
      <c r="B2314" t="str">
        <f>IFERROR(VLOOKUP($A2314,'[5]Study Budget Mapping '!$O$2:$P$532,2,0),"TBA")</f>
        <v>TBA</v>
      </c>
      <c r="D2314" s="2" t="s">
        <v>414</v>
      </c>
      <c r="E2314" s="2" t="s">
        <v>22</v>
      </c>
      <c r="F2314" s="3">
        <v>0</v>
      </c>
      <c r="G2314" s="3">
        <v>1300000</v>
      </c>
      <c r="H2314" s="4"/>
      <c r="I2314" s="4"/>
      <c r="J2314" s="4"/>
      <c r="K2314" s="4"/>
      <c r="L2314" s="4"/>
      <c r="M2314" s="4"/>
    </row>
    <row r="2315" spans="1:13" ht="15" customHeight="1" x14ac:dyDescent="0.35">
      <c r="A2315" t="str">
        <f t="shared" si="36"/>
        <v>P696ST04C1531</v>
      </c>
      <c r="B2315" t="str">
        <f>IFERROR(VLOOKUP($A2315,'[5]Study Budget Mapping '!$O$2:$P$532,2,0),"TBA")</f>
        <v>TBA</v>
      </c>
      <c r="D2315" s="2" t="s">
        <v>414</v>
      </c>
      <c r="E2315" s="2" t="s">
        <v>16</v>
      </c>
      <c r="F2315" s="3">
        <v>1134221</v>
      </c>
      <c r="G2315" s="3">
        <v>1410000</v>
      </c>
      <c r="H2315" s="4"/>
      <c r="I2315" s="4"/>
      <c r="J2315" s="4"/>
      <c r="K2315" s="4"/>
      <c r="L2315" s="4"/>
      <c r="M2315" s="4"/>
    </row>
    <row r="2316" spans="1:13" ht="15" customHeight="1" x14ac:dyDescent="0.35">
      <c r="A2316" t="str">
        <f t="shared" si="36"/>
        <v>P696ST04C1531</v>
      </c>
      <c r="B2316" t="str">
        <f>IFERROR(VLOOKUP($A2316,'[5]Study Budget Mapping '!$O$2:$P$532,2,0),"TBA")</f>
        <v>TBA</v>
      </c>
      <c r="D2316" s="2" t="s">
        <v>414</v>
      </c>
      <c r="E2316" s="2" t="s">
        <v>17</v>
      </c>
      <c r="F2316" s="3">
        <v>391138</v>
      </c>
      <c r="G2316" s="3">
        <v>620000</v>
      </c>
      <c r="H2316" s="4"/>
      <c r="I2316" s="4"/>
      <c r="J2316" s="4"/>
      <c r="K2316" s="4"/>
      <c r="L2316" s="4"/>
      <c r="M2316" s="4"/>
    </row>
    <row r="2317" spans="1:13" ht="15" customHeight="1" x14ac:dyDescent="0.35">
      <c r="A2317" t="str">
        <f t="shared" si="36"/>
        <v>P696ST04C1531</v>
      </c>
      <c r="B2317" t="str">
        <f>IFERROR(VLOOKUP($A2317,'[5]Study Budget Mapping '!$O$2:$P$532,2,0),"TBA")</f>
        <v>TBA</v>
      </c>
      <c r="D2317" s="2" t="s">
        <v>414</v>
      </c>
      <c r="E2317" s="2" t="s">
        <v>24</v>
      </c>
      <c r="F2317" s="3">
        <v>1300000</v>
      </c>
      <c r="G2317" s="3">
        <v>970000</v>
      </c>
      <c r="H2317" s="4"/>
      <c r="I2317" s="4"/>
      <c r="J2317" s="4"/>
      <c r="K2317" s="4"/>
      <c r="L2317" s="4"/>
      <c r="M2317" s="4"/>
    </row>
    <row r="2318" spans="1:13" ht="15" customHeight="1" x14ac:dyDescent="0.35">
      <c r="A2318" t="str">
        <f t="shared" si="36"/>
        <v>P696ST04C1531</v>
      </c>
      <c r="B2318" t="str">
        <f>IFERROR(VLOOKUP($A2318,'[5]Study Budget Mapping '!$O$2:$P$532,2,0),"TBA")</f>
        <v>TBA</v>
      </c>
      <c r="D2318" s="2" t="s">
        <v>414</v>
      </c>
      <c r="E2318" s="2" t="s">
        <v>32</v>
      </c>
      <c r="F2318" s="3">
        <v>6785643</v>
      </c>
      <c r="G2318" s="3">
        <v>5900000</v>
      </c>
      <c r="H2318" s="4"/>
      <c r="I2318" s="4"/>
      <c r="J2318" s="4"/>
      <c r="K2318" s="4"/>
      <c r="L2318" s="4"/>
      <c r="M2318" s="4"/>
    </row>
    <row r="2319" spans="1:13" ht="15" customHeight="1" x14ac:dyDescent="0.35">
      <c r="A2319" t="str">
        <f t="shared" si="36"/>
        <v>P697ST00C1531</v>
      </c>
      <c r="B2319" t="str">
        <f>IFERROR(VLOOKUP($A2319,'[5]Study Budget Mapping '!$O$2:$P$532,2,0),"TBA")</f>
        <v>TBA</v>
      </c>
      <c r="D2319" s="2" t="s">
        <v>415</v>
      </c>
      <c r="E2319" s="2" t="s">
        <v>13</v>
      </c>
      <c r="F2319" s="3">
        <v>5620000</v>
      </c>
      <c r="G2319" s="3">
        <v>6130000</v>
      </c>
      <c r="H2319" s="4"/>
      <c r="I2319" s="4"/>
      <c r="J2319" s="4"/>
      <c r="K2319" s="4"/>
      <c r="L2319" s="4"/>
      <c r="M2319" s="4"/>
    </row>
    <row r="2320" spans="1:13" ht="15" customHeight="1" x14ac:dyDescent="0.35">
      <c r="A2320" t="str">
        <f t="shared" si="36"/>
        <v>P697ST00C1531</v>
      </c>
      <c r="B2320" t="str">
        <f>IFERROR(VLOOKUP($A2320,'[5]Study Budget Mapping '!$O$2:$P$532,2,0),"TBA")</f>
        <v>TBA</v>
      </c>
      <c r="D2320" s="2" t="s">
        <v>415</v>
      </c>
      <c r="E2320" s="2" t="s">
        <v>14</v>
      </c>
      <c r="F2320" s="3">
        <v>3060000</v>
      </c>
      <c r="G2320" s="3">
        <v>3360000</v>
      </c>
      <c r="H2320" s="4"/>
      <c r="I2320" s="4"/>
      <c r="J2320" s="4"/>
      <c r="K2320" s="4"/>
      <c r="L2320" s="4"/>
      <c r="M2320" s="4"/>
    </row>
    <row r="2321" spans="1:13" ht="15" customHeight="1" x14ac:dyDescent="0.35">
      <c r="A2321" t="str">
        <f t="shared" si="36"/>
        <v>P697ST00C1531</v>
      </c>
      <c r="B2321" t="str">
        <f>IFERROR(VLOOKUP($A2321,'[5]Study Budget Mapping '!$O$2:$P$532,2,0),"TBA")</f>
        <v>TBA</v>
      </c>
      <c r="D2321" s="2" t="s">
        <v>415</v>
      </c>
      <c r="E2321" s="2" t="s">
        <v>20</v>
      </c>
      <c r="F2321" s="3">
        <v>410000</v>
      </c>
      <c r="G2321" s="3">
        <v>420000</v>
      </c>
      <c r="H2321" s="4"/>
      <c r="I2321" s="4"/>
      <c r="J2321" s="4"/>
      <c r="K2321" s="4"/>
      <c r="L2321" s="4"/>
      <c r="M2321" s="4"/>
    </row>
    <row r="2322" spans="1:13" ht="15" customHeight="1" x14ac:dyDescent="0.35">
      <c r="A2322" t="str">
        <f t="shared" si="36"/>
        <v>P697ST00C1531</v>
      </c>
      <c r="B2322" t="str">
        <f>IFERROR(VLOOKUP($A2322,'[5]Study Budget Mapping '!$O$2:$P$532,2,0),"TBA")</f>
        <v>TBA</v>
      </c>
      <c r="D2322" s="2" t="s">
        <v>415</v>
      </c>
      <c r="E2322" s="2" t="s">
        <v>15</v>
      </c>
      <c r="F2322" s="3">
        <v>9175000</v>
      </c>
      <c r="G2322" s="3">
        <v>9520000</v>
      </c>
      <c r="H2322" s="4"/>
      <c r="I2322" s="4"/>
      <c r="J2322" s="4"/>
      <c r="K2322" s="4"/>
      <c r="L2322" s="4"/>
      <c r="M2322" s="4"/>
    </row>
    <row r="2323" spans="1:13" ht="15" customHeight="1" x14ac:dyDescent="0.35">
      <c r="A2323" t="str">
        <f t="shared" si="36"/>
        <v>P697ST00C1531</v>
      </c>
      <c r="B2323" t="str">
        <f>IFERROR(VLOOKUP($A2323,'[5]Study Budget Mapping '!$O$2:$P$532,2,0),"TBA")</f>
        <v>TBA</v>
      </c>
      <c r="D2323" s="2" t="s">
        <v>415</v>
      </c>
      <c r="E2323" s="2" t="s">
        <v>16</v>
      </c>
      <c r="F2323" s="3">
        <v>780000</v>
      </c>
      <c r="G2323" s="3">
        <v>690000</v>
      </c>
      <c r="H2323" s="4"/>
      <c r="I2323" s="4"/>
      <c r="J2323" s="4"/>
      <c r="K2323" s="4"/>
      <c r="L2323" s="4"/>
      <c r="M2323" s="4"/>
    </row>
    <row r="2324" spans="1:13" ht="15" customHeight="1" x14ac:dyDescent="0.35">
      <c r="A2324" t="str">
        <f t="shared" si="36"/>
        <v>P697ST00C1531</v>
      </c>
      <c r="B2324" t="str">
        <f>IFERROR(VLOOKUP($A2324,'[5]Study Budget Mapping '!$O$2:$P$532,2,0),"TBA")</f>
        <v>TBA</v>
      </c>
      <c r="D2324" s="2" t="s">
        <v>415</v>
      </c>
      <c r="E2324" s="2" t="s">
        <v>17</v>
      </c>
      <c r="F2324" s="3">
        <v>430000</v>
      </c>
      <c r="G2324" s="3">
        <v>460000</v>
      </c>
      <c r="H2324" s="4"/>
      <c r="I2324" s="4"/>
      <c r="J2324" s="4"/>
      <c r="K2324" s="4"/>
      <c r="L2324" s="4"/>
      <c r="M2324" s="4"/>
    </row>
    <row r="2325" spans="1:13" ht="15" customHeight="1" x14ac:dyDescent="0.35">
      <c r="A2325" t="str">
        <f t="shared" si="36"/>
        <v>P697ST00C1531</v>
      </c>
      <c r="B2325" t="str">
        <f>IFERROR(VLOOKUP($A2325,'[5]Study Budget Mapping '!$O$2:$P$532,2,0),"TBA")</f>
        <v>TBA</v>
      </c>
      <c r="D2325" s="2" t="s">
        <v>415</v>
      </c>
      <c r="E2325" s="2" t="s">
        <v>24</v>
      </c>
      <c r="F2325" s="3">
        <v>720000</v>
      </c>
      <c r="G2325" s="3">
        <v>740000</v>
      </c>
      <c r="H2325" s="4"/>
      <c r="I2325" s="4"/>
      <c r="J2325" s="4"/>
      <c r="K2325" s="4"/>
      <c r="L2325" s="4"/>
      <c r="M2325" s="4"/>
    </row>
    <row r="2326" spans="1:13" ht="15" customHeight="1" x14ac:dyDescent="0.35">
      <c r="A2326" t="str">
        <f t="shared" si="36"/>
        <v>P698CV00C1021</v>
      </c>
      <c r="B2326" t="str">
        <f>IFERROR(VLOOKUP($A2326,'[5]Study Budget Mapping '!$O$2:$P$532,2,0),"TBA")</f>
        <v>TBA</v>
      </c>
      <c r="D2326" s="2" t="s">
        <v>416</v>
      </c>
      <c r="E2326" s="2" t="s">
        <v>13</v>
      </c>
      <c r="F2326" s="3">
        <v>2540000</v>
      </c>
      <c r="G2326" s="3">
        <v>4090000</v>
      </c>
      <c r="H2326" s="4"/>
      <c r="I2326" s="4"/>
      <c r="J2326" s="4"/>
      <c r="K2326" s="4"/>
      <c r="L2326" s="4"/>
      <c r="M2326" s="4"/>
    </row>
    <row r="2327" spans="1:13" ht="15" customHeight="1" x14ac:dyDescent="0.35">
      <c r="A2327" t="str">
        <f t="shared" si="36"/>
        <v>P698CV00C1021</v>
      </c>
      <c r="B2327" t="str">
        <f>IFERROR(VLOOKUP($A2327,'[5]Study Budget Mapping '!$O$2:$P$532,2,0),"TBA")</f>
        <v>TBA</v>
      </c>
      <c r="D2327" s="2" t="s">
        <v>416</v>
      </c>
      <c r="E2327" s="2" t="s">
        <v>14</v>
      </c>
      <c r="F2327" s="3">
        <v>610000</v>
      </c>
      <c r="G2327" s="3">
        <v>1010000</v>
      </c>
      <c r="H2327" s="4"/>
      <c r="I2327" s="4"/>
      <c r="J2327" s="4"/>
      <c r="K2327" s="4"/>
      <c r="L2327" s="4"/>
      <c r="M2327" s="4"/>
    </row>
    <row r="2328" spans="1:13" ht="15" customHeight="1" x14ac:dyDescent="0.35">
      <c r="A2328" t="str">
        <f t="shared" si="36"/>
        <v>P698CV00C1021</v>
      </c>
      <c r="B2328" t="str">
        <f>IFERROR(VLOOKUP($A2328,'[5]Study Budget Mapping '!$O$2:$P$532,2,0),"TBA")</f>
        <v>TBA</v>
      </c>
      <c r="D2328" s="2" t="s">
        <v>416</v>
      </c>
      <c r="E2328" s="2" t="s">
        <v>19</v>
      </c>
      <c r="F2328" s="3">
        <v>20000</v>
      </c>
      <c r="G2328" s="3">
        <v>92000</v>
      </c>
      <c r="H2328" s="4"/>
      <c r="I2328" s="4"/>
      <c r="J2328" s="4"/>
      <c r="K2328" s="4"/>
      <c r="L2328" s="4"/>
      <c r="M2328" s="4"/>
    </row>
    <row r="2329" spans="1:13" ht="15" customHeight="1" x14ac:dyDescent="0.35">
      <c r="A2329" t="str">
        <f t="shared" si="36"/>
        <v>P698CV00C1021</v>
      </c>
      <c r="B2329" t="str">
        <f>IFERROR(VLOOKUP($A2329,'[5]Study Budget Mapping '!$O$2:$P$532,2,0),"TBA")</f>
        <v>TBA</v>
      </c>
      <c r="D2329" s="2" t="s">
        <v>416</v>
      </c>
      <c r="E2329" s="2" t="s">
        <v>15</v>
      </c>
      <c r="F2329" s="3">
        <v>0</v>
      </c>
      <c r="G2329" s="3">
        <v>160000</v>
      </c>
      <c r="H2329" s="4"/>
      <c r="I2329" s="4"/>
      <c r="J2329" s="4"/>
      <c r="K2329" s="4"/>
      <c r="L2329" s="4"/>
      <c r="M2329" s="4"/>
    </row>
    <row r="2330" spans="1:13" ht="15" customHeight="1" x14ac:dyDescent="0.35">
      <c r="A2330" t="str">
        <f t="shared" si="36"/>
        <v>P698CV00C1021</v>
      </c>
      <c r="B2330" t="str">
        <f>IFERROR(VLOOKUP($A2330,'[5]Study Budget Mapping '!$O$2:$P$532,2,0),"TBA")</f>
        <v>TBA</v>
      </c>
      <c r="D2330" s="2" t="s">
        <v>416</v>
      </c>
      <c r="E2330" s="2" t="s">
        <v>22</v>
      </c>
      <c r="F2330" s="3">
        <v>0</v>
      </c>
      <c r="G2330" s="3">
        <v>910000</v>
      </c>
      <c r="H2330" s="4"/>
      <c r="I2330" s="4"/>
      <c r="J2330" s="4"/>
      <c r="K2330" s="4"/>
      <c r="L2330" s="4"/>
      <c r="M2330" s="4"/>
    </row>
    <row r="2331" spans="1:13" ht="15" customHeight="1" x14ac:dyDescent="0.35">
      <c r="A2331" t="str">
        <f t="shared" si="36"/>
        <v>P698CV00C1021</v>
      </c>
      <c r="B2331" t="str">
        <f>IFERROR(VLOOKUP($A2331,'[5]Study Budget Mapping '!$O$2:$P$532,2,0),"TBA")</f>
        <v>TBA</v>
      </c>
      <c r="D2331" s="2" t="s">
        <v>416</v>
      </c>
      <c r="E2331" s="2" t="s">
        <v>17</v>
      </c>
      <c r="F2331" s="3">
        <v>100000</v>
      </c>
      <c r="G2331" s="3">
        <v>220000</v>
      </c>
      <c r="H2331" s="4"/>
      <c r="I2331" s="4"/>
      <c r="J2331" s="4"/>
      <c r="K2331" s="4"/>
      <c r="L2331" s="4"/>
      <c r="M2331" s="4"/>
    </row>
    <row r="2332" spans="1:13" ht="15" customHeight="1" x14ac:dyDescent="0.35">
      <c r="A2332" t="str">
        <f t="shared" si="36"/>
        <v>P698CV00C1021</v>
      </c>
      <c r="B2332" t="str">
        <f>IFERROR(VLOOKUP($A2332,'[5]Study Budget Mapping '!$O$2:$P$532,2,0),"TBA")</f>
        <v>TBA</v>
      </c>
      <c r="D2332" s="2" t="s">
        <v>416</v>
      </c>
      <c r="E2332" s="2" t="s">
        <v>23</v>
      </c>
      <c r="F2332" s="3">
        <v>550000</v>
      </c>
      <c r="G2332" s="3">
        <v>1350000</v>
      </c>
      <c r="H2332" s="4"/>
      <c r="I2332" s="4"/>
      <c r="J2332" s="4"/>
      <c r="K2332" s="4"/>
      <c r="L2332" s="4"/>
      <c r="M2332" s="4"/>
    </row>
    <row r="2333" spans="1:13" ht="15" customHeight="1" x14ac:dyDescent="0.35">
      <c r="A2333" t="str">
        <f t="shared" si="36"/>
        <v>P698CV00C1021</v>
      </c>
      <c r="B2333" t="str">
        <f>IFERROR(VLOOKUP($A2333,'[5]Study Budget Mapping '!$O$2:$P$532,2,0),"TBA")</f>
        <v>TBA</v>
      </c>
      <c r="D2333" s="2" t="s">
        <v>416</v>
      </c>
      <c r="E2333" s="2" t="s">
        <v>24</v>
      </c>
      <c r="F2333" s="3">
        <v>30000</v>
      </c>
      <c r="G2333" s="3">
        <v>130000</v>
      </c>
      <c r="H2333" s="4"/>
      <c r="I2333" s="4"/>
      <c r="J2333" s="4"/>
      <c r="K2333" s="4"/>
      <c r="L2333" s="4"/>
      <c r="M2333" s="4"/>
    </row>
    <row r="2334" spans="1:13" ht="15" customHeight="1" x14ac:dyDescent="0.35">
      <c r="A2334" t="str">
        <f t="shared" si="36"/>
        <v>P698CV00C1021</v>
      </c>
      <c r="B2334" t="str">
        <f>IFERROR(VLOOKUP($A2334,'[5]Study Budget Mapping '!$O$2:$P$532,2,0),"TBA")</f>
        <v>TBA</v>
      </c>
      <c r="D2334" s="2" t="s">
        <v>416</v>
      </c>
      <c r="E2334" s="2" t="s">
        <v>32</v>
      </c>
      <c r="F2334" s="3">
        <v>80000</v>
      </c>
      <c r="G2334" s="3">
        <v>80000</v>
      </c>
      <c r="H2334" s="4"/>
      <c r="I2334" s="4"/>
      <c r="J2334" s="4"/>
      <c r="K2334" s="4"/>
      <c r="L2334" s="4"/>
      <c r="M2334" s="4"/>
    </row>
    <row r="2335" spans="1:13" ht="15" customHeight="1" x14ac:dyDescent="0.35">
      <c r="A2335" t="str">
        <f t="shared" si="36"/>
        <v>P698CV00C1121</v>
      </c>
      <c r="B2335" t="str">
        <f>IFERROR(VLOOKUP($A2335,'[5]Study Budget Mapping '!$O$2:$P$532,2,0),"TBA")</f>
        <v>TBA</v>
      </c>
      <c r="D2335" s="2" t="s">
        <v>417</v>
      </c>
      <c r="E2335" s="2" t="s">
        <v>13</v>
      </c>
      <c r="F2335" s="3">
        <v>1200000</v>
      </c>
      <c r="G2335" s="3">
        <v>6000000</v>
      </c>
      <c r="H2335" s="4"/>
      <c r="I2335" s="4"/>
      <c r="J2335" s="4"/>
      <c r="K2335" s="4"/>
      <c r="L2335" s="4"/>
      <c r="M2335" s="4"/>
    </row>
    <row r="2336" spans="1:13" ht="15" customHeight="1" x14ac:dyDescent="0.35">
      <c r="A2336" t="str">
        <f t="shared" si="36"/>
        <v>P698CV00C1121</v>
      </c>
      <c r="B2336" t="str">
        <f>IFERROR(VLOOKUP($A2336,'[5]Study Budget Mapping '!$O$2:$P$532,2,0),"TBA")</f>
        <v>TBA</v>
      </c>
      <c r="D2336" s="2" t="s">
        <v>417</v>
      </c>
      <c r="E2336" s="2" t="s">
        <v>14</v>
      </c>
      <c r="F2336" s="3">
        <v>110000</v>
      </c>
      <c r="G2336" s="3">
        <v>230000</v>
      </c>
      <c r="H2336" s="4"/>
      <c r="I2336" s="4"/>
      <c r="J2336" s="4"/>
      <c r="K2336" s="4"/>
      <c r="L2336" s="4"/>
      <c r="M2336" s="4"/>
    </row>
    <row r="2337" spans="1:13" ht="15" customHeight="1" x14ac:dyDescent="0.35">
      <c r="A2337" t="str">
        <f t="shared" si="36"/>
        <v>P698CV00C1121</v>
      </c>
      <c r="B2337" t="str">
        <f>IFERROR(VLOOKUP($A2337,'[5]Study Budget Mapping '!$O$2:$P$532,2,0),"TBA")</f>
        <v>TBA</v>
      </c>
      <c r="D2337" s="2" t="s">
        <v>417</v>
      </c>
      <c r="E2337" s="2" t="s">
        <v>19</v>
      </c>
      <c r="F2337" s="3">
        <v>100000</v>
      </c>
      <c r="G2337" s="3">
        <v>747000</v>
      </c>
      <c r="H2337" s="4"/>
      <c r="I2337" s="4"/>
      <c r="J2337" s="4"/>
      <c r="K2337" s="4"/>
      <c r="L2337" s="4"/>
      <c r="M2337" s="4"/>
    </row>
    <row r="2338" spans="1:13" ht="15" customHeight="1" x14ac:dyDescent="0.35">
      <c r="A2338" t="str">
        <f t="shared" si="36"/>
        <v>P698CV00C1121</v>
      </c>
      <c r="B2338" t="str">
        <f>IFERROR(VLOOKUP($A2338,'[5]Study Budget Mapping '!$O$2:$P$532,2,0),"TBA")</f>
        <v>TBA</v>
      </c>
      <c r="D2338" s="2" t="s">
        <v>417</v>
      </c>
      <c r="E2338" s="2" t="s">
        <v>15</v>
      </c>
      <c r="F2338" s="3">
        <v>500000</v>
      </c>
      <c r="G2338" s="3">
        <v>1404000</v>
      </c>
      <c r="H2338" s="4"/>
      <c r="I2338" s="4"/>
      <c r="J2338" s="4"/>
      <c r="K2338" s="4"/>
      <c r="L2338" s="4"/>
      <c r="M2338" s="4"/>
    </row>
    <row r="2339" spans="1:13" ht="15" customHeight="1" x14ac:dyDescent="0.35">
      <c r="A2339" t="str">
        <f t="shared" si="36"/>
        <v>P698CV00C1121</v>
      </c>
      <c r="B2339" t="str">
        <f>IFERROR(VLOOKUP($A2339,'[5]Study Budget Mapping '!$O$2:$P$532,2,0),"TBA")</f>
        <v>TBA</v>
      </c>
      <c r="D2339" s="2" t="s">
        <v>417</v>
      </c>
      <c r="E2339" s="2" t="s">
        <v>22</v>
      </c>
      <c r="F2339" s="3">
        <v>0</v>
      </c>
      <c r="G2339" s="3">
        <v>435000</v>
      </c>
      <c r="H2339" s="4"/>
      <c r="I2339" s="4"/>
      <c r="J2339" s="4"/>
      <c r="K2339" s="4"/>
      <c r="L2339" s="4"/>
      <c r="M2339" s="4"/>
    </row>
    <row r="2340" spans="1:13" ht="15" customHeight="1" x14ac:dyDescent="0.35">
      <c r="A2340" t="str">
        <f t="shared" si="36"/>
        <v>P698CV00C1121</v>
      </c>
      <c r="B2340" t="str">
        <f>IFERROR(VLOOKUP($A2340,'[5]Study Budget Mapping '!$O$2:$P$532,2,0),"TBA")</f>
        <v>TBA</v>
      </c>
      <c r="D2340" s="2" t="s">
        <v>417</v>
      </c>
      <c r="E2340" s="2" t="s">
        <v>16</v>
      </c>
      <c r="F2340" s="3">
        <v>0</v>
      </c>
      <c r="G2340" s="3">
        <v>766000</v>
      </c>
      <c r="H2340" s="4"/>
      <c r="I2340" s="4"/>
      <c r="J2340" s="4"/>
      <c r="K2340" s="4"/>
      <c r="L2340" s="4"/>
      <c r="M2340" s="4"/>
    </row>
    <row r="2341" spans="1:13" ht="15" customHeight="1" x14ac:dyDescent="0.35">
      <c r="A2341" t="str">
        <f t="shared" si="36"/>
        <v>P698CV00C1121</v>
      </c>
      <c r="B2341" t="str">
        <f>IFERROR(VLOOKUP($A2341,'[5]Study Budget Mapping '!$O$2:$P$532,2,0),"TBA")</f>
        <v>TBA</v>
      </c>
      <c r="D2341" s="2" t="s">
        <v>417</v>
      </c>
      <c r="E2341" s="2" t="s">
        <v>17</v>
      </c>
      <c r="F2341" s="3">
        <v>130000</v>
      </c>
      <c r="G2341" s="3">
        <v>230000</v>
      </c>
      <c r="H2341" s="4"/>
      <c r="I2341" s="4"/>
      <c r="J2341" s="4"/>
      <c r="K2341" s="4"/>
      <c r="L2341" s="4"/>
      <c r="M2341" s="4"/>
    </row>
    <row r="2342" spans="1:13" ht="15" customHeight="1" x14ac:dyDescent="0.35">
      <c r="A2342" t="str">
        <f t="shared" si="36"/>
        <v>P698CV00C1121</v>
      </c>
      <c r="B2342" t="str">
        <f>IFERROR(VLOOKUP($A2342,'[5]Study Budget Mapping '!$O$2:$P$532,2,0),"TBA")</f>
        <v>TBA</v>
      </c>
      <c r="D2342" s="2" t="s">
        <v>417</v>
      </c>
      <c r="E2342" s="2" t="s">
        <v>23</v>
      </c>
      <c r="F2342" s="3">
        <v>1500000</v>
      </c>
      <c r="G2342" s="3">
        <v>1240000</v>
      </c>
      <c r="H2342" s="4"/>
      <c r="I2342" s="4"/>
      <c r="J2342" s="4"/>
      <c r="K2342" s="4"/>
      <c r="L2342" s="4"/>
      <c r="M2342" s="4"/>
    </row>
    <row r="2343" spans="1:13" ht="15" customHeight="1" x14ac:dyDescent="0.35">
      <c r="A2343" t="str">
        <f t="shared" si="36"/>
        <v>P698CV00C1121</v>
      </c>
      <c r="B2343" t="str">
        <f>IFERROR(VLOOKUP($A2343,'[5]Study Budget Mapping '!$O$2:$P$532,2,0),"TBA")</f>
        <v>TBA</v>
      </c>
      <c r="D2343" s="2" t="s">
        <v>417</v>
      </c>
      <c r="E2343" s="2" t="s">
        <v>24</v>
      </c>
      <c r="F2343" s="3">
        <v>124000</v>
      </c>
      <c r="G2343" s="3">
        <v>320000</v>
      </c>
      <c r="H2343" s="4"/>
      <c r="I2343" s="4"/>
      <c r="J2343" s="4"/>
      <c r="K2343" s="4"/>
      <c r="L2343" s="4"/>
      <c r="M2343" s="4"/>
    </row>
    <row r="2344" spans="1:13" ht="15" customHeight="1" x14ac:dyDescent="0.35">
      <c r="A2344" t="str">
        <f t="shared" si="36"/>
        <v>P698CV00C1121</v>
      </c>
      <c r="B2344" t="str">
        <f>IFERROR(VLOOKUP($A2344,'[5]Study Budget Mapping '!$O$2:$P$532,2,0),"TBA")</f>
        <v>TBA</v>
      </c>
      <c r="D2344" s="2" t="s">
        <v>417</v>
      </c>
      <c r="E2344" s="2" t="s">
        <v>32</v>
      </c>
      <c r="F2344" s="3">
        <v>560000</v>
      </c>
      <c r="G2344" s="3">
        <v>1170000</v>
      </c>
      <c r="H2344" s="4"/>
      <c r="I2344" s="4"/>
      <c r="J2344" s="4"/>
      <c r="K2344" s="4"/>
      <c r="L2344" s="4"/>
      <c r="M2344" s="4"/>
    </row>
    <row r="2345" spans="1:13" ht="15" customHeight="1" x14ac:dyDescent="0.35">
      <c r="A2345" t="str">
        <f t="shared" si="36"/>
        <v>P698CV00C2431</v>
      </c>
      <c r="B2345" t="str">
        <f>IFERROR(VLOOKUP($A2345,'[5]Study Budget Mapping '!$O$2:$P$532,2,0),"TBA")</f>
        <v>TBA</v>
      </c>
      <c r="D2345" s="2" t="s">
        <v>418</v>
      </c>
      <c r="E2345" s="2" t="s">
        <v>13</v>
      </c>
      <c r="F2345" s="3">
        <v>11120000</v>
      </c>
      <c r="G2345" s="3">
        <v>13110000</v>
      </c>
      <c r="H2345" s="4"/>
      <c r="I2345" s="4"/>
      <c r="J2345" s="4"/>
      <c r="K2345" s="4"/>
      <c r="L2345" s="4"/>
      <c r="M2345" s="4"/>
    </row>
    <row r="2346" spans="1:13" ht="15" customHeight="1" x14ac:dyDescent="0.35">
      <c r="A2346" t="str">
        <f t="shared" si="36"/>
        <v>P698CV00C2431</v>
      </c>
      <c r="B2346" t="str">
        <f>IFERROR(VLOOKUP($A2346,'[5]Study Budget Mapping '!$O$2:$P$532,2,0),"TBA")</f>
        <v>TBA</v>
      </c>
      <c r="D2346" s="2" t="s">
        <v>418</v>
      </c>
      <c r="E2346" s="2" t="s">
        <v>14</v>
      </c>
      <c r="F2346" s="3">
        <v>4740000</v>
      </c>
      <c r="G2346" s="3">
        <v>4930000</v>
      </c>
      <c r="H2346" s="4"/>
      <c r="I2346" s="4"/>
      <c r="J2346" s="4"/>
      <c r="K2346" s="4"/>
      <c r="L2346" s="4"/>
      <c r="M2346" s="4"/>
    </row>
    <row r="2347" spans="1:13" ht="15" customHeight="1" x14ac:dyDescent="0.35">
      <c r="A2347" t="str">
        <f t="shared" si="36"/>
        <v>P698CV00C2431</v>
      </c>
      <c r="B2347" t="str">
        <f>IFERROR(VLOOKUP($A2347,'[5]Study Budget Mapping '!$O$2:$P$532,2,0),"TBA")</f>
        <v>TBA</v>
      </c>
      <c r="D2347" s="2" t="s">
        <v>418</v>
      </c>
      <c r="E2347" s="2" t="s">
        <v>19</v>
      </c>
      <c r="F2347" s="3">
        <v>2070000</v>
      </c>
      <c r="G2347" s="3">
        <v>2220000</v>
      </c>
      <c r="H2347" s="4"/>
      <c r="I2347" s="4"/>
      <c r="J2347" s="4"/>
      <c r="K2347" s="4"/>
      <c r="L2347" s="4"/>
      <c r="M2347" s="4"/>
    </row>
    <row r="2348" spans="1:13" ht="15" customHeight="1" x14ac:dyDescent="0.35">
      <c r="A2348" t="str">
        <f t="shared" si="36"/>
        <v>P698CV00C2431</v>
      </c>
      <c r="B2348" t="str">
        <f>IFERROR(VLOOKUP($A2348,'[5]Study Budget Mapping '!$O$2:$P$532,2,0),"TBA")</f>
        <v>TBA</v>
      </c>
      <c r="D2348" s="2" t="s">
        <v>418</v>
      </c>
      <c r="E2348" s="2" t="s">
        <v>20</v>
      </c>
      <c r="F2348" s="3">
        <v>0</v>
      </c>
      <c r="G2348" s="3">
        <v>230000</v>
      </c>
      <c r="H2348" s="4"/>
      <c r="I2348" s="4"/>
      <c r="J2348" s="4"/>
      <c r="K2348" s="4"/>
      <c r="L2348" s="4"/>
      <c r="M2348" s="4"/>
    </row>
    <row r="2349" spans="1:13" ht="15" customHeight="1" x14ac:dyDescent="0.35">
      <c r="A2349" t="str">
        <f t="shared" si="36"/>
        <v>P698CV00C2431</v>
      </c>
      <c r="B2349" t="str">
        <f>IFERROR(VLOOKUP($A2349,'[5]Study Budget Mapping '!$O$2:$P$532,2,0),"TBA")</f>
        <v>TBA</v>
      </c>
      <c r="D2349" s="2" t="s">
        <v>418</v>
      </c>
      <c r="E2349" s="2" t="s">
        <v>31</v>
      </c>
      <c r="F2349" s="3">
        <v>150000</v>
      </c>
      <c r="G2349" s="3">
        <v>150000</v>
      </c>
      <c r="H2349" s="4"/>
      <c r="I2349" s="4"/>
      <c r="J2349" s="4"/>
      <c r="K2349" s="4"/>
      <c r="L2349" s="4"/>
      <c r="M2349" s="4"/>
    </row>
    <row r="2350" spans="1:13" ht="15" customHeight="1" x14ac:dyDescent="0.35">
      <c r="A2350" t="str">
        <f t="shared" si="36"/>
        <v>P698CV00C2431</v>
      </c>
      <c r="B2350" t="str">
        <f>IFERROR(VLOOKUP($A2350,'[5]Study Budget Mapping '!$O$2:$P$532,2,0),"TBA")</f>
        <v>TBA</v>
      </c>
      <c r="D2350" s="2" t="s">
        <v>418</v>
      </c>
      <c r="E2350" s="2" t="s">
        <v>15</v>
      </c>
      <c r="F2350" s="3">
        <v>7070000</v>
      </c>
      <c r="G2350" s="3">
        <v>7540000</v>
      </c>
      <c r="H2350" s="4"/>
      <c r="I2350" s="4"/>
      <c r="J2350" s="4"/>
      <c r="K2350" s="4"/>
      <c r="L2350" s="4"/>
      <c r="M2350" s="4"/>
    </row>
    <row r="2351" spans="1:13" ht="15" customHeight="1" x14ac:dyDescent="0.35">
      <c r="A2351" t="str">
        <f t="shared" si="36"/>
        <v>P698CV00C2431</v>
      </c>
      <c r="B2351" t="str">
        <f>IFERROR(VLOOKUP($A2351,'[5]Study Budget Mapping '!$O$2:$P$532,2,0),"TBA")</f>
        <v>TBA</v>
      </c>
      <c r="D2351" s="2" t="s">
        <v>418</v>
      </c>
      <c r="E2351" s="2" t="s">
        <v>22</v>
      </c>
      <c r="F2351" s="3">
        <v>770000</v>
      </c>
      <c r="G2351" s="3">
        <v>510000</v>
      </c>
      <c r="H2351" s="4"/>
      <c r="I2351" s="4"/>
      <c r="J2351" s="4"/>
      <c r="K2351" s="4"/>
      <c r="L2351" s="4"/>
      <c r="M2351" s="4"/>
    </row>
    <row r="2352" spans="1:13" ht="15" customHeight="1" x14ac:dyDescent="0.35">
      <c r="A2352" t="str">
        <f t="shared" si="36"/>
        <v>P698CV00C2431</v>
      </c>
      <c r="B2352" t="str">
        <f>IFERROR(VLOOKUP($A2352,'[5]Study Budget Mapping '!$O$2:$P$532,2,0),"TBA")</f>
        <v>TBA</v>
      </c>
      <c r="D2352" s="2" t="s">
        <v>418</v>
      </c>
      <c r="E2352" s="2" t="s">
        <v>16</v>
      </c>
      <c r="F2352" s="3">
        <v>970000</v>
      </c>
      <c r="G2352" s="3">
        <v>2090000</v>
      </c>
      <c r="H2352" s="4"/>
      <c r="I2352" s="4"/>
      <c r="J2352" s="4"/>
      <c r="K2352" s="4"/>
      <c r="L2352" s="4"/>
      <c r="M2352" s="4"/>
    </row>
    <row r="2353" spans="1:13" ht="15" customHeight="1" x14ac:dyDescent="0.35">
      <c r="A2353" t="str">
        <f t="shared" si="36"/>
        <v>P698CV00C2431</v>
      </c>
      <c r="B2353" t="str">
        <f>IFERROR(VLOOKUP($A2353,'[5]Study Budget Mapping '!$O$2:$P$532,2,0),"TBA")</f>
        <v>TBA</v>
      </c>
      <c r="D2353" s="2" t="s">
        <v>418</v>
      </c>
      <c r="E2353" s="2" t="s">
        <v>17</v>
      </c>
      <c r="F2353" s="3">
        <v>300000</v>
      </c>
      <c r="G2353" s="3">
        <v>330000</v>
      </c>
      <c r="H2353" s="4"/>
      <c r="I2353" s="4"/>
      <c r="J2353" s="4"/>
      <c r="K2353" s="4"/>
      <c r="L2353" s="4"/>
      <c r="M2353" s="4"/>
    </row>
    <row r="2354" spans="1:13" ht="15" customHeight="1" x14ac:dyDescent="0.35">
      <c r="A2354" t="str">
        <f t="shared" si="36"/>
        <v>P698CV00C2431</v>
      </c>
      <c r="B2354" t="str">
        <f>IFERROR(VLOOKUP($A2354,'[5]Study Budget Mapping '!$O$2:$P$532,2,0),"TBA")</f>
        <v>TBA</v>
      </c>
      <c r="D2354" s="2" t="s">
        <v>418</v>
      </c>
      <c r="E2354" s="2" t="s">
        <v>23</v>
      </c>
      <c r="F2354" s="3">
        <v>780000</v>
      </c>
      <c r="G2354" s="3">
        <v>280000</v>
      </c>
      <c r="H2354" s="4"/>
      <c r="I2354" s="4"/>
      <c r="J2354" s="4"/>
      <c r="K2354" s="4"/>
      <c r="L2354" s="4"/>
      <c r="M2354" s="4"/>
    </row>
    <row r="2355" spans="1:13" ht="15" customHeight="1" x14ac:dyDescent="0.35">
      <c r="A2355" t="str">
        <f t="shared" si="36"/>
        <v>P698CV00C2431</v>
      </c>
      <c r="B2355" t="str">
        <f>IFERROR(VLOOKUP($A2355,'[5]Study Budget Mapping '!$O$2:$P$532,2,0),"TBA")</f>
        <v>TBA</v>
      </c>
      <c r="D2355" s="2" t="s">
        <v>418</v>
      </c>
      <c r="E2355" s="2" t="s">
        <v>24</v>
      </c>
      <c r="F2355" s="3">
        <v>1070000</v>
      </c>
      <c r="G2355" s="3">
        <v>1070000</v>
      </c>
      <c r="H2355" s="4"/>
      <c r="I2355" s="4"/>
      <c r="J2355" s="4"/>
      <c r="K2355" s="4"/>
      <c r="L2355" s="4"/>
      <c r="M2355" s="4"/>
    </row>
    <row r="2356" spans="1:13" ht="15" customHeight="1" x14ac:dyDescent="0.35">
      <c r="A2356" t="str">
        <f t="shared" si="36"/>
        <v>P698CV00C2531</v>
      </c>
      <c r="B2356" t="str">
        <f>IFERROR(VLOOKUP($A2356,'[5]Study Budget Mapping '!$O$2:$P$532,2,0),"TBA")</f>
        <v>TBA</v>
      </c>
      <c r="D2356" s="2" t="s">
        <v>419</v>
      </c>
      <c r="E2356" s="2" t="s">
        <v>13</v>
      </c>
      <c r="F2356" s="3">
        <v>6830000</v>
      </c>
      <c r="G2356" s="3">
        <v>6830000</v>
      </c>
      <c r="H2356" s="4"/>
      <c r="I2356" s="4"/>
      <c r="J2356" s="4"/>
      <c r="K2356" s="4"/>
      <c r="L2356" s="4"/>
      <c r="M2356" s="4"/>
    </row>
    <row r="2357" spans="1:13" ht="15" customHeight="1" x14ac:dyDescent="0.35">
      <c r="A2357" t="str">
        <f t="shared" si="36"/>
        <v>P698CV00C2531</v>
      </c>
      <c r="B2357" t="str">
        <f>IFERROR(VLOOKUP($A2357,'[5]Study Budget Mapping '!$O$2:$P$532,2,0),"TBA")</f>
        <v>TBA</v>
      </c>
      <c r="D2357" s="2" t="s">
        <v>419</v>
      </c>
      <c r="E2357" s="2" t="s">
        <v>14</v>
      </c>
      <c r="F2357" s="3">
        <v>2410000</v>
      </c>
      <c r="G2357" s="3">
        <v>2410000</v>
      </c>
      <c r="H2357" s="4"/>
      <c r="I2357" s="4"/>
      <c r="J2357" s="4"/>
      <c r="K2357" s="4"/>
      <c r="L2357" s="4"/>
      <c r="M2357" s="4"/>
    </row>
    <row r="2358" spans="1:13" ht="15" customHeight="1" x14ac:dyDescent="0.35">
      <c r="A2358" t="str">
        <f t="shared" si="36"/>
        <v>P698CV00C2531</v>
      </c>
      <c r="B2358" t="str">
        <f>IFERROR(VLOOKUP($A2358,'[5]Study Budget Mapping '!$O$2:$P$532,2,0),"TBA")</f>
        <v>TBA</v>
      </c>
      <c r="D2358" s="2" t="s">
        <v>419</v>
      </c>
      <c r="E2358" s="2" t="s">
        <v>19</v>
      </c>
      <c r="F2358" s="3">
        <v>1760000</v>
      </c>
      <c r="G2358" s="3">
        <v>1760000</v>
      </c>
      <c r="H2358" s="4"/>
      <c r="I2358" s="4"/>
      <c r="J2358" s="4"/>
      <c r="K2358" s="4"/>
      <c r="L2358" s="4"/>
      <c r="M2358" s="4"/>
    </row>
    <row r="2359" spans="1:13" ht="15" customHeight="1" x14ac:dyDescent="0.35">
      <c r="A2359" t="str">
        <f t="shared" si="36"/>
        <v>P698CV00C2531</v>
      </c>
      <c r="B2359" t="str">
        <f>IFERROR(VLOOKUP($A2359,'[5]Study Budget Mapping '!$O$2:$P$532,2,0),"TBA")</f>
        <v>TBA</v>
      </c>
      <c r="D2359" s="2" t="s">
        <v>419</v>
      </c>
      <c r="E2359" s="2" t="s">
        <v>31</v>
      </c>
      <c r="F2359" s="3">
        <v>1430000</v>
      </c>
      <c r="G2359" s="3">
        <v>1430000</v>
      </c>
      <c r="H2359" s="4"/>
      <c r="I2359" s="4"/>
      <c r="J2359" s="4"/>
      <c r="K2359" s="4"/>
      <c r="L2359" s="4"/>
      <c r="M2359" s="4"/>
    </row>
    <row r="2360" spans="1:13" ht="15" customHeight="1" x14ac:dyDescent="0.35">
      <c r="A2360" t="str">
        <f t="shared" si="36"/>
        <v>P698CV00C2531</v>
      </c>
      <c r="B2360" t="str">
        <f>IFERROR(VLOOKUP($A2360,'[5]Study Budget Mapping '!$O$2:$P$532,2,0),"TBA")</f>
        <v>TBA</v>
      </c>
      <c r="D2360" s="2" t="s">
        <v>419</v>
      </c>
      <c r="E2360" s="2" t="s">
        <v>15</v>
      </c>
      <c r="F2360" s="3">
        <v>8990000</v>
      </c>
      <c r="G2360" s="3">
        <v>8990000</v>
      </c>
      <c r="H2360" s="4"/>
      <c r="I2360" s="4"/>
      <c r="J2360" s="4"/>
      <c r="K2360" s="4"/>
      <c r="L2360" s="4"/>
      <c r="M2360" s="4"/>
    </row>
    <row r="2361" spans="1:13" ht="15" customHeight="1" x14ac:dyDescent="0.35">
      <c r="A2361" t="str">
        <f t="shared" si="36"/>
        <v>P698CV00C2531</v>
      </c>
      <c r="B2361" t="str">
        <f>IFERROR(VLOOKUP($A2361,'[5]Study Budget Mapping '!$O$2:$P$532,2,0),"TBA")</f>
        <v>TBA</v>
      </c>
      <c r="D2361" s="2" t="s">
        <v>419</v>
      </c>
      <c r="E2361" s="2" t="s">
        <v>22</v>
      </c>
      <c r="F2361" s="3">
        <v>980000</v>
      </c>
      <c r="G2361" s="3">
        <v>980000</v>
      </c>
      <c r="H2361" s="4"/>
      <c r="I2361" s="4"/>
      <c r="J2361" s="4"/>
      <c r="K2361" s="4"/>
      <c r="L2361" s="4"/>
      <c r="M2361" s="4"/>
    </row>
    <row r="2362" spans="1:13" ht="15" customHeight="1" x14ac:dyDescent="0.35">
      <c r="A2362" t="str">
        <f t="shared" si="36"/>
        <v>P698CV00C2531</v>
      </c>
      <c r="B2362" t="str">
        <f>IFERROR(VLOOKUP($A2362,'[5]Study Budget Mapping '!$O$2:$P$532,2,0),"TBA")</f>
        <v>TBA</v>
      </c>
      <c r="D2362" s="2" t="s">
        <v>419</v>
      </c>
      <c r="E2362" s="2" t="s">
        <v>16</v>
      </c>
      <c r="F2362" s="3">
        <v>430000</v>
      </c>
      <c r="G2362" s="3">
        <v>430000</v>
      </c>
      <c r="H2362" s="4"/>
      <c r="I2362" s="4"/>
      <c r="J2362" s="4"/>
      <c r="K2362" s="4"/>
      <c r="L2362" s="4"/>
      <c r="M2362" s="4"/>
    </row>
    <row r="2363" spans="1:13" ht="15" customHeight="1" x14ac:dyDescent="0.35">
      <c r="A2363" t="str">
        <f t="shared" si="36"/>
        <v>P698CV00C2531</v>
      </c>
      <c r="B2363" t="str">
        <f>IFERROR(VLOOKUP($A2363,'[5]Study Budget Mapping '!$O$2:$P$532,2,0),"TBA")</f>
        <v>TBA</v>
      </c>
      <c r="D2363" s="2" t="s">
        <v>419</v>
      </c>
      <c r="E2363" s="2" t="s">
        <v>23</v>
      </c>
      <c r="F2363" s="3">
        <v>1000000</v>
      </c>
      <c r="G2363" s="3">
        <v>1000000</v>
      </c>
      <c r="H2363" s="4"/>
      <c r="I2363" s="4"/>
      <c r="J2363" s="4"/>
      <c r="K2363" s="4"/>
      <c r="L2363" s="4"/>
      <c r="M2363" s="4"/>
    </row>
    <row r="2364" spans="1:13" ht="15" customHeight="1" x14ac:dyDescent="0.35">
      <c r="A2364" t="str">
        <f t="shared" si="36"/>
        <v>P698CV00C2531</v>
      </c>
      <c r="B2364" t="str">
        <f>IFERROR(VLOOKUP($A2364,'[5]Study Budget Mapping '!$O$2:$P$532,2,0),"TBA")</f>
        <v>TBA</v>
      </c>
      <c r="D2364" s="2" t="s">
        <v>419</v>
      </c>
      <c r="E2364" s="2" t="s">
        <v>24</v>
      </c>
      <c r="F2364" s="3">
        <v>370000</v>
      </c>
      <c r="G2364" s="3">
        <v>370000</v>
      </c>
      <c r="H2364" s="4"/>
      <c r="I2364" s="4"/>
      <c r="J2364" s="4"/>
      <c r="K2364" s="4"/>
      <c r="L2364" s="4"/>
      <c r="M2364" s="4"/>
    </row>
    <row r="2365" spans="1:13" ht="15" customHeight="1" x14ac:dyDescent="0.35">
      <c r="A2365" t="str">
        <f t="shared" si="36"/>
        <v>P699IM04C2431</v>
      </c>
      <c r="B2365" t="str">
        <f>IFERROR(VLOOKUP($A2365,'[5]Study Budget Mapping '!$O$2:$P$532,2,0),"TBA")</f>
        <v>TBA</v>
      </c>
      <c r="D2365" s="2" t="s">
        <v>420</v>
      </c>
      <c r="E2365" s="2" t="s">
        <v>13</v>
      </c>
      <c r="F2365" s="3">
        <v>1950000</v>
      </c>
      <c r="G2365" s="3">
        <v>1240000</v>
      </c>
      <c r="H2365" s="4"/>
      <c r="I2365" s="4"/>
      <c r="J2365" s="4"/>
      <c r="K2365" s="4"/>
      <c r="L2365" s="4"/>
      <c r="M2365" s="4"/>
    </row>
    <row r="2366" spans="1:13" ht="15" customHeight="1" x14ac:dyDescent="0.35">
      <c r="A2366" t="str">
        <f t="shared" si="36"/>
        <v>P699IM04C2431</v>
      </c>
      <c r="B2366" t="str">
        <f>IFERROR(VLOOKUP($A2366,'[5]Study Budget Mapping '!$O$2:$P$532,2,0),"TBA")</f>
        <v>TBA</v>
      </c>
      <c r="D2366" s="2" t="s">
        <v>420</v>
      </c>
      <c r="E2366" s="2" t="s">
        <v>14</v>
      </c>
      <c r="F2366" s="3">
        <v>1010000</v>
      </c>
      <c r="G2366" s="3">
        <v>1750000</v>
      </c>
      <c r="H2366" s="4"/>
      <c r="I2366" s="4"/>
      <c r="J2366" s="4"/>
      <c r="K2366" s="4"/>
      <c r="L2366" s="4"/>
      <c r="M2366" s="4"/>
    </row>
    <row r="2367" spans="1:13" ht="15" customHeight="1" x14ac:dyDescent="0.35">
      <c r="A2367" t="str">
        <f t="shared" si="36"/>
        <v>P699IM04C2431</v>
      </c>
      <c r="B2367" t="str">
        <f>IFERROR(VLOOKUP($A2367,'[5]Study Budget Mapping '!$O$2:$P$532,2,0),"TBA")</f>
        <v>TBA</v>
      </c>
      <c r="D2367" s="2" t="s">
        <v>420</v>
      </c>
      <c r="E2367" s="2" t="s">
        <v>19</v>
      </c>
      <c r="F2367" s="3">
        <v>575000</v>
      </c>
      <c r="G2367" s="3">
        <v>17000</v>
      </c>
      <c r="H2367" s="4"/>
      <c r="I2367" s="4"/>
      <c r="J2367" s="4"/>
      <c r="K2367" s="4"/>
      <c r="L2367" s="4"/>
      <c r="M2367" s="4"/>
    </row>
    <row r="2368" spans="1:13" ht="15" customHeight="1" x14ac:dyDescent="0.35">
      <c r="A2368" t="str">
        <f t="shared" si="36"/>
        <v>P699IM04C2431</v>
      </c>
      <c r="B2368" t="str">
        <f>IFERROR(VLOOKUP($A2368,'[5]Study Budget Mapping '!$O$2:$P$532,2,0),"TBA")</f>
        <v>TBA</v>
      </c>
      <c r="D2368" s="2" t="s">
        <v>420</v>
      </c>
      <c r="E2368" s="2" t="s">
        <v>15</v>
      </c>
      <c r="F2368" s="3">
        <v>2470000</v>
      </c>
      <c r="G2368" s="3">
        <v>3180000</v>
      </c>
      <c r="H2368" s="4"/>
      <c r="I2368" s="4"/>
      <c r="J2368" s="4"/>
      <c r="K2368" s="4"/>
      <c r="L2368" s="4"/>
      <c r="M2368" s="4"/>
    </row>
    <row r="2369" spans="1:13" ht="15" customHeight="1" x14ac:dyDescent="0.35">
      <c r="A2369" t="str">
        <f t="shared" si="36"/>
        <v>P699IM04C2431</v>
      </c>
      <c r="B2369" t="str">
        <f>IFERROR(VLOOKUP($A2369,'[5]Study Budget Mapping '!$O$2:$P$532,2,0),"TBA")</f>
        <v>TBA</v>
      </c>
      <c r="D2369" s="2" t="s">
        <v>420</v>
      </c>
      <c r="E2369" s="2" t="s">
        <v>22</v>
      </c>
      <c r="F2369" s="3">
        <v>0</v>
      </c>
      <c r="G2369" s="3">
        <v>1794701</v>
      </c>
      <c r="H2369" s="4"/>
      <c r="I2369" s="4"/>
      <c r="J2369" s="4"/>
      <c r="K2369" s="4"/>
      <c r="L2369" s="4"/>
      <c r="M2369" s="4"/>
    </row>
    <row r="2370" spans="1:13" ht="15" customHeight="1" x14ac:dyDescent="0.35">
      <c r="A2370" t="str">
        <f t="shared" si="36"/>
        <v>P699IM04C2431</v>
      </c>
      <c r="B2370" t="str">
        <f>IFERROR(VLOOKUP($A2370,'[5]Study Budget Mapping '!$O$2:$P$532,2,0),"TBA")</f>
        <v>TBA</v>
      </c>
      <c r="D2370" s="2" t="s">
        <v>420</v>
      </c>
      <c r="E2370" s="2" t="s">
        <v>16</v>
      </c>
      <c r="F2370" s="3">
        <v>1300000</v>
      </c>
      <c r="G2370" s="3">
        <v>980000</v>
      </c>
      <c r="H2370" s="4"/>
      <c r="I2370" s="4"/>
      <c r="J2370" s="4"/>
      <c r="K2370" s="4"/>
      <c r="L2370" s="4"/>
      <c r="M2370" s="4"/>
    </row>
    <row r="2371" spans="1:13" ht="15" customHeight="1" x14ac:dyDescent="0.35">
      <c r="A2371" t="str">
        <f t="shared" ref="A2371:A2434" si="37">TRIM(_xlfn.TEXTBEFORE(D2371,"-",1))</f>
        <v>P699IM04C2431</v>
      </c>
      <c r="B2371" t="str">
        <f>IFERROR(VLOOKUP($A2371,'[5]Study Budget Mapping '!$O$2:$P$532,2,0),"TBA")</f>
        <v>TBA</v>
      </c>
      <c r="D2371" s="2" t="s">
        <v>420</v>
      </c>
      <c r="E2371" s="2" t="s">
        <v>17</v>
      </c>
      <c r="F2371" s="3">
        <v>160000</v>
      </c>
      <c r="G2371" s="3">
        <v>260000</v>
      </c>
      <c r="H2371" s="4"/>
      <c r="I2371" s="4"/>
      <c r="J2371" s="4"/>
      <c r="K2371" s="4"/>
      <c r="L2371" s="4"/>
      <c r="M2371" s="4"/>
    </row>
    <row r="2372" spans="1:13" ht="15" customHeight="1" x14ac:dyDescent="0.35">
      <c r="A2372" t="str">
        <f t="shared" si="37"/>
        <v>P699IM04C2431</v>
      </c>
      <c r="B2372" t="str">
        <f>IFERROR(VLOOKUP($A2372,'[5]Study Budget Mapping '!$O$2:$P$532,2,0),"TBA")</f>
        <v>TBA</v>
      </c>
      <c r="D2372" s="2" t="s">
        <v>420</v>
      </c>
      <c r="E2372" s="2" t="s">
        <v>23</v>
      </c>
      <c r="F2372" s="3">
        <v>250000</v>
      </c>
      <c r="G2372" s="3">
        <v>45000</v>
      </c>
      <c r="H2372" s="4"/>
      <c r="I2372" s="4"/>
      <c r="J2372" s="4"/>
      <c r="K2372" s="4"/>
      <c r="L2372" s="4"/>
      <c r="M2372" s="4"/>
    </row>
    <row r="2373" spans="1:13" ht="15" customHeight="1" x14ac:dyDescent="0.35">
      <c r="A2373" t="str">
        <f t="shared" si="37"/>
        <v>P699IM04C2431</v>
      </c>
      <c r="B2373" t="str">
        <f>IFERROR(VLOOKUP($A2373,'[5]Study Budget Mapping '!$O$2:$P$532,2,0),"TBA")</f>
        <v>TBA</v>
      </c>
      <c r="D2373" s="2" t="s">
        <v>420</v>
      </c>
      <c r="E2373" s="2" t="s">
        <v>24</v>
      </c>
      <c r="F2373" s="3">
        <v>410000</v>
      </c>
      <c r="G2373" s="3">
        <v>653000</v>
      </c>
      <c r="H2373" s="4"/>
      <c r="I2373" s="4"/>
      <c r="J2373" s="4"/>
      <c r="K2373" s="4"/>
      <c r="L2373" s="4"/>
      <c r="M2373" s="4"/>
    </row>
    <row r="2374" spans="1:13" ht="15" customHeight="1" x14ac:dyDescent="0.35">
      <c r="A2374" t="str">
        <f t="shared" si="37"/>
        <v>P699IM04C2431</v>
      </c>
      <c r="B2374" t="str">
        <f>IFERROR(VLOOKUP($A2374,'[5]Study Budget Mapping '!$O$2:$P$532,2,0),"TBA")</f>
        <v>TBA</v>
      </c>
      <c r="D2374" s="2" t="s">
        <v>420</v>
      </c>
      <c r="E2374" s="2" t="s">
        <v>32</v>
      </c>
      <c r="F2374" s="3">
        <v>1060000</v>
      </c>
      <c r="G2374" s="3">
        <v>1060000</v>
      </c>
      <c r="H2374" s="4"/>
      <c r="I2374" s="4"/>
      <c r="J2374" s="4"/>
      <c r="K2374" s="4"/>
      <c r="L2374" s="4"/>
      <c r="M2374" s="4"/>
    </row>
    <row r="2375" spans="1:13" ht="15" customHeight="1" x14ac:dyDescent="0.35">
      <c r="A2375" t="str">
        <f t="shared" si="37"/>
        <v>P700ST00C2431</v>
      </c>
      <c r="B2375" t="str">
        <f>IFERROR(VLOOKUP($A2375,'[5]Study Budget Mapping '!$O$2:$P$532,2,0),"TBA")</f>
        <v>TBA</v>
      </c>
      <c r="D2375" s="2" t="s">
        <v>421</v>
      </c>
      <c r="E2375" s="2" t="s">
        <v>13</v>
      </c>
      <c r="F2375" s="3">
        <v>26900000</v>
      </c>
      <c r="G2375" s="3">
        <v>75313000</v>
      </c>
      <c r="H2375" s="4"/>
      <c r="I2375" s="4"/>
      <c r="J2375" s="4"/>
      <c r="K2375" s="4"/>
      <c r="L2375" s="4"/>
      <c r="M2375" s="4"/>
    </row>
    <row r="2376" spans="1:13" ht="15" customHeight="1" x14ac:dyDescent="0.35">
      <c r="A2376" t="str">
        <f t="shared" si="37"/>
        <v>P700ST00C2431</v>
      </c>
      <c r="B2376" t="str">
        <f>IFERROR(VLOOKUP($A2376,'[5]Study Budget Mapping '!$O$2:$P$532,2,0),"TBA")</f>
        <v>TBA</v>
      </c>
      <c r="D2376" s="2" t="s">
        <v>421</v>
      </c>
      <c r="E2376" s="2" t="s">
        <v>14</v>
      </c>
      <c r="F2376" s="3">
        <v>1370000</v>
      </c>
      <c r="G2376" s="3">
        <v>10230000</v>
      </c>
      <c r="H2376" s="4"/>
      <c r="I2376" s="4"/>
      <c r="J2376" s="4"/>
      <c r="K2376" s="4"/>
      <c r="L2376" s="4"/>
      <c r="M2376" s="4"/>
    </row>
    <row r="2377" spans="1:13" ht="15" customHeight="1" x14ac:dyDescent="0.35">
      <c r="A2377" t="str">
        <f t="shared" si="37"/>
        <v>P700ST00C2431</v>
      </c>
      <c r="B2377" t="str">
        <f>IFERROR(VLOOKUP($A2377,'[5]Study Budget Mapping '!$O$2:$P$532,2,0),"TBA")</f>
        <v>TBA</v>
      </c>
      <c r="D2377" s="2" t="s">
        <v>421</v>
      </c>
      <c r="E2377" s="2" t="s">
        <v>20</v>
      </c>
      <c r="F2377" s="3">
        <v>660000</v>
      </c>
      <c r="G2377" s="3">
        <v>1835000</v>
      </c>
      <c r="H2377" s="4"/>
      <c r="I2377" s="4"/>
      <c r="J2377" s="4"/>
      <c r="K2377" s="4"/>
      <c r="L2377" s="4"/>
      <c r="M2377" s="4"/>
    </row>
    <row r="2378" spans="1:13" ht="15" customHeight="1" x14ac:dyDescent="0.35">
      <c r="A2378" t="str">
        <f t="shared" si="37"/>
        <v>P700ST00C2431</v>
      </c>
      <c r="B2378" t="str">
        <f>IFERROR(VLOOKUP($A2378,'[5]Study Budget Mapping '!$O$2:$P$532,2,0),"TBA")</f>
        <v>TBA</v>
      </c>
      <c r="D2378" s="2" t="s">
        <v>421</v>
      </c>
      <c r="E2378" s="2" t="s">
        <v>31</v>
      </c>
      <c r="F2378" s="3">
        <v>0</v>
      </c>
      <c r="G2378" s="3">
        <v>2170000</v>
      </c>
      <c r="H2378" s="4"/>
      <c r="I2378" s="4"/>
      <c r="J2378" s="4"/>
      <c r="K2378" s="4"/>
      <c r="L2378" s="4"/>
      <c r="M2378" s="4"/>
    </row>
    <row r="2379" spans="1:13" ht="15" customHeight="1" x14ac:dyDescent="0.35">
      <c r="A2379" t="str">
        <f t="shared" si="37"/>
        <v>P700ST00C2431</v>
      </c>
      <c r="B2379" t="str">
        <f>IFERROR(VLOOKUP($A2379,'[5]Study Budget Mapping '!$O$2:$P$532,2,0),"TBA")</f>
        <v>TBA</v>
      </c>
      <c r="D2379" s="2" t="s">
        <v>421</v>
      </c>
      <c r="E2379" s="2" t="s">
        <v>15</v>
      </c>
      <c r="F2379" s="3">
        <v>9760000</v>
      </c>
      <c r="G2379" s="3">
        <v>14420000</v>
      </c>
      <c r="H2379" s="4"/>
      <c r="I2379" s="4"/>
      <c r="J2379" s="4"/>
      <c r="K2379" s="4"/>
      <c r="L2379" s="4"/>
      <c r="M2379" s="4"/>
    </row>
    <row r="2380" spans="1:13" ht="15" customHeight="1" x14ac:dyDescent="0.35">
      <c r="A2380" t="str">
        <f t="shared" si="37"/>
        <v>P700ST00C2431</v>
      </c>
      <c r="B2380" t="str">
        <f>IFERROR(VLOOKUP($A2380,'[5]Study Budget Mapping '!$O$2:$P$532,2,0),"TBA")</f>
        <v>TBA</v>
      </c>
      <c r="D2380" s="2" t="s">
        <v>421</v>
      </c>
      <c r="E2380" s="2" t="s">
        <v>22</v>
      </c>
      <c r="F2380" s="3">
        <v>0</v>
      </c>
      <c r="G2380" s="3">
        <v>1200000</v>
      </c>
      <c r="H2380" s="4"/>
      <c r="I2380" s="4"/>
      <c r="J2380" s="4"/>
      <c r="K2380" s="4"/>
      <c r="L2380" s="4"/>
      <c r="M2380" s="4"/>
    </row>
    <row r="2381" spans="1:13" ht="15" customHeight="1" x14ac:dyDescent="0.35">
      <c r="A2381" t="str">
        <f t="shared" si="37"/>
        <v>P700ST00C2431</v>
      </c>
      <c r="B2381" t="str">
        <f>IFERROR(VLOOKUP($A2381,'[5]Study Budget Mapping '!$O$2:$P$532,2,0),"TBA")</f>
        <v>TBA</v>
      </c>
      <c r="D2381" s="2" t="s">
        <v>421</v>
      </c>
      <c r="E2381" s="2" t="s">
        <v>16</v>
      </c>
      <c r="F2381" s="3">
        <v>1060000</v>
      </c>
      <c r="G2381" s="3">
        <v>4022000</v>
      </c>
      <c r="H2381" s="4"/>
      <c r="I2381" s="4"/>
      <c r="J2381" s="4"/>
      <c r="K2381" s="4"/>
      <c r="L2381" s="4"/>
      <c r="M2381" s="4"/>
    </row>
    <row r="2382" spans="1:13" ht="15" customHeight="1" x14ac:dyDescent="0.35">
      <c r="A2382" t="str">
        <f t="shared" si="37"/>
        <v>P700ST00C2431</v>
      </c>
      <c r="B2382" t="str">
        <f>IFERROR(VLOOKUP($A2382,'[5]Study Budget Mapping '!$O$2:$P$532,2,0),"TBA")</f>
        <v>TBA</v>
      </c>
      <c r="D2382" s="2" t="s">
        <v>421</v>
      </c>
      <c r="E2382" s="2" t="s">
        <v>17</v>
      </c>
      <c r="F2382" s="3">
        <v>390000</v>
      </c>
      <c r="G2382" s="3">
        <v>850000</v>
      </c>
      <c r="H2382" s="4"/>
      <c r="I2382" s="4"/>
      <c r="J2382" s="4"/>
      <c r="K2382" s="4"/>
      <c r="L2382" s="4"/>
      <c r="M2382" s="4"/>
    </row>
    <row r="2383" spans="1:13" ht="15" customHeight="1" x14ac:dyDescent="0.35">
      <c r="A2383" t="str">
        <f t="shared" si="37"/>
        <v>P700ST00C2431</v>
      </c>
      <c r="B2383" t="str">
        <f>IFERROR(VLOOKUP($A2383,'[5]Study Budget Mapping '!$O$2:$P$532,2,0),"TBA")</f>
        <v>TBA</v>
      </c>
      <c r="D2383" s="2" t="s">
        <v>421</v>
      </c>
      <c r="E2383" s="2" t="s">
        <v>28</v>
      </c>
      <c r="F2383" s="3">
        <v>0</v>
      </c>
      <c r="G2383" s="3">
        <v>1450000</v>
      </c>
      <c r="H2383" s="4"/>
      <c r="I2383" s="4"/>
      <c r="J2383" s="4"/>
      <c r="K2383" s="4"/>
      <c r="L2383" s="4"/>
      <c r="M2383" s="4"/>
    </row>
    <row r="2384" spans="1:13" ht="15" customHeight="1" x14ac:dyDescent="0.35">
      <c r="A2384" t="str">
        <f t="shared" si="37"/>
        <v>P700ST00C2431</v>
      </c>
      <c r="B2384" t="str">
        <f>IFERROR(VLOOKUP($A2384,'[5]Study Budget Mapping '!$O$2:$P$532,2,0),"TBA")</f>
        <v>TBA</v>
      </c>
      <c r="D2384" s="2" t="s">
        <v>421</v>
      </c>
      <c r="E2384" s="2" t="s">
        <v>24</v>
      </c>
      <c r="F2384" s="3">
        <v>730000</v>
      </c>
      <c r="G2384" s="3">
        <v>0</v>
      </c>
      <c r="H2384" s="4"/>
      <c r="I2384" s="4"/>
      <c r="J2384" s="4"/>
      <c r="K2384" s="4"/>
      <c r="L2384" s="4"/>
      <c r="M2384" s="4"/>
    </row>
    <row r="2385" spans="1:13" ht="15" customHeight="1" x14ac:dyDescent="0.35">
      <c r="A2385" t="str">
        <f t="shared" si="37"/>
        <v>P700ST00C2431</v>
      </c>
      <c r="B2385" t="str">
        <f>IFERROR(VLOOKUP($A2385,'[5]Study Budget Mapping '!$O$2:$P$532,2,0),"TBA")</f>
        <v>TBA</v>
      </c>
      <c r="D2385" s="2" t="s">
        <v>421</v>
      </c>
      <c r="E2385" s="2" t="s">
        <v>32</v>
      </c>
      <c r="F2385" s="3">
        <v>4680000</v>
      </c>
      <c r="G2385" s="3">
        <v>10840000</v>
      </c>
      <c r="H2385" s="4"/>
      <c r="I2385" s="4"/>
      <c r="J2385" s="4"/>
      <c r="K2385" s="4"/>
      <c r="L2385" s="4"/>
      <c r="M2385" s="4"/>
    </row>
    <row r="2386" spans="1:13" ht="15" customHeight="1" x14ac:dyDescent="0.35">
      <c r="A2386" t="str">
        <f t="shared" si="37"/>
        <v>P701IM11C1021</v>
      </c>
      <c r="B2386" t="str">
        <f>IFERROR(VLOOKUP($A2386,'[5]Study Budget Mapping '!$O$2:$P$532,2,0),"TBA")</f>
        <v>TBA</v>
      </c>
      <c r="D2386" s="2" t="s">
        <v>422</v>
      </c>
      <c r="E2386" s="2" t="s">
        <v>13</v>
      </c>
      <c r="F2386" s="3">
        <v>638000</v>
      </c>
      <c r="G2386" s="3">
        <v>828000</v>
      </c>
      <c r="H2386" s="4"/>
      <c r="I2386" s="4"/>
      <c r="J2386" s="4"/>
      <c r="K2386" s="4"/>
      <c r="L2386" s="4"/>
      <c r="M2386" s="4"/>
    </row>
    <row r="2387" spans="1:13" ht="15" customHeight="1" x14ac:dyDescent="0.35">
      <c r="A2387" t="str">
        <f t="shared" si="37"/>
        <v>P701IM11C1021</v>
      </c>
      <c r="B2387" t="str">
        <f>IFERROR(VLOOKUP($A2387,'[5]Study Budget Mapping '!$O$2:$P$532,2,0),"TBA")</f>
        <v>TBA</v>
      </c>
      <c r="D2387" s="2" t="s">
        <v>422</v>
      </c>
      <c r="E2387" s="2" t="s">
        <v>14</v>
      </c>
      <c r="F2387" s="3">
        <v>360000</v>
      </c>
      <c r="G2387" s="3">
        <v>195000</v>
      </c>
      <c r="H2387" s="4"/>
      <c r="I2387" s="4"/>
      <c r="J2387" s="4"/>
      <c r="K2387" s="4"/>
      <c r="L2387" s="4"/>
      <c r="M2387" s="4"/>
    </row>
    <row r="2388" spans="1:13" ht="15" customHeight="1" x14ac:dyDescent="0.35">
      <c r="A2388" t="str">
        <f t="shared" si="37"/>
        <v>P701IM11C1021</v>
      </c>
      <c r="B2388" t="str">
        <f>IFERROR(VLOOKUP($A2388,'[5]Study Budget Mapping '!$O$2:$P$532,2,0),"TBA")</f>
        <v>TBA</v>
      </c>
      <c r="D2388" s="2" t="s">
        <v>422</v>
      </c>
      <c r="E2388" s="2" t="s">
        <v>19</v>
      </c>
      <c r="F2388" s="3">
        <v>20000</v>
      </c>
      <c r="G2388" s="3">
        <v>10000</v>
      </c>
      <c r="H2388" s="4"/>
      <c r="I2388" s="4"/>
      <c r="J2388" s="4"/>
      <c r="K2388" s="4"/>
      <c r="L2388" s="4"/>
      <c r="M2388" s="4"/>
    </row>
    <row r="2389" spans="1:13" ht="15" customHeight="1" x14ac:dyDescent="0.35">
      <c r="A2389" t="str">
        <f t="shared" si="37"/>
        <v>P701IM11C1021</v>
      </c>
      <c r="B2389" t="str">
        <f>IFERROR(VLOOKUP($A2389,'[5]Study Budget Mapping '!$O$2:$P$532,2,0),"TBA")</f>
        <v>TBA</v>
      </c>
      <c r="D2389" s="2" t="s">
        <v>422</v>
      </c>
      <c r="E2389" s="2" t="s">
        <v>17</v>
      </c>
      <c r="F2389" s="3">
        <v>268000</v>
      </c>
      <c r="G2389" s="3">
        <v>111000</v>
      </c>
      <c r="H2389" s="4"/>
      <c r="I2389" s="4"/>
      <c r="J2389" s="4"/>
      <c r="K2389" s="4"/>
      <c r="L2389" s="4"/>
      <c r="M2389" s="4"/>
    </row>
    <row r="2390" spans="1:13" ht="15" customHeight="1" x14ac:dyDescent="0.35">
      <c r="A2390" t="str">
        <f t="shared" si="37"/>
        <v>P701IM11C1021</v>
      </c>
      <c r="B2390" t="str">
        <f>IFERROR(VLOOKUP($A2390,'[5]Study Budget Mapping '!$O$2:$P$532,2,0),"TBA")</f>
        <v>TBA</v>
      </c>
      <c r="D2390" s="2" t="s">
        <v>422</v>
      </c>
      <c r="E2390" s="2" t="s">
        <v>24</v>
      </c>
      <c r="F2390" s="3">
        <v>24000</v>
      </c>
      <c r="G2390" s="3">
        <v>20125</v>
      </c>
      <c r="H2390" s="4"/>
      <c r="I2390" s="4"/>
      <c r="J2390" s="4"/>
      <c r="K2390" s="4"/>
      <c r="L2390" s="4"/>
      <c r="M2390" s="4"/>
    </row>
    <row r="2391" spans="1:13" ht="15" customHeight="1" x14ac:dyDescent="0.35">
      <c r="A2391" t="str">
        <f t="shared" si="37"/>
        <v>P701IM11C1021</v>
      </c>
      <c r="B2391" t="str">
        <f>IFERROR(VLOOKUP($A2391,'[5]Study Budget Mapping '!$O$2:$P$532,2,0),"TBA")</f>
        <v>TBA</v>
      </c>
      <c r="D2391" s="2" t="s">
        <v>422</v>
      </c>
      <c r="E2391" s="2" t="s">
        <v>32</v>
      </c>
      <c r="F2391" s="3">
        <v>400000</v>
      </c>
      <c r="G2391" s="3">
        <v>436000</v>
      </c>
      <c r="H2391" s="4"/>
      <c r="I2391" s="4"/>
      <c r="J2391" s="4"/>
      <c r="K2391" s="4"/>
      <c r="L2391" s="4"/>
      <c r="M2391" s="4"/>
    </row>
    <row r="2392" spans="1:13" ht="15" customHeight="1" x14ac:dyDescent="0.35">
      <c r="A2392" t="str">
        <f t="shared" si="37"/>
        <v>P701IM11C1022</v>
      </c>
      <c r="B2392" t="str">
        <f>IFERROR(VLOOKUP($A2392,'[5]Study Budget Mapping '!$O$2:$P$532,2,0),"TBA")</f>
        <v>TBA</v>
      </c>
      <c r="D2392" s="2" t="s">
        <v>423</v>
      </c>
      <c r="E2392" s="2" t="s">
        <v>13</v>
      </c>
      <c r="F2392" s="3">
        <v>1113814</v>
      </c>
      <c r="G2392" s="3">
        <v>1113814</v>
      </c>
      <c r="H2392" s="4"/>
      <c r="I2392" s="4"/>
      <c r="J2392" s="4"/>
      <c r="K2392" s="4"/>
      <c r="L2392" s="4"/>
      <c r="M2392" s="4"/>
    </row>
    <row r="2393" spans="1:13" ht="15" customHeight="1" x14ac:dyDescent="0.35">
      <c r="A2393" t="str">
        <f t="shared" si="37"/>
        <v>P701IM11C1022</v>
      </c>
      <c r="B2393" t="str">
        <f>IFERROR(VLOOKUP($A2393,'[5]Study Budget Mapping '!$O$2:$P$532,2,0),"TBA")</f>
        <v>TBA</v>
      </c>
      <c r="D2393" s="2" t="s">
        <v>423</v>
      </c>
      <c r="E2393" s="2" t="s">
        <v>14</v>
      </c>
      <c r="F2393" s="3">
        <v>200000</v>
      </c>
      <c r="G2393" s="3">
        <v>0</v>
      </c>
      <c r="H2393" s="4"/>
      <c r="I2393" s="4"/>
      <c r="J2393" s="4"/>
      <c r="K2393" s="4"/>
      <c r="L2393" s="4"/>
      <c r="M2393" s="4"/>
    </row>
    <row r="2394" spans="1:13" ht="15" customHeight="1" x14ac:dyDescent="0.35">
      <c r="A2394" t="str">
        <f t="shared" si="37"/>
        <v>P701IM11C1022</v>
      </c>
      <c r="B2394" t="str">
        <f>IFERROR(VLOOKUP($A2394,'[5]Study Budget Mapping '!$O$2:$P$532,2,0),"TBA")</f>
        <v>TBA</v>
      </c>
      <c r="D2394" s="2" t="s">
        <v>423</v>
      </c>
      <c r="E2394" s="2" t="s">
        <v>19</v>
      </c>
      <c r="F2394" s="3">
        <v>15000</v>
      </c>
      <c r="G2394" s="3">
        <v>15000</v>
      </c>
      <c r="H2394" s="4"/>
      <c r="I2394" s="4"/>
      <c r="J2394" s="4"/>
      <c r="K2394" s="4"/>
      <c r="L2394" s="4"/>
      <c r="M2394" s="4"/>
    </row>
    <row r="2395" spans="1:13" ht="15" customHeight="1" x14ac:dyDescent="0.35">
      <c r="A2395" t="str">
        <f t="shared" si="37"/>
        <v>P701IM11C1022</v>
      </c>
      <c r="B2395" t="str">
        <f>IFERROR(VLOOKUP($A2395,'[5]Study Budget Mapping '!$O$2:$P$532,2,0),"TBA")</f>
        <v>TBA</v>
      </c>
      <c r="D2395" s="2" t="s">
        <v>423</v>
      </c>
      <c r="E2395" s="2" t="s">
        <v>17</v>
      </c>
      <c r="F2395" s="3">
        <v>235000</v>
      </c>
      <c r="G2395" s="3">
        <v>100506</v>
      </c>
      <c r="H2395" s="4"/>
      <c r="I2395" s="4"/>
      <c r="J2395" s="4"/>
      <c r="K2395" s="4"/>
      <c r="L2395" s="4"/>
      <c r="M2395" s="4"/>
    </row>
    <row r="2396" spans="1:13" ht="15" customHeight="1" x14ac:dyDescent="0.35">
      <c r="A2396" t="str">
        <f t="shared" si="37"/>
        <v>P701IM11C1022</v>
      </c>
      <c r="B2396" t="str">
        <f>IFERROR(VLOOKUP($A2396,'[5]Study Budget Mapping '!$O$2:$P$532,2,0),"TBA")</f>
        <v>TBA</v>
      </c>
      <c r="D2396" s="2" t="s">
        <v>423</v>
      </c>
      <c r="E2396" s="2" t="s">
        <v>24</v>
      </c>
      <c r="F2396" s="3">
        <v>15000</v>
      </c>
      <c r="G2396" s="3">
        <v>8975</v>
      </c>
      <c r="H2396" s="4"/>
      <c r="I2396" s="4"/>
      <c r="J2396" s="4"/>
      <c r="K2396" s="4"/>
      <c r="L2396" s="4"/>
      <c r="M2396" s="4"/>
    </row>
    <row r="2397" spans="1:13" ht="15" customHeight="1" x14ac:dyDescent="0.35">
      <c r="A2397" t="str">
        <f t="shared" si="37"/>
        <v>P701IM11C1022</v>
      </c>
      <c r="B2397" t="str">
        <f>IFERROR(VLOOKUP($A2397,'[5]Study Budget Mapping '!$O$2:$P$532,2,0),"TBA")</f>
        <v>TBA</v>
      </c>
      <c r="D2397" s="2" t="s">
        <v>423</v>
      </c>
      <c r="E2397" s="2" t="s">
        <v>32</v>
      </c>
      <c r="F2397" s="3">
        <v>200000</v>
      </c>
      <c r="G2397" s="3">
        <v>301692</v>
      </c>
      <c r="H2397" s="4"/>
      <c r="I2397" s="4"/>
      <c r="J2397" s="4"/>
      <c r="K2397" s="4"/>
      <c r="L2397" s="4"/>
      <c r="M2397" s="4"/>
    </row>
    <row r="2398" spans="1:13" ht="15" customHeight="1" x14ac:dyDescent="0.35">
      <c r="A2398" t="str">
        <f t="shared" si="37"/>
        <v>P701IM11C2331</v>
      </c>
      <c r="B2398" t="str">
        <f>IFERROR(VLOOKUP($A2398,'[5]Study Budget Mapping '!$O$2:$P$532,2,0),"TBA")</f>
        <v>TBA</v>
      </c>
      <c r="D2398" s="2" t="s">
        <v>424</v>
      </c>
      <c r="E2398" s="2" t="s">
        <v>15</v>
      </c>
      <c r="F2398" s="3">
        <v>5000000</v>
      </c>
      <c r="G2398" s="3">
        <v>5000000</v>
      </c>
      <c r="H2398" s="4"/>
      <c r="I2398" s="4"/>
      <c r="J2398" s="4"/>
      <c r="K2398" s="4"/>
      <c r="L2398" s="4"/>
      <c r="M2398" s="4"/>
    </row>
    <row r="2399" spans="1:13" ht="15" customHeight="1" x14ac:dyDescent="0.35">
      <c r="A2399" t="str">
        <f t="shared" si="37"/>
        <v>P701IM11C2531</v>
      </c>
      <c r="B2399" t="str">
        <f>IFERROR(VLOOKUP($A2399,'[5]Study Budget Mapping '!$O$2:$P$532,2,0),"TBA")</f>
        <v>TBA</v>
      </c>
      <c r="D2399" s="2" t="s">
        <v>425</v>
      </c>
      <c r="E2399" s="2" t="s">
        <v>15</v>
      </c>
      <c r="F2399" s="3">
        <v>5000000</v>
      </c>
      <c r="G2399" s="3">
        <v>5000000</v>
      </c>
      <c r="H2399" s="4"/>
      <c r="I2399" s="4"/>
      <c r="J2399" s="4"/>
      <c r="K2399" s="4"/>
      <c r="L2399" s="4"/>
      <c r="M2399" s="4"/>
    </row>
    <row r="2400" spans="1:13" ht="15" customHeight="1" x14ac:dyDescent="0.35">
      <c r="A2400" t="str">
        <f t="shared" si="37"/>
        <v>P701IM22C2431</v>
      </c>
      <c r="B2400" t="str">
        <f>IFERROR(VLOOKUP($A2400,'[5]Study Budget Mapping '!$O$2:$P$532,2,0),"TBA")</f>
        <v>TBA</v>
      </c>
      <c r="D2400" s="2" t="s">
        <v>426</v>
      </c>
      <c r="E2400" s="2" t="s">
        <v>15</v>
      </c>
      <c r="F2400" s="3">
        <v>5000000</v>
      </c>
      <c r="G2400" s="3">
        <v>5000000</v>
      </c>
      <c r="H2400" s="4"/>
      <c r="I2400" s="4"/>
      <c r="J2400" s="4"/>
      <c r="K2400" s="4"/>
      <c r="L2400" s="4"/>
      <c r="M2400" s="4"/>
    </row>
    <row r="2401" spans="1:13" ht="15" customHeight="1" x14ac:dyDescent="0.35">
      <c r="A2401" t="str">
        <f t="shared" si="37"/>
        <v>P703CV00C6011</v>
      </c>
      <c r="B2401" t="str">
        <f>IFERROR(VLOOKUP($A2401,'[5]Study Budget Mapping '!$O$2:$P$532,2,0),"TBA")</f>
        <v>TBA</v>
      </c>
      <c r="D2401" s="2" t="s">
        <v>427</v>
      </c>
      <c r="E2401" s="2" t="s">
        <v>13</v>
      </c>
      <c r="F2401" s="3">
        <v>690000</v>
      </c>
      <c r="G2401" s="3">
        <v>736000</v>
      </c>
      <c r="H2401" s="4"/>
      <c r="I2401" s="4"/>
      <c r="J2401" s="4"/>
      <c r="K2401" s="4"/>
      <c r="L2401" s="4"/>
      <c r="M2401" s="4"/>
    </row>
    <row r="2402" spans="1:13" ht="15" customHeight="1" x14ac:dyDescent="0.35">
      <c r="A2402" t="str">
        <f t="shared" si="37"/>
        <v>P703CV00C6011</v>
      </c>
      <c r="B2402" t="str">
        <f>IFERROR(VLOOKUP($A2402,'[5]Study Budget Mapping '!$O$2:$P$532,2,0),"TBA")</f>
        <v>TBA</v>
      </c>
      <c r="D2402" s="2" t="s">
        <v>427</v>
      </c>
      <c r="E2402" s="2" t="s">
        <v>14</v>
      </c>
      <c r="F2402" s="3">
        <v>720000</v>
      </c>
      <c r="G2402" s="3">
        <v>910000</v>
      </c>
      <c r="H2402" s="4"/>
      <c r="I2402" s="4"/>
      <c r="J2402" s="4"/>
      <c r="K2402" s="4"/>
      <c r="L2402" s="4"/>
      <c r="M2402" s="4"/>
    </row>
    <row r="2403" spans="1:13" ht="15" customHeight="1" x14ac:dyDescent="0.35">
      <c r="A2403" t="str">
        <f t="shared" si="37"/>
        <v>P703CV00C6011</v>
      </c>
      <c r="B2403" t="str">
        <f>IFERROR(VLOOKUP($A2403,'[5]Study Budget Mapping '!$O$2:$P$532,2,0),"TBA")</f>
        <v>TBA</v>
      </c>
      <c r="D2403" s="2" t="s">
        <v>427</v>
      </c>
      <c r="E2403" s="2" t="s">
        <v>19</v>
      </c>
      <c r="F2403" s="3">
        <v>0</v>
      </c>
      <c r="G2403" s="3">
        <v>149000</v>
      </c>
      <c r="H2403" s="4"/>
      <c r="I2403" s="4"/>
      <c r="J2403" s="4"/>
      <c r="K2403" s="4"/>
      <c r="L2403" s="4"/>
      <c r="M2403" s="4"/>
    </row>
    <row r="2404" spans="1:13" ht="15" customHeight="1" x14ac:dyDescent="0.35">
      <c r="A2404" t="str">
        <f t="shared" si="37"/>
        <v>P703CV00C6011</v>
      </c>
      <c r="B2404" t="str">
        <f>IFERROR(VLOOKUP($A2404,'[5]Study Budget Mapping '!$O$2:$P$532,2,0),"TBA")</f>
        <v>TBA</v>
      </c>
      <c r="D2404" s="2" t="s">
        <v>427</v>
      </c>
      <c r="E2404" s="2" t="s">
        <v>15</v>
      </c>
      <c r="F2404" s="3">
        <v>117000</v>
      </c>
      <c r="G2404" s="3">
        <v>122000</v>
      </c>
      <c r="H2404" s="4"/>
      <c r="I2404" s="4"/>
      <c r="J2404" s="4"/>
      <c r="K2404" s="4"/>
      <c r="L2404" s="4"/>
      <c r="M2404" s="4"/>
    </row>
    <row r="2405" spans="1:13" ht="15" customHeight="1" x14ac:dyDescent="0.35">
      <c r="A2405" t="str">
        <f t="shared" si="37"/>
        <v>P703CV00C6011</v>
      </c>
      <c r="B2405" t="str">
        <f>IFERROR(VLOOKUP($A2405,'[5]Study Budget Mapping '!$O$2:$P$532,2,0),"TBA")</f>
        <v>TBA</v>
      </c>
      <c r="D2405" s="2" t="s">
        <v>427</v>
      </c>
      <c r="E2405" s="2" t="s">
        <v>16</v>
      </c>
      <c r="F2405" s="3">
        <v>1000</v>
      </c>
      <c r="G2405" s="3">
        <v>1000</v>
      </c>
      <c r="H2405" s="4"/>
      <c r="I2405" s="4"/>
      <c r="J2405" s="4"/>
      <c r="K2405" s="4"/>
      <c r="L2405" s="4"/>
      <c r="M2405" s="4"/>
    </row>
    <row r="2406" spans="1:13" ht="15" customHeight="1" x14ac:dyDescent="0.35">
      <c r="A2406" t="str">
        <f t="shared" si="37"/>
        <v>P703CV00C6011</v>
      </c>
      <c r="B2406" t="str">
        <f>IFERROR(VLOOKUP($A2406,'[5]Study Budget Mapping '!$O$2:$P$532,2,0),"TBA")</f>
        <v>TBA</v>
      </c>
      <c r="D2406" s="2" t="s">
        <v>427</v>
      </c>
      <c r="E2406" s="2" t="s">
        <v>17</v>
      </c>
      <c r="F2406" s="3">
        <v>20000</v>
      </c>
      <c r="G2406" s="3">
        <v>20000</v>
      </c>
      <c r="H2406" s="4"/>
      <c r="I2406" s="4"/>
      <c r="J2406" s="4"/>
      <c r="K2406" s="4"/>
      <c r="L2406" s="4"/>
      <c r="M2406" s="4"/>
    </row>
    <row r="2407" spans="1:13" ht="15" customHeight="1" x14ac:dyDescent="0.35">
      <c r="A2407" t="str">
        <f t="shared" si="37"/>
        <v>P703CV00C6011</v>
      </c>
      <c r="B2407" t="str">
        <f>IFERROR(VLOOKUP($A2407,'[5]Study Budget Mapping '!$O$2:$P$532,2,0),"TBA")</f>
        <v>TBA</v>
      </c>
      <c r="D2407" s="2" t="s">
        <v>427</v>
      </c>
      <c r="E2407" s="2" t="s">
        <v>23</v>
      </c>
      <c r="F2407" s="3">
        <v>30000</v>
      </c>
      <c r="G2407" s="3">
        <v>30000</v>
      </c>
      <c r="H2407" s="4"/>
      <c r="I2407" s="4"/>
      <c r="J2407" s="4"/>
      <c r="K2407" s="4"/>
      <c r="L2407" s="4"/>
      <c r="M2407" s="4"/>
    </row>
    <row r="2408" spans="1:13" ht="15" customHeight="1" x14ac:dyDescent="0.35">
      <c r="A2408" t="str">
        <f t="shared" si="37"/>
        <v>P703CV00C6212</v>
      </c>
      <c r="B2408" t="str">
        <f>IFERROR(VLOOKUP($A2408,'[5]Study Budget Mapping '!$O$2:$P$532,2,0),"TBA")</f>
        <v>TBA</v>
      </c>
      <c r="D2408" s="2" t="s">
        <v>428</v>
      </c>
      <c r="E2408" s="2" t="s">
        <v>15</v>
      </c>
      <c r="F2408" s="3">
        <v>1000000</v>
      </c>
      <c r="G2408" s="3">
        <v>1000000</v>
      </c>
      <c r="H2408" s="4"/>
      <c r="I2408" s="4"/>
      <c r="J2408" s="4"/>
      <c r="K2408" s="4"/>
      <c r="L2408" s="4"/>
      <c r="M2408" s="4"/>
    </row>
    <row r="2409" spans="1:13" ht="15" customHeight="1" x14ac:dyDescent="0.35">
      <c r="A2409" t="str">
        <f t="shared" si="37"/>
        <v>P703MD00C6021</v>
      </c>
      <c r="B2409" t="str">
        <f>IFERROR(VLOOKUP($A2409,'[5]Study Budget Mapping '!$O$2:$P$532,2,0),"TBA")</f>
        <v>TBA</v>
      </c>
      <c r="D2409" s="2" t="s">
        <v>429</v>
      </c>
      <c r="E2409" s="2" t="s">
        <v>13</v>
      </c>
      <c r="F2409" s="3">
        <v>7320000</v>
      </c>
      <c r="G2409" s="3">
        <v>7320000</v>
      </c>
      <c r="H2409" s="4"/>
      <c r="I2409" s="4"/>
      <c r="J2409" s="4"/>
      <c r="K2409" s="4"/>
      <c r="L2409" s="4"/>
      <c r="M2409" s="4"/>
    </row>
    <row r="2410" spans="1:13" ht="15" customHeight="1" x14ac:dyDescent="0.35">
      <c r="A2410" t="str">
        <f t="shared" si="37"/>
        <v>P703MD00C6021</v>
      </c>
      <c r="B2410" t="str">
        <f>IFERROR(VLOOKUP($A2410,'[5]Study Budget Mapping '!$O$2:$P$532,2,0),"TBA")</f>
        <v>TBA</v>
      </c>
      <c r="D2410" s="2" t="s">
        <v>429</v>
      </c>
      <c r="E2410" s="2" t="s">
        <v>14</v>
      </c>
      <c r="F2410" s="3">
        <v>1300000</v>
      </c>
      <c r="G2410" s="3">
        <v>1300000</v>
      </c>
      <c r="H2410" s="4"/>
      <c r="I2410" s="4"/>
      <c r="J2410" s="4"/>
      <c r="K2410" s="4"/>
      <c r="L2410" s="4"/>
      <c r="M2410" s="4"/>
    </row>
    <row r="2411" spans="1:13" ht="15" customHeight="1" x14ac:dyDescent="0.35">
      <c r="A2411" t="str">
        <f t="shared" si="37"/>
        <v>P703MD00C6021</v>
      </c>
      <c r="B2411" t="str">
        <f>IFERROR(VLOOKUP($A2411,'[5]Study Budget Mapping '!$O$2:$P$532,2,0),"TBA")</f>
        <v>TBA</v>
      </c>
      <c r="D2411" s="2" t="s">
        <v>429</v>
      </c>
      <c r="E2411" s="2" t="s">
        <v>15</v>
      </c>
      <c r="F2411" s="3">
        <v>2870000</v>
      </c>
      <c r="G2411" s="3">
        <v>2870000</v>
      </c>
      <c r="H2411" s="4"/>
      <c r="I2411" s="4"/>
      <c r="J2411" s="4"/>
      <c r="K2411" s="4"/>
      <c r="L2411" s="4"/>
      <c r="M2411" s="4"/>
    </row>
    <row r="2412" spans="1:13" ht="15" customHeight="1" x14ac:dyDescent="0.35">
      <c r="A2412" t="str">
        <f t="shared" si="37"/>
        <v>P703MD00C6021</v>
      </c>
      <c r="B2412" t="str">
        <f>IFERROR(VLOOKUP($A2412,'[5]Study Budget Mapping '!$O$2:$P$532,2,0),"TBA")</f>
        <v>TBA</v>
      </c>
      <c r="D2412" s="2" t="s">
        <v>429</v>
      </c>
      <c r="E2412" s="2" t="s">
        <v>16</v>
      </c>
      <c r="F2412" s="3">
        <v>1680000</v>
      </c>
      <c r="G2412" s="3">
        <v>1680000</v>
      </c>
      <c r="H2412" s="4"/>
      <c r="I2412" s="4"/>
      <c r="J2412" s="4"/>
      <c r="K2412" s="4"/>
      <c r="L2412" s="4"/>
      <c r="M2412" s="4"/>
    </row>
    <row r="2413" spans="1:13" ht="15" customHeight="1" x14ac:dyDescent="0.35">
      <c r="A2413" t="str">
        <f t="shared" si="37"/>
        <v>P703MD00C6021</v>
      </c>
      <c r="B2413" t="str">
        <f>IFERROR(VLOOKUP($A2413,'[5]Study Budget Mapping '!$O$2:$P$532,2,0),"TBA")</f>
        <v>TBA</v>
      </c>
      <c r="D2413" s="2" t="s">
        <v>429</v>
      </c>
      <c r="E2413" s="2" t="s">
        <v>32</v>
      </c>
      <c r="F2413" s="3">
        <v>60000</v>
      </c>
      <c r="G2413" s="3">
        <v>60000</v>
      </c>
      <c r="H2413" s="4"/>
      <c r="I2413" s="4"/>
      <c r="J2413" s="4"/>
      <c r="K2413" s="4"/>
      <c r="L2413" s="4"/>
      <c r="M2413" s="4"/>
    </row>
    <row r="2414" spans="1:13" ht="15" customHeight="1" x14ac:dyDescent="0.35">
      <c r="A2414" t="str">
        <f t="shared" si="37"/>
        <v>P703CV00C6211</v>
      </c>
      <c r="B2414" t="str">
        <f>IFERROR(VLOOKUP($A2414,'[5]Study Budget Mapping '!$O$2:$P$532,2,0),"TBA")</f>
        <v>TBA</v>
      </c>
      <c r="D2414" s="2" t="s">
        <v>430</v>
      </c>
      <c r="E2414" s="2" t="s">
        <v>22</v>
      </c>
      <c r="F2414" s="3">
        <v>1000000</v>
      </c>
      <c r="G2414" s="3">
        <v>1000000</v>
      </c>
      <c r="H2414" s="4"/>
      <c r="I2414" s="4"/>
      <c r="J2414" s="4"/>
      <c r="K2414" s="4"/>
      <c r="L2414" s="4"/>
      <c r="M2414" s="4"/>
    </row>
    <row r="2415" spans="1:13" ht="15" customHeight="1" x14ac:dyDescent="0.35">
      <c r="A2415" t="str">
        <f t="shared" si="37"/>
        <v>P703GE00C2431</v>
      </c>
      <c r="B2415" t="str">
        <f>IFERROR(VLOOKUP($A2415,'[5]Study Budget Mapping '!$O$2:$P$532,2,0),"TBA")</f>
        <v>TBA</v>
      </c>
      <c r="D2415" s="2" t="s">
        <v>431</v>
      </c>
      <c r="E2415" s="2" t="s">
        <v>13</v>
      </c>
      <c r="F2415" s="3">
        <v>33650000</v>
      </c>
      <c r="G2415" s="3">
        <v>21290000</v>
      </c>
      <c r="H2415" s="4"/>
      <c r="I2415" s="4"/>
      <c r="J2415" s="4"/>
      <c r="K2415" s="4"/>
      <c r="L2415" s="4"/>
      <c r="M2415" s="4"/>
    </row>
    <row r="2416" spans="1:13" ht="15" customHeight="1" x14ac:dyDescent="0.35">
      <c r="A2416" t="str">
        <f t="shared" si="37"/>
        <v>P703GE00C2431</v>
      </c>
      <c r="B2416" t="str">
        <f>IFERROR(VLOOKUP($A2416,'[5]Study Budget Mapping '!$O$2:$P$532,2,0),"TBA")</f>
        <v>TBA</v>
      </c>
      <c r="D2416" s="2" t="s">
        <v>431</v>
      </c>
      <c r="E2416" s="2" t="s">
        <v>14</v>
      </c>
      <c r="F2416" s="3">
        <v>14060000</v>
      </c>
      <c r="G2416" s="3">
        <v>8135000</v>
      </c>
      <c r="H2416" s="4"/>
      <c r="I2416" s="4"/>
      <c r="J2416" s="4"/>
      <c r="K2416" s="4"/>
      <c r="L2416" s="4"/>
      <c r="M2416" s="4"/>
    </row>
    <row r="2417" spans="1:13" ht="15" customHeight="1" x14ac:dyDescent="0.35">
      <c r="A2417" t="str">
        <f t="shared" si="37"/>
        <v>P703GE00C2431</v>
      </c>
      <c r="B2417" t="str">
        <f>IFERROR(VLOOKUP($A2417,'[5]Study Budget Mapping '!$O$2:$P$532,2,0),"TBA")</f>
        <v>TBA</v>
      </c>
      <c r="D2417" s="2" t="s">
        <v>431</v>
      </c>
      <c r="E2417" s="2" t="s">
        <v>19</v>
      </c>
      <c r="F2417" s="3">
        <v>7397000</v>
      </c>
      <c r="G2417" s="3">
        <v>9720000</v>
      </c>
      <c r="H2417" s="4"/>
      <c r="I2417" s="4"/>
      <c r="J2417" s="4"/>
      <c r="K2417" s="4"/>
      <c r="L2417" s="4"/>
      <c r="M2417" s="4"/>
    </row>
    <row r="2418" spans="1:13" ht="15" customHeight="1" x14ac:dyDescent="0.35">
      <c r="A2418" t="str">
        <f t="shared" si="37"/>
        <v>P703GE00C2431</v>
      </c>
      <c r="B2418" t="str">
        <f>IFERROR(VLOOKUP($A2418,'[5]Study Budget Mapping '!$O$2:$P$532,2,0),"TBA")</f>
        <v>TBA</v>
      </c>
      <c r="D2418" s="2" t="s">
        <v>431</v>
      </c>
      <c r="E2418" s="2" t="s">
        <v>15</v>
      </c>
      <c r="F2418" s="3">
        <v>21790000</v>
      </c>
      <c r="G2418" s="3">
        <v>18970000</v>
      </c>
      <c r="H2418" s="4"/>
      <c r="I2418" s="4"/>
      <c r="J2418" s="4"/>
      <c r="K2418" s="4"/>
      <c r="L2418" s="4"/>
      <c r="M2418" s="4"/>
    </row>
    <row r="2419" spans="1:13" ht="15" customHeight="1" x14ac:dyDescent="0.35">
      <c r="A2419" t="str">
        <f t="shared" si="37"/>
        <v>P703GE00C2431</v>
      </c>
      <c r="B2419" t="str">
        <f>IFERROR(VLOOKUP($A2419,'[5]Study Budget Mapping '!$O$2:$P$532,2,0),"TBA")</f>
        <v>TBA</v>
      </c>
      <c r="D2419" s="2" t="s">
        <v>431</v>
      </c>
      <c r="E2419" s="2" t="s">
        <v>22</v>
      </c>
      <c r="F2419" s="3">
        <v>860000</v>
      </c>
      <c r="G2419" s="3">
        <v>2345000</v>
      </c>
      <c r="H2419" s="4"/>
      <c r="I2419" s="4"/>
      <c r="J2419" s="4"/>
      <c r="K2419" s="4"/>
      <c r="L2419" s="4"/>
      <c r="M2419" s="4"/>
    </row>
    <row r="2420" spans="1:13" ht="15" customHeight="1" x14ac:dyDescent="0.35">
      <c r="A2420" t="str">
        <f t="shared" si="37"/>
        <v>P703GE00C2431</v>
      </c>
      <c r="B2420" t="str">
        <f>IFERROR(VLOOKUP($A2420,'[5]Study Budget Mapping '!$O$2:$P$532,2,0),"TBA")</f>
        <v>TBA</v>
      </c>
      <c r="D2420" s="2" t="s">
        <v>431</v>
      </c>
      <c r="E2420" s="2" t="s">
        <v>17</v>
      </c>
      <c r="F2420" s="3">
        <v>390000</v>
      </c>
      <c r="G2420" s="3">
        <v>610000</v>
      </c>
      <c r="H2420" s="4"/>
      <c r="I2420" s="4"/>
      <c r="J2420" s="4"/>
      <c r="K2420" s="4"/>
      <c r="L2420" s="4"/>
      <c r="M2420" s="4"/>
    </row>
    <row r="2421" spans="1:13" ht="15" customHeight="1" x14ac:dyDescent="0.35">
      <c r="A2421" t="str">
        <f t="shared" si="37"/>
        <v>P703GE00C2431</v>
      </c>
      <c r="B2421" t="str">
        <f>IFERROR(VLOOKUP($A2421,'[5]Study Budget Mapping '!$O$2:$P$532,2,0),"TBA")</f>
        <v>TBA</v>
      </c>
      <c r="D2421" s="2" t="s">
        <v>431</v>
      </c>
      <c r="E2421" s="2" t="s">
        <v>23</v>
      </c>
      <c r="F2421" s="3">
        <v>0</v>
      </c>
      <c r="G2421" s="3">
        <v>320000</v>
      </c>
      <c r="H2421" s="4"/>
      <c r="I2421" s="4"/>
      <c r="J2421" s="4"/>
      <c r="K2421" s="4"/>
      <c r="L2421" s="4"/>
      <c r="M2421" s="4"/>
    </row>
    <row r="2422" spans="1:13" ht="15" customHeight="1" x14ac:dyDescent="0.35">
      <c r="A2422" t="str">
        <f t="shared" si="37"/>
        <v>P703GE00C2431</v>
      </c>
      <c r="B2422" t="str">
        <f>IFERROR(VLOOKUP($A2422,'[5]Study Budget Mapping '!$O$2:$P$532,2,0),"TBA")</f>
        <v>TBA</v>
      </c>
      <c r="D2422" s="2" t="s">
        <v>431</v>
      </c>
      <c r="E2422" s="2" t="s">
        <v>24</v>
      </c>
      <c r="F2422" s="3">
        <v>1820000</v>
      </c>
      <c r="G2422" s="3">
        <v>1750000</v>
      </c>
      <c r="H2422" s="4"/>
      <c r="I2422" s="4"/>
      <c r="J2422" s="4"/>
      <c r="K2422" s="4"/>
      <c r="L2422" s="4"/>
      <c r="M2422" s="4"/>
    </row>
    <row r="2423" spans="1:13" ht="15" customHeight="1" x14ac:dyDescent="0.35">
      <c r="A2423" t="str">
        <f t="shared" si="37"/>
        <v>P703GE00C2431</v>
      </c>
      <c r="B2423" t="str">
        <f>IFERROR(VLOOKUP($A2423,'[5]Study Budget Mapping '!$O$2:$P$532,2,0),"TBA")</f>
        <v>TBA</v>
      </c>
      <c r="D2423" s="2" t="s">
        <v>431</v>
      </c>
      <c r="E2423" s="2" t="s">
        <v>32</v>
      </c>
      <c r="F2423" s="3">
        <v>750000</v>
      </c>
      <c r="G2423" s="3">
        <v>430000</v>
      </c>
      <c r="H2423" s="4"/>
      <c r="I2423" s="4"/>
      <c r="J2423" s="4"/>
      <c r="K2423" s="4"/>
      <c r="L2423" s="4"/>
      <c r="M2423" s="4"/>
    </row>
    <row r="2424" spans="1:13" ht="15" customHeight="1" x14ac:dyDescent="0.35">
      <c r="A2424" t="str">
        <f t="shared" si="37"/>
        <v>P704ST12C2931</v>
      </c>
      <c r="B2424" t="str">
        <f>IFERROR(VLOOKUP($A2424,'[5]Study Budget Mapping '!$O$2:$P$532,2,0),"TBA")</f>
        <v>TBA</v>
      </c>
      <c r="D2424" s="2" t="s">
        <v>432</v>
      </c>
      <c r="E2424" s="2" t="s">
        <v>13</v>
      </c>
      <c r="F2424" s="3">
        <v>30500000</v>
      </c>
      <c r="G2424" s="3">
        <v>41500000</v>
      </c>
      <c r="H2424" s="4"/>
      <c r="I2424" s="4"/>
      <c r="J2424" s="4"/>
      <c r="K2424" s="4"/>
      <c r="L2424" s="4"/>
      <c r="M2424" s="4"/>
    </row>
    <row r="2425" spans="1:13" ht="15" customHeight="1" x14ac:dyDescent="0.35">
      <c r="A2425" t="str">
        <f t="shared" si="37"/>
        <v>P704ST12C2931</v>
      </c>
      <c r="B2425" t="str">
        <f>IFERROR(VLOOKUP($A2425,'[5]Study Budget Mapping '!$O$2:$P$532,2,0),"TBA")</f>
        <v>TBA</v>
      </c>
      <c r="D2425" s="2" t="s">
        <v>432</v>
      </c>
      <c r="E2425" s="2" t="s">
        <v>14</v>
      </c>
      <c r="F2425" s="3">
        <v>1790000</v>
      </c>
      <c r="G2425" s="3">
        <v>3835000</v>
      </c>
      <c r="H2425" s="4"/>
      <c r="I2425" s="4"/>
      <c r="J2425" s="4"/>
      <c r="K2425" s="4"/>
      <c r="L2425" s="4"/>
      <c r="M2425" s="4"/>
    </row>
    <row r="2426" spans="1:13" ht="15" customHeight="1" x14ac:dyDescent="0.35">
      <c r="A2426" t="str">
        <f t="shared" si="37"/>
        <v>P704ST12C2931</v>
      </c>
      <c r="B2426" t="str">
        <f>IFERROR(VLOOKUP($A2426,'[5]Study Budget Mapping '!$O$2:$P$532,2,0),"TBA")</f>
        <v>TBA</v>
      </c>
      <c r="D2426" s="2" t="s">
        <v>432</v>
      </c>
      <c r="E2426" s="2" t="s">
        <v>19</v>
      </c>
      <c r="F2426" s="3">
        <v>140000</v>
      </c>
      <c r="G2426" s="3">
        <v>1320000</v>
      </c>
      <c r="H2426" s="4"/>
      <c r="I2426" s="4"/>
      <c r="J2426" s="4"/>
      <c r="K2426" s="4"/>
      <c r="L2426" s="4"/>
      <c r="M2426" s="4"/>
    </row>
    <row r="2427" spans="1:13" ht="15" customHeight="1" x14ac:dyDescent="0.35">
      <c r="A2427" t="str">
        <f t="shared" si="37"/>
        <v>P704ST12C2931</v>
      </c>
      <c r="B2427" t="str">
        <f>IFERROR(VLOOKUP($A2427,'[5]Study Budget Mapping '!$O$2:$P$532,2,0),"TBA")</f>
        <v>TBA</v>
      </c>
      <c r="D2427" s="2" t="s">
        <v>432</v>
      </c>
      <c r="E2427" s="2" t="s">
        <v>20</v>
      </c>
      <c r="F2427" s="3">
        <v>3225000</v>
      </c>
      <c r="G2427" s="3">
        <v>3710000</v>
      </c>
      <c r="H2427" s="4"/>
      <c r="I2427" s="4"/>
      <c r="J2427" s="4"/>
      <c r="K2427" s="4"/>
      <c r="L2427" s="4"/>
      <c r="M2427" s="4"/>
    </row>
    <row r="2428" spans="1:13" ht="15" customHeight="1" x14ac:dyDescent="0.35">
      <c r="A2428" t="str">
        <f t="shared" si="37"/>
        <v>P704ST12C2931</v>
      </c>
      <c r="B2428" t="str">
        <f>IFERROR(VLOOKUP($A2428,'[5]Study Budget Mapping '!$O$2:$P$532,2,0),"TBA")</f>
        <v>TBA</v>
      </c>
      <c r="D2428" s="2" t="s">
        <v>432</v>
      </c>
      <c r="E2428" s="2" t="s">
        <v>15</v>
      </c>
      <c r="F2428" s="3">
        <v>9900000</v>
      </c>
      <c r="G2428" s="3">
        <v>7600000</v>
      </c>
      <c r="H2428" s="4"/>
      <c r="I2428" s="4"/>
      <c r="J2428" s="4"/>
      <c r="K2428" s="4"/>
      <c r="L2428" s="4"/>
      <c r="M2428" s="4"/>
    </row>
    <row r="2429" spans="1:13" ht="15" customHeight="1" x14ac:dyDescent="0.35">
      <c r="A2429" t="str">
        <f t="shared" si="37"/>
        <v>P704ST12C2931</v>
      </c>
      <c r="B2429" t="str">
        <f>IFERROR(VLOOKUP($A2429,'[5]Study Budget Mapping '!$O$2:$P$532,2,0),"TBA")</f>
        <v>TBA</v>
      </c>
      <c r="D2429" s="2" t="s">
        <v>432</v>
      </c>
      <c r="E2429" s="2" t="s">
        <v>22</v>
      </c>
      <c r="F2429" s="3">
        <v>0</v>
      </c>
      <c r="G2429" s="3">
        <v>1600000</v>
      </c>
      <c r="H2429" s="4"/>
      <c r="I2429" s="4"/>
      <c r="J2429" s="4"/>
      <c r="K2429" s="4"/>
      <c r="L2429" s="4"/>
      <c r="M2429" s="4"/>
    </row>
    <row r="2430" spans="1:13" ht="15" customHeight="1" x14ac:dyDescent="0.35">
      <c r="A2430" t="str">
        <f t="shared" si="37"/>
        <v>P704ST12C2931</v>
      </c>
      <c r="B2430" t="str">
        <f>IFERROR(VLOOKUP($A2430,'[5]Study Budget Mapping '!$O$2:$P$532,2,0),"TBA")</f>
        <v>TBA</v>
      </c>
      <c r="D2430" s="2" t="s">
        <v>432</v>
      </c>
      <c r="E2430" s="2" t="s">
        <v>16</v>
      </c>
      <c r="F2430" s="3">
        <v>0</v>
      </c>
      <c r="G2430" s="3">
        <v>650000</v>
      </c>
      <c r="H2430" s="4"/>
      <c r="I2430" s="4"/>
      <c r="J2430" s="4"/>
      <c r="K2430" s="4"/>
      <c r="L2430" s="4"/>
      <c r="M2430" s="4"/>
    </row>
    <row r="2431" spans="1:13" ht="15" customHeight="1" x14ac:dyDescent="0.35">
      <c r="A2431" t="str">
        <f t="shared" si="37"/>
        <v>P704ST12C2931</v>
      </c>
      <c r="B2431" t="str">
        <f>IFERROR(VLOOKUP($A2431,'[5]Study Budget Mapping '!$O$2:$P$532,2,0),"TBA")</f>
        <v>TBA</v>
      </c>
      <c r="D2431" s="2" t="s">
        <v>432</v>
      </c>
      <c r="E2431" s="2" t="s">
        <v>17</v>
      </c>
      <c r="F2431" s="3">
        <v>550000</v>
      </c>
      <c r="G2431" s="3">
        <v>990000</v>
      </c>
      <c r="H2431" s="4"/>
      <c r="I2431" s="4"/>
      <c r="J2431" s="4"/>
      <c r="K2431" s="4"/>
      <c r="L2431" s="4"/>
      <c r="M2431" s="4"/>
    </row>
    <row r="2432" spans="1:13" ht="15" customHeight="1" x14ac:dyDescent="0.35">
      <c r="A2432" t="str">
        <f t="shared" si="37"/>
        <v>P704ST12C2931</v>
      </c>
      <c r="B2432" t="str">
        <f>IFERROR(VLOOKUP($A2432,'[5]Study Budget Mapping '!$O$2:$P$532,2,0),"TBA")</f>
        <v>TBA</v>
      </c>
      <c r="D2432" s="2" t="s">
        <v>432</v>
      </c>
      <c r="E2432" s="2" t="s">
        <v>23</v>
      </c>
      <c r="F2432" s="3">
        <v>0</v>
      </c>
      <c r="G2432" s="3">
        <v>500000</v>
      </c>
      <c r="H2432" s="4"/>
      <c r="I2432" s="4"/>
      <c r="J2432" s="4"/>
      <c r="K2432" s="4"/>
      <c r="L2432" s="4"/>
      <c r="M2432" s="4"/>
    </row>
    <row r="2433" spans="1:13" ht="15" customHeight="1" x14ac:dyDescent="0.35">
      <c r="A2433" t="str">
        <f t="shared" si="37"/>
        <v>P704ST12C2931</v>
      </c>
      <c r="B2433" t="str">
        <f>IFERROR(VLOOKUP($A2433,'[5]Study Budget Mapping '!$O$2:$P$532,2,0),"TBA")</f>
        <v>TBA</v>
      </c>
      <c r="D2433" s="2" t="s">
        <v>432</v>
      </c>
      <c r="E2433" s="2" t="s">
        <v>24</v>
      </c>
      <c r="F2433" s="3">
        <v>620000</v>
      </c>
      <c r="G2433" s="3">
        <v>710000</v>
      </c>
      <c r="H2433" s="4"/>
      <c r="I2433" s="4"/>
      <c r="J2433" s="4"/>
      <c r="K2433" s="4"/>
      <c r="L2433" s="4"/>
      <c r="M2433" s="4"/>
    </row>
    <row r="2434" spans="1:13" ht="15" customHeight="1" x14ac:dyDescent="0.35">
      <c r="A2434" t="str">
        <f t="shared" si="37"/>
        <v>P704ST12C2931</v>
      </c>
      <c r="B2434" t="str">
        <f>IFERROR(VLOOKUP($A2434,'[5]Study Budget Mapping '!$O$2:$P$532,2,0),"TBA")</f>
        <v>TBA</v>
      </c>
      <c r="D2434" s="2" t="s">
        <v>432</v>
      </c>
      <c r="E2434" s="2" t="s">
        <v>32</v>
      </c>
      <c r="F2434" s="3">
        <v>1900000</v>
      </c>
      <c r="G2434" s="3">
        <v>5230000</v>
      </c>
      <c r="H2434" s="4"/>
      <c r="I2434" s="4"/>
      <c r="J2434" s="4"/>
      <c r="K2434" s="4"/>
      <c r="L2434" s="4"/>
      <c r="M2434" s="4"/>
    </row>
    <row r="2435" spans="1:13" ht="15" customHeight="1" x14ac:dyDescent="0.35">
      <c r="A2435" t="str">
        <f t="shared" ref="A2435:A2498" si="38">TRIM(_xlfn.TEXTBEFORE(D2435,"-",1))</f>
        <v>P705ST05C1121</v>
      </c>
      <c r="B2435" t="str">
        <f>IFERROR(VLOOKUP($A2435,'[5]Study Budget Mapping '!$O$2:$P$532,2,0),"TBA")</f>
        <v>TBA</v>
      </c>
      <c r="D2435" s="2" t="s">
        <v>433</v>
      </c>
      <c r="E2435" s="2" t="s">
        <v>13</v>
      </c>
      <c r="F2435" s="3">
        <v>1510000</v>
      </c>
      <c r="G2435" s="3">
        <v>1250000</v>
      </c>
      <c r="H2435" s="4"/>
      <c r="I2435" s="4"/>
      <c r="J2435" s="4"/>
      <c r="K2435" s="4"/>
      <c r="L2435" s="4"/>
      <c r="M2435" s="4"/>
    </row>
    <row r="2436" spans="1:13" ht="15" customHeight="1" x14ac:dyDescent="0.35">
      <c r="A2436" t="str">
        <f t="shared" si="38"/>
        <v>P705ST05C1121</v>
      </c>
      <c r="B2436" t="str">
        <f>IFERROR(VLOOKUP($A2436,'[5]Study Budget Mapping '!$O$2:$P$532,2,0),"TBA")</f>
        <v>TBA</v>
      </c>
      <c r="D2436" s="2" t="s">
        <v>433</v>
      </c>
      <c r="E2436" s="2" t="s">
        <v>14</v>
      </c>
      <c r="F2436" s="3">
        <v>690000</v>
      </c>
      <c r="G2436" s="3">
        <v>905000</v>
      </c>
      <c r="H2436" s="4"/>
      <c r="I2436" s="4"/>
      <c r="J2436" s="4"/>
      <c r="K2436" s="4"/>
      <c r="L2436" s="4"/>
      <c r="M2436" s="4"/>
    </row>
    <row r="2437" spans="1:13" ht="15" customHeight="1" x14ac:dyDescent="0.35">
      <c r="A2437" t="str">
        <f t="shared" si="38"/>
        <v>P705ST05C1121</v>
      </c>
      <c r="B2437" t="str">
        <f>IFERROR(VLOOKUP($A2437,'[5]Study Budget Mapping '!$O$2:$P$532,2,0),"TBA")</f>
        <v>TBA</v>
      </c>
      <c r="D2437" s="2" t="s">
        <v>433</v>
      </c>
      <c r="E2437" s="2" t="s">
        <v>19</v>
      </c>
      <c r="F2437" s="3">
        <v>20000</v>
      </c>
      <c r="G2437" s="3">
        <v>20000</v>
      </c>
      <c r="H2437" s="4"/>
      <c r="I2437" s="4"/>
      <c r="J2437" s="4"/>
      <c r="K2437" s="4"/>
      <c r="L2437" s="4"/>
      <c r="M2437" s="4"/>
    </row>
    <row r="2438" spans="1:13" ht="15" customHeight="1" x14ac:dyDescent="0.35">
      <c r="A2438" t="str">
        <f t="shared" si="38"/>
        <v>P705ST05C1121</v>
      </c>
      <c r="B2438" t="str">
        <f>IFERROR(VLOOKUP($A2438,'[5]Study Budget Mapping '!$O$2:$P$532,2,0),"TBA")</f>
        <v>TBA</v>
      </c>
      <c r="D2438" s="2" t="s">
        <v>433</v>
      </c>
      <c r="E2438" s="2" t="s">
        <v>17</v>
      </c>
      <c r="F2438" s="3">
        <v>110000</v>
      </c>
      <c r="G2438" s="3">
        <v>130000</v>
      </c>
      <c r="H2438" s="4"/>
      <c r="I2438" s="4"/>
      <c r="J2438" s="4"/>
      <c r="K2438" s="4"/>
      <c r="L2438" s="4"/>
      <c r="M2438" s="4"/>
    </row>
    <row r="2439" spans="1:13" ht="15" customHeight="1" x14ac:dyDescent="0.35">
      <c r="A2439" t="str">
        <f t="shared" si="38"/>
        <v>P705ST05C1121</v>
      </c>
      <c r="B2439" t="str">
        <f>IFERROR(VLOOKUP($A2439,'[5]Study Budget Mapping '!$O$2:$P$532,2,0),"TBA")</f>
        <v>TBA</v>
      </c>
      <c r="D2439" s="2" t="s">
        <v>433</v>
      </c>
      <c r="E2439" s="2" t="s">
        <v>24</v>
      </c>
      <c r="F2439" s="3">
        <v>60000</v>
      </c>
      <c r="G2439" s="3">
        <v>60000</v>
      </c>
      <c r="H2439" s="4"/>
      <c r="I2439" s="4"/>
      <c r="J2439" s="4"/>
      <c r="K2439" s="4"/>
      <c r="L2439" s="4"/>
      <c r="M2439" s="4"/>
    </row>
    <row r="2440" spans="1:13" ht="15" customHeight="1" x14ac:dyDescent="0.35">
      <c r="A2440" t="str">
        <f t="shared" si="38"/>
        <v>P705GE00C6221</v>
      </c>
      <c r="B2440" t="str">
        <f>IFERROR(VLOOKUP($A2440,'[5]Study Budget Mapping '!$O$2:$P$532,2,0),"TBA")</f>
        <v>TBA</v>
      </c>
      <c r="D2440" s="2" t="s">
        <v>434</v>
      </c>
      <c r="E2440" s="2" t="s">
        <v>13</v>
      </c>
      <c r="F2440" s="3">
        <v>800000</v>
      </c>
      <c r="G2440" s="3">
        <v>936000</v>
      </c>
      <c r="H2440" s="4"/>
      <c r="I2440" s="4"/>
      <c r="J2440" s="4"/>
      <c r="K2440" s="4"/>
      <c r="L2440" s="4"/>
      <c r="M2440" s="4"/>
    </row>
    <row r="2441" spans="1:13" ht="15" customHeight="1" x14ac:dyDescent="0.35">
      <c r="A2441" t="str">
        <f t="shared" si="38"/>
        <v>P705GE00C6221</v>
      </c>
      <c r="B2441" t="str">
        <f>IFERROR(VLOOKUP($A2441,'[5]Study Budget Mapping '!$O$2:$P$532,2,0),"TBA")</f>
        <v>TBA</v>
      </c>
      <c r="D2441" s="2" t="s">
        <v>434</v>
      </c>
      <c r="E2441" s="2" t="s">
        <v>14</v>
      </c>
      <c r="F2441" s="3">
        <v>130000</v>
      </c>
      <c r="G2441" s="3">
        <v>97000</v>
      </c>
      <c r="H2441" s="4"/>
      <c r="I2441" s="4"/>
      <c r="J2441" s="4"/>
      <c r="K2441" s="4"/>
      <c r="L2441" s="4"/>
      <c r="M2441" s="4"/>
    </row>
    <row r="2442" spans="1:13" ht="15" customHeight="1" x14ac:dyDescent="0.35">
      <c r="A2442" t="str">
        <f t="shared" si="38"/>
        <v>P705GE00C6221</v>
      </c>
      <c r="B2442" t="str">
        <f>IFERROR(VLOOKUP($A2442,'[5]Study Budget Mapping '!$O$2:$P$532,2,0),"TBA")</f>
        <v>TBA</v>
      </c>
      <c r="D2442" s="2" t="s">
        <v>434</v>
      </c>
      <c r="E2442" s="2" t="s">
        <v>19</v>
      </c>
      <c r="F2442" s="3">
        <v>0</v>
      </c>
      <c r="G2442" s="3">
        <v>1400</v>
      </c>
      <c r="H2442" s="4"/>
      <c r="I2442" s="4"/>
      <c r="J2442" s="4"/>
      <c r="K2442" s="4"/>
      <c r="L2442" s="4"/>
      <c r="M2442" s="4"/>
    </row>
    <row r="2443" spans="1:13" ht="15" customHeight="1" x14ac:dyDescent="0.35">
      <c r="A2443" t="str">
        <f t="shared" si="38"/>
        <v>P705GE00C6221</v>
      </c>
      <c r="B2443" t="str">
        <f>IFERROR(VLOOKUP($A2443,'[5]Study Budget Mapping '!$O$2:$P$532,2,0),"TBA")</f>
        <v>TBA</v>
      </c>
      <c r="D2443" s="2" t="s">
        <v>434</v>
      </c>
      <c r="E2443" s="2" t="s">
        <v>22</v>
      </c>
      <c r="F2443" s="3">
        <v>460000</v>
      </c>
      <c r="G2443" s="3">
        <v>660000</v>
      </c>
      <c r="H2443" s="4"/>
      <c r="I2443" s="4"/>
      <c r="J2443" s="4"/>
      <c r="K2443" s="4"/>
      <c r="L2443" s="4"/>
      <c r="M2443" s="4"/>
    </row>
    <row r="2444" spans="1:13" ht="15" customHeight="1" x14ac:dyDescent="0.35">
      <c r="A2444" t="str">
        <f t="shared" si="38"/>
        <v>P705GE00C6221</v>
      </c>
      <c r="B2444" t="str">
        <f>IFERROR(VLOOKUP($A2444,'[5]Study Budget Mapping '!$O$2:$P$532,2,0),"TBA")</f>
        <v>TBA</v>
      </c>
      <c r="D2444" s="2" t="s">
        <v>434</v>
      </c>
      <c r="E2444" s="2" t="s">
        <v>17</v>
      </c>
      <c r="F2444" s="3">
        <v>180000</v>
      </c>
      <c r="G2444" s="3">
        <v>146000</v>
      </c>
      <c r="H2444" s="4"/>
      <c r="I2444" s="4"/>
      <c r="J2444" s="4"/>
      <c r="K2444" s="4"/>
      <c r="L2444" s="4"/>
      <c r="M2444" s="4"/>
    </row>
    <row r="2445" spans="1:13" ht="15" customHeight="1" x14ac:dyDescent="0.35">
      <c r="A2445" t="str">
        <f t="shared" si="38"/>
        <v>P705GE00C2421</v>
      </c>
      <c r="B2445" t="str">
        <f>IFERROR(VLOOKUP($A2445,'[5]Study Budget Mapping '!$O$2:$P$532,2,0),"TBA")</f>
        <v>TBA</v>
      </c>
      <c r="D2445" s="2" t="s">
        <v>435</v>
      </c>
      <c r="E2445" s="2" t="s">
        <v>13</v>
      </c>
      <c r="F2445" s="3">
        <v>6000000</v>
      </c>
      <c r="G2445" s="3">
        <v>4500000</v>
      </c>
      <c r="H2445" s="4"/>
      <c r="I2445" s="4"/>
      <c r="J2445" s="4"/>
      <c r="K2445" s="4"/>
      <c r="L2445" s="4"/>
      <c r="M2445" s="4"/>
    </row>
    <row r="2446" spans="1:13" ht="15" customHeight="1" x14ac:dyDescent="0.35">
      <c r="A2446" t="str">
        <f t="shared" si="38"/>
        <v>P705GE00C2421</v>
      </c>
      <c r="B2446" t="str">
        <f>IFERROR(VLOOKUP($A2446,'[5]Study Budget Mapping '!$O$2:$P$532,2,0),"TBA")</f>
        <v>TBA</v>
      </c>
      <c r="D2446" s="2" t="s">
        <v>435</v>
      </c>
      <c r="E2446" s="2" t="s">
        <v>14</v>
      </c>
      <c r="F2446" s="3">
        <v>1920000</v>
      </c>
      <c r="G2446" s="3">
        <v>1840000</v>
      </c>
      <c r="H2446" s="4"/>
      <c r="I2446" s="4"/>
      <c r="J2446" s="4"/>
      <c r="K2446" s="4"/>
      <c r="L2446" s="4"/>
      <c r="M2446" s="4"/>
    </row>
    <row r="2447" spans="1:13" ht="15" customHeight="1" x14ac:dyDescent="0.35">
      <c r="A2447" t="str">
        <f t="shared" si="38"/>
        <v>P705GE00C2421</v>
      </c>
      <c r="B2447" t="str">
        <f>IFERROR(VLOOKUP($A2447,'[5]Study Budget Mapping '!$O$2:$P$532,2,0),"TBA")</f>
        <v>TBA</v>
      </c>
      <c r="D2447" s="2" t="s">
        <v>435</v>
      </c>
      <c r="E2447" s="2" t="s">
        <v>19</v>
      </c>
      <c r="F2447" s="3">
        <v>760000</v>
      </c>
      <c r="G2447" s="3">
        <v>1050000</v>
      </c>
      <c r="H2447" s="4"/>
      <c r="I2447" s="4"/>
      <c r="J2447" s="4"/>
      <c r="K2447" s="4"/>
      <c r="L2447" s="4"/>
      <c r="M2447" s="4"/>
    </row>
    <row r="2448" spans="1:13" ht="15" customHeight="1" x14ac:dyDescent="0.35">
      <c r="A2448" t="str">
        <f t="shared" si="38"/>
        <v>P705GE00C2421</v>
      </c>
      <c r="B2448" t="str">
        <f>IFERROR(VLOOKUP($A2448,'[5]Study Budget Mapping '!$O$2:$P$532,2,0),"TBA")</f>
        <v>TBA</v>
      </c>
      <c r="D2448" s="2" t="s">
        <v>435</v>
      </c>
      <c r="E2448" s="2" t="s">
        <v>20</v>
      </c>
      <c r="F2448" s="3">
        <v>1220000</v>
      </c>
      <c r="G2448" s="3">
        <v>1560000</v>
      </c>
      <c r="H2448" s="4"/>
      <c r="I2448" s="4"/>
      <c r="J2448" s="4"/>
      <c r="K2448" s="4"/>
      <c r="L2448" s="4"/>
      <c r="M2448" s="4"/>
    </row>
    <row r="2449" spans="1:13" ht="15" customHeight="1" x14ac:dyDescent="0.35">
      <c r="A2449" t="str">
        <f t="shared" si="38"/>
        <v>P705GE00C2421</v>
      </c>
      <c r="B2449" t="str">
        <f>IFERROR(VLOOKUP($A2449,'[5]Study Budget Mapping '!$O$2:$P$532,2,0),"TBA")</f>
        <v>TBA</v>
      </c>
      <c r="D2449" s="2" t="s">
        <v>435</v>
      </c>
      <c r="E2449" s="2" t="s">
        <v>21</v>
      </c>
      <c r="F2449" s="3">
        <v>150000</v>
      </c>
      <c r="G2449" s="3">
        <v>150000</v>
      </c>
      <c r="H2449" s="4"/>
      <c r="I2449" s="4"/>
      <c r="J2449" s="4"/>
      <c r="K2449" s="4"/>
      <c r="L2449" s="4"/>
      <c r="M2449" s="4"/>
    </row>
    <row r="2450" spans="1:13" ht="15" customHeight="1" x14ac:dyDescent="0.35">
      <c r="A2450" t="str">
        <f t="shared" si="38"/>
        <v>P705GE00C2421</v>
      </c>
      <c r="B2450" t="str">
        <f>IFERROR(VLOOKUP($A2450,'[5]Study Budget Mapping '!$O$2:$P$532,2,0),"TBA")</f>
        <v>TBA</v>
      </c>
      <c r="D2450" s="2" t="s">
        <v>435</v>
      </c>
      <c r="E2450" s="2" t="s">
        <v>15</v>
      </c>
      <c r="F2450" s="3">
        <v>2715000</v>
      </c>
      <c r="G2450" s="3">
        <v>3235000</v>
      </c>
      <c r="H2450" s="4"/>
      <c r="I2450" s="4"/>
      <c r="J2450" s="4"/>
      <c r="K2450" s="4"/>
      <c r="L2450" s="4"/>
      <c r="M2450" s="4"/>
    </row>
    <row r="2451" spans="1:13" ht="15" customHeight="1" x14ac:dyDescent="0.35">
      <c r="A2451" t="str">
        <f t="shared" si="38"/>
        <v>P705GE00C2421</v>
      </c>
      <c r="B2451" t="str">
        <f>IFERROR(VLOOKUP($A2451,'[5]Study Budget Mapping '!$O$2:$P$532,2,0),"TBA")</f>
        <v>TBA</v>
      </c>
      <c r="D2451" s="2" t="s">
        <v>435</v>
      </c>
      <c r="E2451" s="2" t="s">
        <v>22</v>
      </c>
      <c r="F2451" s="3">
        <v>735000</v>
      </c>
      <c r="G2451" s="3">
        <v>870000</v>
      </c>
      <c r="H2451" s="4"/>
      <c r="I2451" s="4"/>
      <c r="J2451" s="4"/>
      <c r="K2451" s="4"/>
      <c r="L2451" s="4"/>
      <c r="M2451" s="4"/>
    </row>
    <row r="2452" spans="1:13" ht="15" customHeight="1" x14ac:dyDescent="0.35">
      <c r="A2452" t="str">
        <f t="shared" si="38"/>
        <v>P705GE00C2421</v>
      </c>
      <c r="B2452" t="str">
        <f>IFERROR(VLOOKUP($A2452,'[5]Study Budget Mapping '!$O$2:$P$532,2,0),"TBA")</f>
        <v>TBA</v>
      </c>
      <c r="D2452" s="2" t="s">
        <v>435</v>
      </c>
      <c r="E2452" s="2" t="s">
        <v>16</v>
      </c>
      <c r="F2452" s="3">
        <v>945000</v>
      </c>
      <c r="G2452" s="3">
        <v>1130000</v>
      </c>
      <c r="H2452" s="4"/>
      <c r="I2452" s="4"/>
      <c r="J2452" s="4"/>
      <c r="K2452" s="4"/>
      <c r="L2452" s="4"/>
      <c r="M2452" s="4"/>
    </row>
    <row r="2453" spans="1:13" ht="15" customHeight="1" x14ac:dyDescent="0.35">
      <c r="A2453" t="str">
        <f t="shared" si="38"/>
        <v>P705GE00C2421</v>
      </c>
      <c r="B2453" t="str">
        <f>IFERROR(VLOOKUP($A2453,'[5]Study Budget Mapping '!$O$2:$P$532,2,0),"TBA")</f>
        <v>TBA</v>
      </c>
      <c r="D2453" s="2" t="s">
        <v>435</v>
      </c>
      <c r="E2453" s="2" t="s">
        <v>17</v>
      </c>
      <c r="F2453" s="3">
        <v>250000</v>
      </c>
      <c r="G2453" s="3">
        <v>300000</v>
      </c>
      <c r="H2453" s="4"/>
      <c r="I2453" s="4"/>
      <c r="J2453" s="4"/>
      <c r="K2453" s="4"/>
      <c r="L2453" s="4"/>
      <c r="M2453" s="4"/>
    </row>
    <row r="2454" spans="1:13" ht="15" customHeight="1" x14ac:dyDescent="0.35">
      <c r="A2454" t="str">
        <f t="shared" si="38"/>
        <v>P705GE00C2421</v>
      </c>
      <c r="B2454" t="str">
        <f>IFERROR(VLOOKUP($A2454,'[5]Study Budget Mapping '!$O$2:$P$532,2,0),"TBA")</f>
        <v>TBA</v>
      </c>
      <c r="D2454" s="2" t="s">
        <v>435</v>
      </c>
      <c r="E2454" s="2" t="s">
        <v>23</v>
      </c>
      <c r="F2454" s="3">
        <v>415000</v>
      </c>
      <c r="G2454" s="3">
        <v>610000</v>
      </c>
      <c r="H2454" s="4"/>
      <c r="I2454" s="4"/>
      <c r="J2454" s="4"/>
      <c r="K2454" s="4"/>
      <c r="L2454" s="4"/>
      <c r="M2454" s="4"/>
    </row>
    <row r="2455" spans="1:13" ht="15" customHeight="1" x14ac:dyDescent="0.35">
      <c r="A2455" t="str">
        <f t="shared" si="38"/>
        <v>P705GE00C2421</v>
      </c>
      <c r="B2455" t="str">
        <f>IFERROR(VLOOKUP($A2455,'[5]Study Budget Mapping '!$O$2:$P$532,2,0),"TBA")</f>
        <v>TBA</v>
      </c>
      <c r="D2455" s="2" t="s">
        <v>435</v>
      </c>
      <c r="E2455" s="2" t="s">
        <v>24</v>
      </c>
      <c r="F2455" s="3">
        <v>350000</v>
      </c>
      <c r="G2455" s="3">
        <v>350000</v>
      </c>
      <c r="H2455" s="4"/>
      <c r="I2455" s="4"/>
      <c r="J2455" s="4"/>
      <c r="K2455" s="4"/>
      <c r="L2455" s="4"/>
      <c r="M2455" s="4"/>
    </row>
    <row r="2456" spans="1:13" ht="15" customHeight="1" x14ac:dyDescent="0.35">
      <c r="A2456" t="str">
        <f t="shared" si="38"/>
        <v>P705HE08C2431</v>
      </c>
      <c r="B2456" t="str">
        <f>IFERROR(VLOOKUP($A2456,'[5]Study Budget Mapping '!$O$2:$P$532,2,0),"TBA")</f>
        <v>TBA</v>
      </c>
      <c r="D2456" s="2" t="s">
        <v>436</v>
      </c>
      <c r="E2456" s="2" t="s">
        <v>13</v>
      </c>
      <c r="F2456" s="3">
        <v>4980000</v>
      </c>
      <c r="G2456" s="3">
        <v>5000000</v>
      </c>
      <c r="H2456" s="4"/>
      <c r="I2456" s="4"/>
      <c r="J2456" s="4"/>
      <c r="K2456" s="4"/>
      <c r="L2456" s="4"/>
      <c r="M2456" s="4"/>
    </row>
    <row r="2457" spans="1:13" ht="15" customHeight="1" x14ac:dyDescent="0.35">
      <c r="A2457" t="str">
        <f t="shared" si="38"/>
        <v>P705HE08C2431</v>
      </c>
      <c r="B2457" t="str">
        <f>IFERROR(VLOOKUP($A2457,'[5]Study Budget Mapping '!$O$2:$P$532,2,0),"TBA")</f>
        <v>TBA</v>
      </c>
      <c r="D2457" s="2" t="s">
        <v>436</v>
      </c>
      <c r="E2457" s="2" t="s">
        <v>14</v>
      </c>
      <c r="F2457" s="3">
        <v>710000</v>
      </c>
      <c r="G2457" s="3">
        <v>1040000</v>
      </c>
      <c r="H2457" s="4"/>
      <c r="I2457" s="4"/>
      <c r="J2457" s="4"/>
      <c r="K2457" s="4"/>
      <c r="L2457" s="4"/>
      <c r="M2457" s="4"/>
    </row>
    <row r="2458" spans="1:13" ht="15" customHeight="1" x14ac:dyDescent="0.35">
      <c r="A2458" t="str">
        <f t="shared" si="38"/>
        <v>P705HE08C2431</v>
      </c>
      <c r="B2458" t="str">
        <f>IFERROR(VLOOKUP($A2458,'[5]Study Budget Mapping '!$O$2:$P$532,2,0),"TBA")</f>
        <v>TBA</v>
      </c>
      <c r="D2458" s="2" t="s">
        <v>436</v>
      </c>
      <c r="E2458" s="2" t="s">
        <v>19</v>
      </c>
      <c r="F2458" s="3">
        <v>665000</v>
      </c>
      <c r="G2458" s="3">
        <v>660000</v>
      </c>
      <c r="H2458" s="4"/>
      <c r="I2458" s="4"/>
      <c r="J2458" s="4"/>
      <c r="K2458" s="4"/>
      <c r="L2458" s="4"/>
      <c r="M2458" s="4"/>
    </row>
    <row r="2459" spans="1:13" ht="15" customHeight="1" x14ac:dyDescent="0.35">
      <c r="A2459" t="str">
        <f t="shared" si="38"/>
        <v>P705HE08C2431</v>
      </c>
      <c r="B2459" t="str">
        <f>IFERROR(VLOOKUP($A2459,'[5]Study Budget Mapping '!$O$2:$P$532,2,0),"TBA")</f>
        <v>TBA</v>
      </c>
      <c r="D2459" s="2" t="s">
        <v>436</v>
      </c>
      <c r="E2459" s="2" t="s">
        <v>20</v>
      </c>
      <c r="F2459" s="3">
        <v>1000000</v>
      </c>
      <c r="G2459" s="3">
        <v>1180000</v>
      </c>
      <c r="H2459" s="4"/>
      <c r="I2459" s="4"/>
      <c r="J2459" s="4"/>
      <c r="K2459" s="4"/>
      <c r="L2459" s="4"/>
      <c r="M2459" s="4"/>
    </row>
    <row r="2460" spans="1:13" ht="15" customHeight="1" x14ac:dyDescent="0.35">
      <c r="A2460" t="str">
        <f t="shared" si="38"/>
        <v>P705HE08C2431</v>
      </c>
      <c r="B2460" t="str">
        <f>IFERROR(VLOOKUP($A2460,'[5]Study Budget Mapping '!$O$2:$P$532,2,0),"TBA")</f>
        <v>TBA</v>
      </c>
      <c r="D2460" s="2" t="s">
        <v>436</v>
      </c>
      <c r="E2460" s="2" t="s">
        <v>15</v>
      </c>
      <c r="F2460" s="3">
        <v>4980000</v>
      </c>
      <c r="G2460" s="3">
        <v>4950000</v>
      </c>
      <c r="H2460" s="4"/>
      <c r="I2460" s="4"/>
      <c r="J2460" s="4"/>
      <c r="K2460" s="4"/>
      <c r="L2460" s="4"/>
      <c r="M2460" s="4"/>
    </row>
    <row r="2461" spans="1:13" ht="15" customHeight="1" x14ac:dyDescent="0.35">
      <c r="A2461" t="str">
        <f t="shared" si="38"/>
        <v>P705HE08C2431</v>
      </c>
      <c r="B2461" t="str">
        <f>IFERROR(VLOOKUP($A2461,'[5]Study Budget Mapping '!$O$2:$P$532,2,0),"TBA")</f>
        <v>TBA</v>
      </c>
      <c r="D2461" s="2" t="s">
        <v>436</v>
      </c>
      <c r="E2461" s="2" t="s">
        <v>22</v>
      </c>
      <c r="F2461" s="3">
        <v>1090000</v>
      </c>
      <c r="G2461" s="3">
        <v>940000</v>
      </c>
      <c r="H2461" s="4"/>
      <c r="I2461" s="4"/>
      <c r="J2461" s="4"/>
      <c r="K2461" s="4"/>
      <c r="L2461" s="4"/>
      <c r="M2461" s="4"/>
    </row>
    <row r="2462" spans="1:13" ht="15" customHeight="1" x14ac:dyDescent="0.35">
      <c r="A2462" t="str">
        <f t="shared" si="38"/>
        <v>P705HE08C2431</v>
      </c>
      <c r="B2462" t="str">
        <f>IFERROR(VLOOKUP($A2462,'[5]Study Budget Mapping '!$O$2:$P$532,2,0),"TBA")</f>
        <v>TBA</v>
      </c>
      <c r="D2462" s="2" t="s">
        <v>436</v>
      </c>
      <c r="E2462" s="2" t="s">
        <v>16</v>
      </c>
      <c r="F2462" s="3">
        <v>760000</v>
      </c>
      <c r="G2462" s="3">
        <v>1140000</v>
      </c>
      <c r="H2462" s="4"/>
      <c r="I2462" s="4"/>
      <c r="J2462" s="4"/>
      <c r="K2462" s="4"/>
      <c r="L2462" s="4"/>
      <c r="M2462" s="4"/>
    </row>
    <row r="2463" spans="1:13" ht="15" customHeight="1" x14ac:dyDescent="0.35">
      <c r="A2463" t="str">
        <f t="shared" si="38"/>
        <v>P705HE08C2431</v>
      </c>
      <c r="B2463" t="str">
        <f>IFERROR(VLOOKUP($A2463,'[5]Study Budget Mapping '!$O$2:$P$532,2,0),"TBA")</f>
        <v>TBA</v>
      </c>
      <c r="D2463" s="2" t="s">
        <v>436</v>
      </c>
      <c r="E2463" s="2" t="s">
        <v>17</v>
      </c>
      <c r="F2463" s="3">
        <v>260000</v>
      </c>
      <c r="G2463" s="3">
        <v>260000</v>
      </c>
      <c r="H2463" s="4"/>
      <c r="I2463" s="4"/>
      <c r="J2463" s="4"/>
      <c r="K2463" s="4"/>
      <c r="L2463" s="4"/>
      <c r="M2463" s="4"/>
    </row>
    <row r="2464" spans="1:13" ht="15" customHeight="1" x14ac:dyDescent="0.35">
      <c r="A2464" t="str">
        <f t="shared" si="38"/>
        <v>P705HE08C2431</v>
      </c>
      <c r="B2464" t="str">
        <f>IFERROR(VLOOKUP($A2464,'[5]Study Budget Mapping '!$O$2:$P$532,2,0),"TBA")</f>
        <v>TBA</v>
      </c>
      <c r="D2464" s="2" t="s">
        <v>436</v>
      </c>
      <c r="E2464" s="2" t="s">
        <v>23</v>
      </c>
      <c r="F2464" s="3">
        <v>190000</v>
      </c>
      <c r="G2464" s="3">
        <v>270000</v>
      </c>
      <c r="H2464" s="4"/>
      <c r="I2464" s="4"/>
      <c r="J2464" s="4"/>
      <c r="K2464" s="4"/>
      <c r="L2464" s="4"/>
      <c r="M2464" s="4"/>
    </row>
    <row r="2465" spans="1:13" ht="15" customHeight="1" x14ac:dyDescent="0.35">
      <c r="A2465" t="str">
        <f t="shared" si="38"/>
        <v>P705HE08C2431</v>
      </c>
      <c r="B2465" t="str">
        <f>IFERROR(VLOOKUP($A2465,'[5]Study Budget Mapping '!$O$2:$P$532,2,0),"TBA")</f>
        <v>TBA</v>
      </c>
      <c r="D2465" s="2" t="s">
        <v>436</v>
      </c>
      <c r="E2465" s="2" t="s">
        <v>24</v>
      </c>
      <c r="F2465" s="3">
        <v>490000</v>
      </c>
      <c r="G2465" s="3">
        <v>490000</v>
      </c>
      <c r="H2465" s="4"/>
      <c r="I2465" s="4"/>
      <c r="J2465" s="4"/>
      <c r="K2465" s="4"/>
      <c r="L2465" s="4"/>
      <c r="M2465" s="4"/>
    </row>
    <row r="2466" spans="1:13" ht="15" customHeight="1" x14ac:dyDescent="0.35">
      <c r="A2466" t="str">
        <f t="shared" si="38"/>
        <v>P705HE08C2431</v>
      </c>
      <c r="B2466" t="str">
        <f>IFERROR(VLOOKUP($A2466,'[5]Study Budget Mapping '!$O$2:$P$532,2,0),"TBA")</f>
        <v>TBA</v>
      </c>
      <c r="D2466" s="2" t="s">
        <v>436</v>
      </c>
      <c r="E2466" s="2" t="s">
        <v>32</v>
      </c>
      <c r="F2466" s="3">
        <v>800000</v>
      </c>
      <c r="G2466" s="3">
        <v>580000</v>
      </c>
      <c r="H2466" s="4"/>
      <c r="I2466" s="4"/>
      <c r="J2466" s="4"/>
      <c r="K2466" s="4"/>
      <c r="L2466" s="4"/>
      <c r="M2466" s="4"/>
    </row>
    <row r="2467" spans="1:13" ht="15" customHeight="1" x14ac:dyDescent="0.35">
      <c r="A2467" t="str">
        <f t="shared" si="38"/>
        <v>P705HE08C1121</v>
      </c>
      <c r="B2467" t="str">
        <f>IFERROR(VLOOKUP($A2467,'[5]Study Budget Mapping '!$O$2:$P$532,2,0),"TBA")</f>
        <v>TBA</v>
      </c>
      <c r="D2467" s="2" t="s">
        <v>437</v>
      </c>
      <c r="E2467" s="2" t="s">
        <v>13</v>
      </c>
      <c r="F2467" s="3">
        <v>3620000</v>
      </c>
      <c r="G2467" s="3">
        <v>4420000</v>
      </c>
      <c r="H2467" s="4"/>
      <c r="I2467" s="4"/>
      <c r="J2467" s="4"/>
      <c r="K2467" s="4"/>
      <c r="L2467" s="4"/>
      <c r="M2467" s="4"/>
    </row>
    <row r="2468" spans="1:13" ht="15" customHeight="1" x14ac:dyDescent="0.35">
      <c r="A2468" t="str">
        <f t="shared" si="38"/>
        <v>P705HE08C1121</v>
      </c>
      <c r="B2468" t="str">
        <f>IFERROR(VLOOKUP($A2468,'[5]Study Budget Mapping '!$O$2:$P$532,2,0),"TBA")</f>
        <v>TBA</v>
      </c>
      <c r="D2468" s="2" t="s">
        <v>437</v>
      </c>
      <c r="E2468" s="2" t="s">
        <v>14</v>
      </c>
      <c r="F2468" s="3">
        <v>460000</v>
      </c>
      <c r="G2468" s="3">
        <v>480000</v>
      </c>
      <c r="H2468" s="4"/>
      <c r="I2468" s="4"/>
      <c r="J2468" s="4"/>
      <c r="K2468" s="4"/>
      <c r="L2468" s="4"/>
      <c r="M2468" s="4"/>
    </row>
    <row r="2469" spans="1:13" ht="15" customHeight="1" x14ac:dyDescent="0.35">
      <c r="A2469" t="str">
        <f t="shared" si="38"/>
        <v>P705HE08C1121</v>
      </c>
      <c r="B2469" t="str">
        <f>IFERROR(VLOOKUP($A2469,'[5]Study Budget Mapping '!$O$2:$P$532,2,0),"TBA")</f>
        <v>TBA</v>
      </c>
      <c r="D2469" s="2" t="s">
        <v>437</v>
      </c>
      <c r="E2469" s="2" t="s">
        <v>19</v>
      </c>
      <c r="F2469" s="3">
        <v>0</v>
      </c>
      <c r="G2469" s="3">
        <v>10000</v>
      </c>
      <c r="H2469" s="4"/>
      <c r="I2469" s="4"/>
      <c r="J2469" s="4"/>
      <c r="K2469" s="4"/>
      <c r="L2469" s="4"/>
      <c r="M2469" s="4"/>
    </row>
    <row r="2470" spans="1:13" ht="15" customHeight="1" x14ac:dyDescent="0.35">
      <c r="A2470" t="str">
        <f t="shared" si="38"/>
        <v>P705HE08C1121</v>
      </c>
      <c r="B2470" t="str">
        <f>IFERROR(VLOOKUP($A2470,'[5]Study Budget Mapping '!$O$2:$P$532,2,0),"TBA")</f>
        <v>TBA</v>
      </c>
      <c r="D2470" s="2" t="s">
        <v>437</v>
      </c>
      <c r="E2470" s="2" t="s">
        <v>22</v>
      </c>
      <c r="F2470" s="3">
        <v>355000</v>
      </c>
      <c r="G2470" s="3">
        <v>425000</v>
      </c>
      <c r="H2470" s="4"/>
      <c r="I2470" s="4"/>
      <c r="J2470" s="4"/>
      <c r="K2470" s="4"/>
      <c r="L2470" s="4"/>
      <c r="M2470" s="4"/>
    </row>
    <row r="2471" spans="1:13" ht="15" customHeight="1" x14ac:dyDescent="0.35">
      <c r="A2471" t="str">
        <f t="shared" si="38"/>
        <v>P705HE08C1121</v>
      </c>
      <c r="B2471" t="str">
        <f>IFERROR(VLOOKUP($A2471,'[5]Study Budget Mapping '!$O$2:$P$532,2,0),"TBA")</f>
        <v>TBA</v>
      </c>
      <c r="D2471" s="2" t="s">
        <v>437</v>
      </c>
      <c r="E2471" s="2" t="s">
        <v>16</v>
      </c>
      <c r="F2471" s="3">
        <v>30000</v>
      </c>
      <c r="G2471" s="3">
        <v>20000</v>
      </c>
      <c r="H2471" s="4"/>
      <c r="I2471" s="4"/>
      <c r="J2471" s="4"/>
      <c r="K2471" s="4"/>
      <c r="L2471" s="4"/>
      <c r="M2471" s="4"/>
    </row>
    <row r="2472" spans="1:13" ht="15" customHeight="1" x14ac:dyDescent="0.35">
      <c r="A2472" t="str">
        <f t="shared" si="38"/>
        <v>P705HE08C1121</v>
      </c>
      <c r="B2472" t="str">
        <f>IFERROR(VLOOKUP($A2472,'[5]Study Budget Mapping '!$O$2:$P$532,2,0),"TBA")</f>
        <v>TBA</v>
      </c>
      <c r="D2472" s="2" t="s">
        <v>437</v>
      </c>
      <c r="E2472" s="2" t="s">
        <v>17</v>
      </c>
      <c r="F2472" s="3">
        <v>200000</v>
      </c>
      <c r="G2472" s="3">
        <v>250000</v>
      </c>
      <c r="H2472" s="4"/>
      <c r="I2472" s="4"/>
      <c r="J2472" s="4"/>
      <c r="K2472" s="4"/>
      <c r="L2472" s="4"/>
      <c r="M2472" s="4"/>
    </row>
    <row r="2473" spans="1:13" ht="15" customHeight="1" x14ac:dyDescent="0.35">
      <c r="A2473" t="str">
        <f t="shared" si="38"/>
        <v>P705HE08C1121</v>
      </c>
      <c r="B2473" t="str">
        <f>IFERROR(VLOOKUP($A2473,'[5]Study Budget Mapping '!$O$2:$P$532,2,0),"TBA")</f>
        <v>TBA</v>
      </c>
      <c r="D2473" s="2" t="s">
        <v>437</v>
      </c>
      <c r="E2473" s="2" t="s">
        <v>24</v>
      </c>
      <c r="F2473" s="3">
        <v>70000</v>
      </c>
      <c r="G2473" s="3">
        <v>80000</v>
      </c>
      <c r="H2473" s="4"/>
      <c r="I2473" s="4"/>
      <c r="J2473" s="4"/>
      <c r="K2473" s="4"/>
      <c r="L2473" s="4"/>
      <c r="M2473" s="4"/>
    </row>
    <row r="2474" spans="1:13" ht="15" customHeight="1" x14ac:dyDescent="0.35">
      <c r="A2474" t="str">
        <f t="shared" si="38"/>
        <v>P705HE08C3831</v>
      </c>
      <c r="B2474" t="str">
        <f>IFERROR(VLOOKUP($A2474,'[5]Study Budget Mapping '!$O$2:$P$532,2,0),"TBA")</f>
        <v>TBA</v>
      </c>
      <c r="D2474" s="2" t="s">
        <v>438</v>
      </c>
      <c r="E2474" s="2" t="s">
        <v>15</v>
      </c>
      <c r="F2474" s="3">
        <v>20000000</v>
      </c>
      <c r="G2474" s="3">
        <v>20000000</v>
      </c>
      <c r="H2474" s="4"/>
      <c r="I2474" s="4"/>
      <c r="J2474" s="4"/>
      <c r="K2474" s="4"/>
      <c r="L2474" s="4"/>
      <c r="M2474" s="4"/>
    </row>
    <row r="2475" spans="1:13" ht="15" customHeight="1" x14ac:dyDescent="0.35">
      <c r="A2475" t="str">
        <f t="shared" si="38"/>
        <v>P705HE08C3832</v>
      </c>
      <c r="B2475" t="str">
        <f>IFERROR(VLOOKUP($A2475,'[5]Study Budget Mapping '!$O$2:$P$532,2,0),"TBA")</f>
        <v>TBA</v>
      </c>
      <c r="D2475" s="2" t="s">
        <v>439</v>
      </c>
      <c r="E2475" s="2" t="s">
        <v>15</v>
      </c>
      <c r="F2475" s="3">
        <v>20000000</v>
      </c>
      <c r="G2475" s="3">
        <v>20000000</v>
      </c>
      <c r="H2475" s="4"/>
      <c r="I2475" s="4"/>
      <c r="J2475" s="4"/>
      <c r="K2475" s="4"/>
      <c r="L2475" s="4"/>
      <c r="M2475" s="4"/>
    </row>
    <row r="2476" spans="1:13" ht="15" customHeight="1" x14ac:dyDescent="0.35">
      <c r="A2476" t="str">
        <f t="shared" si="38"/>
        <v>P706ID01C1131</v>
      </c>
      <c r="B2476" t="str">
        <f>IFERROR(VLOOKUP($A2476,'[5]Study Budget Mapping '!$O$2:$P$532,2,0),"TBA")</f>
        <v>TBA</v>
      </c>
      <c r="D2476" s="2" t="s">
        <v>440</v>
      </c>
      <c r="E2476" s="2" t="s">
        <v>13</v>
      </c>
      <c r="F2476" s="3">
        <v>1730000</v>
      </c>
      <c r="G2476" s="3">
        <v>1540000</v>
      </c>
      <c r="H2476" s="4"/>
      <c r="I2476" s="4"/>
      <c r="J2476" s="4"/>
      <c r="K2476" s="4"/>
      <c r="L2476" s="4"/>
      <c r="M2476" s="4"/>
    </row>
    <row r="2477" spans="1:13" ht="15" customHeight="1" x14ac:dyDescent="0.35">
      <c r="A2477" t="str">
        <f t="shared" si="38"/>
        <v>P706ID01C1131</v>
      </c>
      <c r="B2477" t="str">
        <f>IFERROR(VLOOKUP($A2477,'[5]Study Budget Mapping '!$O$2:$P$532,2,0),"TBA")</f>
        <v>TBA</v>
      </c>
      <c r="D2477" s="2" t="s">
        <v>440</v>
      </c>
      <c r="E2477" s="2" t="s">
        <v>14</v>
      </c>
      <c r="F2477" s="3">
        <v>476000</v>
      </c>
      <c r="G2477" s="3">
        <v>206000</v>
      </c>
      <c r="H2477" s="4"/>
      <c r="I2477" s="4"/>
      <c r="J2477" s="4"/>
      <c r="K2477" s="4"/>
      <c r="L2477" s="4"/>
      <c r="M2477" s="4"/>
    </row>
    <row r="2478" spans="1:13" ht="15" customHeight="1" x14ac:dyDescent="0.35">
      <c r="A2478" t="str">
        <f t="shared" si="38"/>
        <v>P706ID01C1131</v>
      </c>
      <c r="B2478" t="str">
        <f>IFERROR(VLOOKUP($A2478,'[5]Study Budget Mapping '!$O$2:$P$532,2,0),"TBA")</f>
        <v>TBA</v>
      </c>
      <c r="D2478" s="2" t="s">
        <v>440</v>
      </c>
      <c r="E2478" s="2" t="s">
        <v>19</v>
      </c>
      <c r="F2478" s="3">
        <v>214000</v>
      </c>
      <c r="G2478" s="3">
        <v>264000</v>
      </c>
      <c r="H2478" s="4"/>
      <c r="I2478" s="4"/>
      <c r="J2478" s="4"/>
      <c r="K2478" s="4"/>
      <c r="L2478" s="4"/>
      <c r="M2478" s="4"/>
    </row>
    <row r="2479" spans="1:13" ht="15" customHeight="1" x14ac:dyDescent="0.35">
      <c r="A2479" t="str">
        <f t="shared" si="38"/>
        <v>P706ID01C1131</v>
      </c>
      <c r="B2479" t="str">
        <f>IFERROR(VLOOKUP($A2479,'[5]Study Budget Mapping '!$O$2:$P$532,2,0),"TBA")</f>
        <v>TBA</v>
      </c>
      <c r="D2479" s="2" t="s">
        <v>440</v>
      </c>
      <c r="E2479" s="2" t="s">
        <v>15</v>
      </c>
      <c r="F2479" s="3">
        <v>0</v>
      </c>
      <c r="G2479" s="3">
        <v>500000</v>
      </c>
      <c r="H2479" s="4"/>
      <c r="I2479" s="4"/>
      <c r="J2479" s="4"/>
      <c r="K2479" s="4"/>
      <c r="L2479" s="4"/>
      <c r="M2479" s="4"/>
    </row>
    <row r="2480" spans="1:13" ht="15" customHeight="1" x14ac:dyDescent="0.35">
      <c r="A2480" t="str">
        <f t="shared" si="38"/>
        <v>P706ID01C1131</v>
      </c>
      <c r="B2480" t="str">
        <f>IFERROR(VLOOKUP($A2480,'[5]Study Budget Mapping '!$O$2:$P$532,2,0),"TBA")</f>
        <v>TBA</v>
      </c>
      <c r="D2480" s="2" t="s">
        <v>440</v>
      </c>
      <c r="E2480" s="2" t="s">
        <v>17</v>
      </c>
      <c r="F2480" s="3">
        <v>270000</v>
      </c>
      <c r="G2480" s="3">
        <v>300000</v>
      </c>
      <c r="H2480" s="4"/>
      <c r="I2480" s="4"/>
      <c r="J2480" s="4"/>
      <c r="K2480" s="4"/>
      <c r="L2480" s="4"/>
      <c r="M2480" s="4"/>
    </row>
    <row r="2481" spans="1:13" ht="15" customHeight="1" x14ac:dyDescent="0.35">
      <c r="A2481" t="str">
        <f t="shared" si="38"/>
        <v>P706ID01C1131</v>
      </c>
      <c r="B2481" t="str">
        <f>IFERROR(VLOOKUP($A2481,'[5]Study Budget Mapping '!$O$2:$P$532,2,0),"TBA")</f>
        <v>TBA</v>
      </c>
      <c r="D2481" s="2" t="s">
        <v>440</v>
      </c>
      <c r="E2481" s="2" t="s">
        <v>23</v>
      </c>
      <c r="F2481" s="3">
        <v>342000</v>
      </c>
      <c r="G2481" s="3">
        <v>539000</v>
      </c>
      <c r="H2481" s="4"/>
      <c r="I2481" s="4"/>
      <c r="J2481" s="4"/>
      <c r="K2481" s="4"/>
      <c r="L2481" s="4"/>
      <c r="M2481" s="4"/>
    </row>
    <row r="2482" spans="1:13" ht="15" customHeight="1" x14ac:dyDescent="0.35">
      <c r="A2482" t="str">
        <f t="shared" si="38"/>
        <v>P706ID01C1131</v>
      </c>
      <c r="B2482" t="str">
        <f>IFERROR(VLOOKUP($A2482,'[5]Study Budget Mapping '!$O$2:$P$532,2,0),"TBA")</f>
        <v>TBA</v>
      </c>
      <c r="D2482" s="2" t="s">
        <v>440</v>
      </c>
      <c r="E2482" s="2" t="s">
        <v>24</v>
      </c>
      <c r="F2482" s="3">
        <v>282000</v>
      </c>
      <c r="G2482" s="3">
        <v>335000</v>
      </c>
      <c r="H2482" s="4"/>
      <c r="I2482" s="4"/>
      <c r="J2482" s="4"/>
      <c r="K2482" s="4"/>
      <c r="L2482" s="4"/>
      <c r="M2482" s="4"/>
    </row>
    <row r="2483" spans="1:13" ht="15" customHeight="1" x14ac:dyDescent="0.35">
      <c r="A2483" t="str">
        <f t="shared" si="38"/>
        <v>P706ID01C1131</v>
      </c>
      <c r="B2483" t="str">
        <f>IFERROR(VLOOKUP($A2483,'[5]Study Budget Mapping '!$O$2:$P$532,2,0),"TBA")</f>
        <v>TBA</v>
      </c>
      <c r="D2483" s="2" t="s">
        <v>440</v>
      </c>
      <c r="E2483" s="2" t="s">
        <v>32</v>
      </c>
      <c r="F2483" s="3">
        <v>0</v>
      </c>
      <c r="G2483" s="3">
        <v>36000</v>
      </c>
      <c r="H2483" s="4"/>
      <c r="I2483" s="4"/>
      <c r="J2483" s="4"/>
      <c r="K2483" s="4"/>
      <c r="L2483" s="4"/>
      <c r="M2483" s="4"/>
    </row>
    <row r="2484" spans="1:13" ht="15" customHeight="1" x14ac:dyDescent="0.35">
      <c r="A2484" t="str">
        <f t="shared" si="38"/>
        <v>P706ID01C1211</v>
      </c>
      <c r="B2484" t="str">
        <f>IFERROR(VLOOKUP($A2484,'[5]Study Budget Mapping '!$O$2:$P$532,2,0),"TBA")</f>
        <v>TBA</v>
      </c>
      <c r="D2484" s="2" t="s">
        <v>441</v>
      </c>
      <c r="E2484" s="2" t="s">
        <v>13</v>
      </c>
      <c r="F2484" s="3">
        <v>5880000</v>
      </c>
      <c r="G2484" s="3">
        <v>18800000</v>
      </c>
      <c r="H2484" s="4"/>
      <c r="I2484" s="4"/>
      <c r="J2484" s="4"/>
      <c r="K2484" s="4"/>
      <c r="L2484" s="4"/>
      <c r="M2484" s="4"/>
    </row>
    <row r="2485" spans="1:13" ht="15" customHeight="1" x14ac:dyDescent="0.35">
      <c r="A2485" t="str">
        <f t="shared" si="38"/>
        <v>P706ID01C1211</v>
      </c>
      <c r="B2485" t="str">
        <f>IFERROR(VLOOKUP($A2485,'[5]Study Budget Mapping '!$O$2:$P$532,2,0),"TBA")</f>
        <v>TBA</v>
      </c>
      <c r="D2485" s="2" t="s">
        <v>441</v>
      </c>
      <c r="E2485" s="2" t="s">
        <v>14</v>
      </c>
      <c r="F2485" s="3">
        <v>970000</v>
      </c>
      <c r="G2485" s="3">
        <v>3800000</v>
      </c>
      <c r="H2485" s="4"/>
      <c r="I2485" s="4"/>
      <c r="J2485" s="4"/>
      <c r="K2485" s="4"/>
      <c r="L2485" s="4"/>
      <c r="M2485" s="4"/>
    </row>
    <row r="2486" spans="1:13" ht="15" customHeight="1" x14ac:dyDescent="0.35">
      <c r="A2486" t="str">
        <f t="shared" si="38"/>
        <v>P706ID01C1211</v>
      </c>
      <c r="B2486" t="str">
        <f>IFERROR(VLOOKUP($A2486,'[5]Study Budget Mapping '!$O$2:$P$532,2,0),"TBA")</f>
        <v>TBA</v>
      </c>
      <c r="D2486" s="2" t="s">
        <v>441</v>
      </c>
      <c r="E2486" s="2" t="s">
        <v>19</v>
      </c>
      <c r="F2486" s="3">
        <v>190000</v>
      </c>
      <c r="G2486" s="3">
        <v>1629500</v>
      </c>
      <c r="H2486" s="4"/>
      <c r="I2486" s="4"/>
      <c r="J2486" s="4"/>
      <c r="K2486" s="4"/>
      <c r="L2486" s="4"/>
      <c r="M2486" s="4"/>
    </row>
    <row r="2487" spans="1:13" ht="15" customHeight="1" x14ac:dyDescent="0.35">
      <c r="A2487" t="str">
        <f t="shared" si="38"/>
        <v>P706ID01C1211</v>
      </c>
      <c r="B2487" t="str">
        <f>IFERROR(VLOOKUP($A2487,'[5]Study Budget Mapping '!$O$2:$P$532,2,0),"TBA")</f>
        <v>TBA</v>
      </c>
      <c r="D2487" s="2" t="s">
        <v>441</v>
      </c>
      <c r="E2487" s="2" t="s">
        <v>22</v>
      </c>
      <c r="F2487" s="3">
        <v>210000</v>
      </c>
      <c r="G2487" s="3">
        <v>0</v>
      </c>
      <c r="H2487" s="4"/>
      <c r="I2487" s="4"/>
      <c r="J2487" s="4"/>
      <c r="K2487" s="4"/>
      <c r="L2487" s="4"/>
      <c r="M2487" s="4"/>
    </row>
    <row r="2488" spans="1:13" ht="15" customHeight="1" x14ac:dyDescent="0.35">
      <c r="A2488" t="str">
        <f t="shared" si="38"/>
        <v>P706ID01C1211</v>
      </c>
      <c r="B2488" t="str">
        <f>IFERROR(VLOOKUP($A2488,'[5]Study Budget Mapping '!$O$2:$P$532,2,0),"TBA")</f>
        <v>TBA</v>
      </c>
      <c r="D2488" s="2" t="s">
        <v>441</v>
      </c>
      <c r="E2488" s="2" t="s">
        <v>17</v>
      </c>
      <c r="F2488" s="3">
        <v>270000</v>
      </c>
      <c r="G2488" s="3">
        <v>370000</v>
      </c>
      <c r="H2488" s="4"/>
      <c r="I2488" s="4"/>
      <c r="J2488" s="4"/>
      <c r="K2488" s="4"/>
      <c r="L2488" s="4"/>
      <c r="M2488" s="4"/>
    </row>
    <row r="2489" spans="1:13" ht="15" customHeight="1" x14ac:dyDescent="0.35">
      <c r="A2489" t="str">
        <f t="shared" si="38"/>
        <v>P706ID01C1211</v>
      </c>
      <c r="B2489" t="str">
        <f>IFERROR(VLOOKUP($A2489,'[5]Study Budget Mapping '!$O$2:$P$532,2,0),"TBA")</f>
        <v>TBA</v>
      </c>
      <c r="D2489" s="2" t="s">
        <v>441</v>
      </c>
      <c r="E2489" s="2" t="s">
        <v>23</v>
      </c>
      <c r="F2489" s="3">
        <v>20000</v>
      </c>
      <c r="G2489" s="3">
        <v>276000</v>
      </c>
      <c r="H2489" s="4"/>
      <c r="I2489" s="4"/>
      <c r="J2489" s="4"/>
      <c r="K2489" s="4"/>
      <c r="L2489" s="4"/>
      <c r="M2489" s="4"/>
    </row>
    <row r="2490" spans="1:13" ht="15" customHeight="1" x14ac:dyDescent="0.35">
      <c r="A2490" t="str">
        <f t="shared" si="38"/>
        <v>P706ID01C1211</v>
      </c>
      <c r="B2490" t="str">
        <f>IFERROR(VLOOKUP($A2490,'[5]Study Budget Mapping '!$O$2:$P$532,2,0),"TBA")</f>
        <v>TBA</v>
      </c>
      <c r="D2490" s="2" t="s">
        <v>441</v>
      </c>
      <c r="E2490" s="2" t="s">
        <v>24</v>
      </c>
      <c r="F2490" s="3">
        <v>100000</v>
      </c>
      <c r="G2490" s="3">
        <v>300000</v>
      </c>
      <c r="H2490" s="4"/>
      <c r="I2490" s="4"/>
      <c r="J2490" s="4"/>
      <c r="K2490" s="4"/>
      <c r="L2490" s="4"/>
      <c r="M2490" s="4"/>
    </row>
    <row r="2491" spans="1:13" ht="15" customHeight="1" x14ac:dyDescent="0.35">
      <c r="A2491" t="str">
        <f t="shared" si="38"/>
        <v>P706ID01C1211</v>
      </c>
      <c r="B2491" t="str">
        <f>IFERROR(VLOOKUP($A2491,'[5]Study Budget Mapping '!$O$2:$P$532,2,0),"TBA")</f>
        <v>TBA</v>
      </c>
      <c r="D2491" s="2" t="s">
        <v>441</v>
      </c>
      <c r="E2491" s="2" t="s">
        <v>32</v>
      </c>
      <c r="F2491" s="3">
        <v>0</v>
      </c>
      <c r="G2491" s="3">
        <v>20000</v>
      </c>
      <c r="H2491" s="4"/>
      <c r="I2491" s="4"/>
      <c r="J2491" s="4"/>
      <c r="K2491" s="4"/>
      <c r="L2491" s="4"/>
      <c r="M2491" s="4"/>
    </row>
    <row r="2492" spans="1:13" ht="15" customHeight="1" x14ac:dyDescent="0.35">
      <c r="A2492" t="str">
        <f t="shared" si="38"/>
        <v>P706ID01C2411</v>
      </c>
      <c r="B2492" t="str">
        <f>IFERROR(VLOOKUP($A2492,'[5]Study Budget Mapping '!$O$2:$P$532,2,0),"TBA")</f>
        <v>TBA</v>
      </c>
      <c r="D2492" s="2" t="s">
        <v>442</v>
      </c>
      <c r="E2492" s="2" t="s">
        <v>13</v>
      </c>
      <c r="F2492" s="3">
        <v>4550000</v>
      </c>
      <c r="G2492" s="3">
        <v>8440000</v>
      </c>
      <c r="H2492" s="4"/>
      <c r="I2492" s="4"/>
      <c r="J2492" s="4"/>
      <c r="K2492" s="4"/>
      <c r="L2492" s="4"/>
      <c r="M2492" s="4"/>
    </row>
    <row r="2493" spans="1:13" ht="15" customHeight="1" x14ac:dyDescent="0.35">
      <c r="A2493" t="str">
        <f t="shared" si="38"/>
        <v>P706ID01C2411</v>
      </c>
      <c r="B2493" t="str">
        <f>IFERROR(VLOOKUP($A2493,'[5]Study Budget Mapping '!$O$2:$P$532,2,0),"TBA")</f>
        <v>TBA</v>
      </c>
      <c r="D2493" s="2" t="s">
        <v>442</v>
      </c>
      <c r="E2493" s="2" t="s">
        <v>14</v>
      </c>
      <c r="F2493" s="3">
        <v>1150000</v>
      </c>
      <c r="G2493" s="3">
        <v>7684500</v>
      </c>
      <c r="H2493" s="4"/>
      <c r="I2493" s="4"/>
      <c r="J2493" s="4"/>
      <c r="K2493" s="4"/>
      <c r="L2493" s="4"/>
      <c r="M2493" s="4"/>
    </row>
    <row r="2494" spans="1:13" ht="15" customHeight="1" x14ac:dyDescent="0.35">
      <c r="A2494" t="str">
        <f t="shared" si="38"/>
        <v>P706ID01C2411</v>
      </c>
      <c r="B2494" t="str">
        <f>IFERROR(VLOOKUP($A2494,'[5]Study Budget Mapping '!$O$2:$P$532,2,0),"TBA")</f>
        <v>TBA</v>
      </c>
      <c r="D2494" s="2" t="s">
        <v>442</v>
      </c>
      <c r="E2494" s="2" t="s">
        <v>19</v>
      </c>
      <c r="F2494" s="3">
        <v>200000</v>
      </c>
      <c r="G2494" s="3">
        <v>272500</v>
      </c>
      <c r="H2494" s="4"/>
      <c r="I2494" s="4"/>
      <c r="J2494" s="4"/>
      <c r="K2494" s="4"/>
      <c r="L2494" s="4"/>
      <c r="M2494" s="4"/>
    </row>
    <row r="2495" spans="1:13" ht="15" customHeight="1" x14ac:dyDescent="0.35">
      <c r="A2495" t="str">
        <f t="shared" si="38"/>
        <v>P706ID01C2411</v>
      </c>
      <c r="B2495" t="str">
        <f>IFERROR(VLOOKUP($A2495,'[5]Study Budget Mapping '!$O$2:$P$532,2,0),"TBA")</f>
        <v>TBA</v>
      </c>
      <c r="D2495" s="2" t="s">
        <v>442</v>
      </c>
      <c r="E2495" s="2" t="s">
        <v>15</v>
      </c>
      <c r="F2495" s="3">
        <v>962000</v>
      </c>
      <c r="G2495" s="3">
        <v>1656000</v>
      </c>
      <c r="H2495" s="4"/>
      <c r="I2495" s="4"/>
      <c r="J2495" s="4"/>
      <c r="K2495" s="4"/>
      <c r="L2495" s="4"/>
      <c r="M2495" s="4"/>
    </row>
    <row r="2496" spans="1:13" ht="15" customHeight="1" x14ac:dyDescent="0.35">
      <c r="A2496" t="str">
        <f t="shared" si="38"/>
        <v>P706ID01C2411</v>
      </c>
      <c r="B2496" t="str">
        <f>IFERROR(VLOOKUP($A2496,'[5]Study Budget Mapping '!$O$2:$P$532,2,0),"TBA")</f>
        <v>TBA</v>
      </c>
      <c r="D2496" s="2" t="s">
        <v>442</v>
      </c>
      <c r="E2496" s="2" t="s">
        <v>22</v>
      </c>
      <c r="F2496" s="3">
        <v>0</v>
      </c>
      <c r="G2496" s="3">
        <v>500000</v>
      </c>
      <c r="H2496" s="4"/>
      <c r="I2496" s="4"/>
      <c r="J2496" s="4"/>
      <c r="K2496" s="4"/>
      <c r="L2496" s="4"/>
      <c r="M2496" s="4"/>
    </row>
    <row r="2497" spans="1:13" ht="15" customHeight="1" x14ac:dyDescent="0.35">
      <c r="A2497" t="str">
        <f t="shared" si="38"/>
        <v>P706ID01C2411</v>
      </c>
      <c r="B2497" t="str">
        <f>IFERROR(VLOOKUP($A2497,'[5]Study Budget Mapping '!$O$2:$P$532,2,0),"TBA")</f>
        <v>TBA</v>
      </c>
      <c r="D2497" s="2" t="s">
        <v>442</v>
      </c>
      <c r="E2497" s="2" t="s">
        <v>17</v>
      </c>
      <c r="F2497" s="3">
        <v>290000</v>
      </c>
      <c r="G2497" s="3">
        <v>340000</v>
      </c>
      <c r="H2497" s="4"/>
      <c r="I2497" s="4"/>
      <c r="J2497" s="4"/>
      <c r="K2497" s="4"/>
      <c r="L2497" s="4"/>
      <c r="M2497" s="4"/>
    </row>
    <row r="2498" spans="1:13" ht="15" customHeight="1" x14ac:dyDescent="0.35">
      <c r="A2498" t="str">
        <f t="shared" si="38"/>
        <v>P706ID01C2411</v>
      </c>
      <c r="B2498" t="str">
        <f>IFERROR(VLOOKUP($A2498,'[5]Study Budget Mapping '!$O$2:$P$532,2,0),"TBA")</f>
        <v>TBA</v>
      </c>
      <c r="D2498" s="2" t="s">
        <v>442</v>
      </c>
      <c r="E2498" s="2" t="s">
        <v>23</v>
      </c>
      <c r="F2498" s="3">
        <v>30000</v>
      </c>
      <c r="G2498" s="3">
        <v>145000</v>
      </c>
      <c r="H2498" s="4"/>
      <c r="I2498" s="4"/>
      <c r="J2498" s="4"/>
      <c r="K2498" s="4"/>
      <c r="L2498" s="4"/>
      <c r="M2498" s="4"/>
    </row>
    <row r="2499" spans="1:13" ht="15" customHeight="1" x14ac:dyDescent="0.35">
      <c r="A2499" t="str">
        <f t="shared" ref="A2499:A2562" si="39">TRIM(_xlfn.TEXTBEFORE(D2499,"-",1))</f>
        <v>P706ID01C2411</v>
      </c>
      <c r="B2499" t="str">
        <f>IFERROR(VLOOKUP($A2499,'[5]Study Budget Mapping '!$O$2:$P$532,2,0),"TBA")</f>
        <v>TBA</v>
      </c>
      <c r="D2499" s="2" t="s">
        <v>442</v>
      </c>
      <c r="E2499" s="2" t="s">
        <v>24</v>
      </c>
      <c r="F2499" s="3">
        <v>70000</v>
      </c>
      <c r="G2499" s="3">
        <v>170000</v>
      </c>
      <c r="H2499" s="4"/>
      <c r="I2499" s="4"/>
      <c r="J2499" s="4"/>
      <c r="K2499" s="4"/>
      <c r="L2499" s="4"/>
      <c r="M2499" s="4"/>
    </row>
    <row r="2500" spans="1:13" ht="15" customHeight="1" x14ac:dyDescent="0.35">
      <c r="A2500" t="str">
        <f t="shared" si="39"/>
        <v>P706ID01C2511</v>
      </c>
      <c r="B2500" t="str">
        <f>IFERROR(VLOOKUP($A2500,'[5]Study Budget Mapping '!$O$2:$P$532,2,0),"TBA")</f>
        <v>TBA</v>
      </c>
      <c r="D2500" s="2" t="s">
        <v>443</v>
      </c>
      <c r="E2500" s="2" t="s">
        <v>13</v>
      </c>
      <c r="F2500" s="3">
        <v>32200000</v>
      </c>
      <c r="G2500" s="3">
        <v>37058000</v>
      </c>
      <c r="H2500" s="4"/>
      <c r="I2500" s="4"/>
      <c r="J2500" s="4"/>
      <c r="K2500" s="4"/>
      <c r="L2500" s="4"/>
      <c r="M2500" s="4"/>
    </row>
    <row r="2501" spans="1:13" ht="15" customHeight="1" x14ac:dyDescent="0.35">
      <c r="A2501" t="str">
        <f t="shared" si="39"/>
        <v>P706ID01C2511</v>
      </c>
      <c r="B2501" t="str">
        <f>IFERROR(VLOOKUP($A2501,'[5]Study Budget Mapping '!$O$2:$P$532,2,0),"TBA")</f>
        <v>TBA</v>
      </c>
      <c r="D2501" s="2" t="s">
        <v>443</v>
      </c>
      <c r="E2501" s="2" t="s">
        <v>14</v>
      </c>
      <c r="F2501" s="3">
        <v>4100000</v>
      </c>
      <c r="G2501" s="3">
        <v>4400000</v>
      </c>
      <c r="H2501" s="4"/>
      <c r="I2501" s="4"/>
      <c r="J2501" s="4"/>
      <c r="K2501" s="4"/>
      <c r="L2501" s="4"/>
      <c r="M2501" s="4"/>
    </row>
    <row r="2502" spans="1:13" ht="15" customHeight="1" x14ac:dyDescent="0.35">
      <c r="A2502" t="str">
        <f t="shared" si="39"/>
        <v>P706ID01C2511</v>
      </c>
      <c r="B2502" t="str">
        <f>IFERROR(VLOOKUP($A2502,'[5]Study Budget Mapping '!$O$2:$P$532,2,0),"TBA")</f>
        <v>TBA</v>
      </c>
      <c r="D2502" s="2" t="s">
        <v>443</v>
      </c>
      <c r="E2502" s="2" t="s">
        <v>19</v>
      </c>
      <c r="F2502" s="3">
        <v>4890000</v>
      </c>
      <c r="G2502" s="3">
        <v>6409000</v>
      </c>
      <c r="H2502" s="4"/>
      <c r="I2502" s="4"/>
      <c r="J2502" s="4"/>
      <c r="K2502" s="4"/>
      <c r="L2502" s="4"/>
      <c r="M2502" s="4"/>
    </row>
    <row r="2503" spans="1:13" ht="15" customHeight="1" x14ac:dyDescent="0.35">
      <c r="A2503" t="str">
        <f t="shared" si="39"/>
        <v>P706ID01C2511</v>
      </c>
      <c r="B2503" t="str">
        <f>IFERROR(VLOOKUP($A2503,'[5]Study Budget Mapping '!$O$2:$P$532,2,0),"TBA")</f>
        <v>TBA</v>
      </c>
      <c r="D2503" s="2" t="s">
        <v>443</v>
      </c>
      <c r="E2503" s="2" t="s">
        <v>15</v>
      </c>
      <c r="F2503" s="3">
        <v>4150000</v>
      </c>
      <c r="G2503" s="3">
        <v>5500000</v>
      </c>
      <c r="H2503" s="4"/>
      <c r="I2503" s="4"/>
      <c r="J2503" s="4"/>
      <c r="K2503" s="4"/>
      <c r="L2503" s="4"/>
      <c r="M2503" s="4"/>
    </row>
    <row r="2504" spans="1:13" ht="15" customHeight="1" x14ac:dyDescent="0.35">
      <c r="A2504" t="str">
        <f t="shared" si="39"/>
        <v>P706ID01C2511</v>
      </c>
      <c r="B2504" t="str">
        <f>IFERROR(VLOOKUP($A2504,'[5]Study Budget Mapping '!$O$2:$P$532,2,0),"TBA")</f>
        <v>TBA</v>
      </c>
      <c r="D2504" s="2" t="s">
        <v>443</v>
      </c>
      <c r="E2504" s="2" t="s">
        <v>17</v>
      </c>
      <c r="F2504" s="3">
        <v>300000</v>
      </c>
      <c r="G2504" s="3">
        <v>350000</v>
      </c>
      <c r="H2504" s="4"/>
      <c r="I2504" s="4"/>
      <c r="J2504" s="4"/>
      <c r="K2504" s="4"/>
      <c r="L2504" s="4"/>
      <c r="M2504" s="4"/>
    </row>
    <row r="2505" spans="1:13" ht="15" customHeight="1" x14ac:dyDescent="0.35">
      <c r="A2505" t="str">
        <f t="shared" si="39"/>
        <v>P706ID01C2511</v>
      </c>
      <c r="B2505" t="str">
        <f>IFERROR(VLOOKUP($A2505,'[5]Study Budget Mapping '!$O$2:$P$532,2,0),"TBA")</f>
        <v>TBA</v>
      </c>
      <c r="D2505" s="2" t="s">
        <v>443</v>
      </c>
      <c r="E2505" s="2" t="s">
        <v>24</v>
      </c>
      <c r="F2505" s="3">
        <v>870000</v>
      </c>
      <c r="G2505" s="3">
        <v>1100000</v>
      </c>
      <c r="H2505" s="4"/>
      <c r="I2505" s="4"/>
      <c r="J2505" s="4"/>
      <c r="K2505" s="4"/>
      <c r="L2505" s="4"/>
      <c r="M2505" s="4"/>
    </row>
    <row r="2506" spans="1:13" ht="15" customHeight="1" x14ac:dyDescent="0.35">
      <c r="A2506" t="str">
        <f t="shared" si="39"/>
        <v>P706ID01C2911</v>
      </c>
      <c r="B2506" t="str">
        <f>IFERROR(VLOOKUP($A2506,'[5]Study Budget Mapping '!$O$2:$P$532,2,0),"TBA")</f>
        <v>TBA</v>
      </c>
      <c r="D2506" s="2" t="s">
        <v>444</v>
      </c>
      <c r="E2506" s="2" t="s">
        <v>13</v>
      </c>
      <c r="F2506" s="3">
        <v>950000</v>
      </c>
      <c r="G2506" s="3">
        <v>1060000</v>
      </c>
      <c r="H2506" s="4"/>
      <c r="I2506" s="4"/>
      <c r="J2506" s="4"/>
      <c r="K2506" s="4"/>
      <c r="L2506" s="4"/>
      <c r="M2506" s="4"/>
    </row>
    <row r="2507" spans="1:13" ht="15" customHeight="1" x14ac:dyDescent="0.35">
      <c r="A2507" t="str">
        <f t="shared" si="39"/>
        <v>P706ID01C2911</v>
      </c>
      <c r="B2507" t="str">
        <f>IFERROR(VLOOKUP($A2507,'[5]Study Budget Mapping '!$O$2:$P$532,2,0),"TBA")</f>
        <v>TBA</v>
      </c>
      <c r="D2507" s="2" t="s">
        <v>444</v>
      </c>
      <c r="E2507" s="2" t="s">
        <v>14</v>
      </c>
      <c r="F2507" s="3">
        <v>150000</v>
      </c>
      <c r="G2507" s="3">
        <v>200000</v>
      </c>
      <c r="H2507" s="4"/>
      <c r="I2507" s="4"/>
      <c r="J2507" s="4"/>
      <c r="K2507" s="4"/>
      <c r="L2507" s="4"/>
      <c r="M2507" s="4"/>
    </row>
    <row r="2508" spans="1:13" ht="15" customHeight="1" x14ac:dyDescent="0.35">
      <c r="A2508" t="str">
        <f t="shared" si="39"/>
        <v>P706ID01C2911</v>
      </c>
      <c r="B2508" t="str">
        <f>IFERROR(VLOOKUP($A2508,'[5]Study Budget Mapping '!$O$2:$P$532,2,0),"TBA")</f>
        <v>TBA</v>
      </c>
      <c r="D2508" s="2" t="s">
        <v>444</v>
      </c>
      <c r="E2508" s="2" t="s">
        <v>19</v>
      </c>
      <c r="F2508" s="3">
        <v>110000</v>
      </c>
      <c r="G2508" s="3">
        <v>320000</v>
      </c>
      <c r="H2508" s="4"/>
      <c r="I2508" s="4"/>
      <c r="J2508" s="4"/>
      <c r="K2508" s="4"/>
      <c r="L2508" s="4"/>
      <c r="M2508" s="4"/>
    </row>
    <row r="2509" spans="1:13" ht="15" customHeight="1" x14ac:dyDescent="0.35">
      <c r="A2509" t="str">
        <f t="shared" si="39"/>
        <v>P706ID01C2911</v>
      </c>
      <c r="B2509" t="str">
        <f>IFERROR(VLOOKUP($A2509,'[5]Study Budget Mapping '!$O$2:$P$532,2,0),"TBA")</f>
        <v>TBA</v>
      </c>
      <c r="D2509" s="2" t="s">
        <v>444</v>
      </c>
      <c r="E2509" s="2" t="s">
        <v>15</v>
      </c>
      <c r="F2509" s="3">
        <v>610000</v>
      </c>
      <c r="G2509" s="3">
        <v>650000</v>
      </c>
      <c r="H2509" s="4"/>
      <c r="I2509" s="4"/>
      <c r="J2509" s="4"/>
      <c r="K2509" s="4"/>
      <c r="L2509" s="4"/>
      <c r="M2509" s="4"/>
    </row>
    <row r="2510" spans="1:13" ht="15" customHeight="1" x14ac:dyDescent="0.35">
      <c r="A2510" t="str">
        <f t="shared" si="39"/>
        <v>P706ID01C2911</v>
      </c>
      <c r="B2510" t="str">
        <f>IFERROR(VLOOKUP($A2510,'[5]Study Budget Mapping '!$O$2:$P$532,2,0),"TBA")</f>
        <v>TBA</v>
      </c>
      <c r="D2510" s="2" t="s">
        <v>444</v>
      </c>
      <c r="E2510" s="2" t="s">
        <v>17</v>
      </c>
      <c r="F2510" s="3">
        <v>300000</v>
      </c>
      <c r="G2510" s="3">
        <v>320000</v>
      </c>
      <c r="H2510" s="4"/>
      <c r="I2510" s="4"/>
      <c r="J2510" s="4"/>
      <c r="K2510" s="4"/>
      <c r="L2510" s="4"/>
      <c r="M2510" s="4"/>
    </row>
    <row r="2511" spans="1:13" ht="15" customHeight="1" x14ac:dyDescent="0.35">
      <c r="A2511" t="str">
        <f t="shared" si="39"/>
        <v>P706ID01C2911</v>
      </c>
      <c r="B2511" t="str">
        <f>IFERROR(VLOOKUP($A2511,'[5]Study Budget Mapping '!$O$2:$P$532,2,0),"TBA")</f>
        <v>TBA</v>
      </c>
      <c r="D2511" s="2" t="s">
        <v>444</v>
      </c>
      <c r="E2511" s="2" t="s">
        <v>23</v>
      </c>
      <c r="F2511" s="3">
        <v>230000</v>
      </c>
      <c r="G2511" s="3">
        <v>230000</v>
      </c>
      <c r="H2511" s="4"/>
      <c r="I2511" s="4"/>
      <c r="J2511" s="4"/>
      <c r="K2511" s="4"/>
      <c r="L2511" s="4"/>
      <c r="M2511" s="4"/>
    </row>
    <row r="2512" spans="1:13" ht="15" customHeight="1" x14ac:dyDescent="0.35">
      <c r="A2512" t="str">
        <f t="shared" si="39"/>
        <v>P706ID01C2911</v>
      </c>
      <c r="B2512" t="str">
        <f>IFERROR(VLOOKUP($A2512,'[5]Study Budget Mapping '!$O$2:$P$532,2,0),"TBA")</f>
        <v>TBA</v>
      </c>
      <c r="D2512" s="2" t="s">
        <v>444</v>
      </c>
      <c r="E2512" s="2" t="s">
        <v>24</v>
      </c>
      <c r="F2512" s="3">
        <v>80000</v>
      </c>
      <c r="G2512" s="3">
        <v>300000</v>
      </c>
      <c r="H2512" s="4"/>
      <c r="I2512" s="4"/>
      <c r="J2512" s="4"/>
      <c r="K2512" s="4"/>
      <c r="L2512" s="4"/>
      <c r="M2512" s="4"/>
    </row>
    <row r="2513" spans="1:13" ht="15" customHeight="1" x14ac:dyDescent="0.35">
      <c r="A2513" t="str">
        <f t="shared" si="39"/>
        <v>P706ID01C3711</v>
      </c>
      <c r="B2513" t="str">
        <f>IFERROR(VLOOKUP($A2513,'[5]Study Budget Mapping '!$O$2:$P$532,2,0),"TBA")</f>
        <v>TBA</v>
      </c>
      <c r="D2513" s="2" t="s">
        <v>445</v>
      </c>
      <c r="E2513" s="2" t="s">
        <v>15</v>
      </c>
      <c r="F2513" s="3">
        <v>5000000</v>
      </c>
      <c r="G2513" s="3">
        <v>5000000</v>
      </c>
      <c r="H2513" s="4"/>
      <c r="I2513" s="4"/>
      <c r="J2513" s="4"/>
      <c r="K2513" s="4"/>
      <c r="L2513" s="4"/>
      <c r="M2513" s="4"/>
    </row>
    <row r="2514" spans="1:13" ht="15" customHeight="1" x14ac:dyDescent="0.35">
      <c r="A2514" t="str">
        <f t="shared" si="39"/>
        <v>P706ID01C3712</v>
      </c>
      <c r="B2514" t="str">
        <f>IFERROR(VLOOKUP($A2514,'[5]Study Budget Mapping '!$O$2:$P$532,2,0),"TBA")</f>
        <v>TBA</v>
      </c>
      <c r="D2514" s="2" t="s">
        <v>446</v>
      </c>
      <c r="E2514" s="2" t="s">
        <v>13</v>
      </c>
      <c r="F2514" s="3">
        <v>30660000</v>
      </c>
      <c r="G2514" s="3">
        <v>88918750</v>
      </c>
      <c r="H2514" s="4"/>
      <c r="I2514" s="4"/>
      <c r="J2514" s="4"/>
      <c r="K2514" s="4"/>
      <c r="L2514" s="4"/>
      <c r="M2514" s="4"/>
    </row>
    <row r="2515" spans="1:13" ht="15" customHeight="1" x14ac:dyDescent="0.35">
      <c r="A2515" t="str">
        <f t="shared" si="39"/>
        <v>P706ID01C3712</v>
      </c>
      <c r="B2515" t="str">
        <f>IFERROR(VLOOKUP($A2515,'[5]Study Budget Mapping '!$O$2:$P$532,2,0),"TBA")</f>
        <v>TBA</v>
      </c>
      <c r="D2515" s="2" t="s">
        <v>446</v>
      </c>
      <c r="E2515" s="2" t="s">
        <v>14</v>
      </c>
      <c r="F2515" s="3">
        <v>12117000</v>
      </c>
      <c r="G2515" s="3">
        <v>27428571.428571429</v>
      </c>
      <c r="H2515" s="4"/>
      <c r="I2515" s="4"/>
      <c r="J2515" s="4"/>
      <c r="K2515" s="4"/>
      <c r="L2515" s="4"/>
      <c r="M2515" s="4"/>
    </row>
    <row r="2516" spans="1:13" ht="15" customHeight="1" x14ac:dyDescent="0.35">
      <c r="A2516" t="str">
        <f t="shared" si="39"/>
        <v>P706ID01C3712</v>
      </c>
      <c r="B2516" t="str">
        <f>IFERROR(VLOOKUP($A2516,'[5]Study Budget Mapping '!$O$2:$P$532,2,0),"TBA")</f>
        <v>TBA</v>
      </c>
      <c r="D2516" s="2" t="s">
        <v>446</v>
      </c>
      <c r="E2516" s="2" t="s">
        <v>19</v>
      </c>
      <c r="F2516" s="3">
        <v>9355000</v>
      </c>
      <c r="G2516" s="3">
        <v>13105000</v>
      </c>
      <c r="H2516" s="4"/>
      <c r="I2516" s="4"/>
      <c r="J2516" s="4"/>
      <c r="K2516" s="4"/>
      <c r="L2516" s="4"/>
      <c r="M2516" s="4"/>
    </row>
    <row r="2517" spans="1:13" ht="15" customHeight="1" x14ac:dyDescent="0.35">
      <c r="A2517" t="str">
        <f t="shared" si="39"/>
        <v>P706ID01C3712</v>
      </c>
      <c r="B2517" t="str">
        <f>IFERROR(VLOOKUP($A2517,'[5]Study Budget Mapping '!$O$2:$P$532,2,0),"TBA")</f>
        <v>TBA</v>
      </c>
      <c r="D2517" s="2" t="s">
        <v>446</v>
      </c>
      <c r="E2517" s="2" t="s">
        <v>15</v>
      </c>
      <c r="F2517" s="3">
        <v>6300000</v>
      </c>
      <c r="G2517" s="3">
        <v>14000000</v>
      </c>
      <c r="H2517" s="4"/>
      <c r="I2517" s="4"/>
      <c r="J2517" s="4"/>
      <c r="K2517" s="4"/>
      <c r="L2517" s="4"/>
      <c r="M2517" s="4"/>
    </row>
    <row r="2518" spans="1:13" ht="15" customHeight="1" x14ac:dyDescent="0.35">
      <c r="A2518" t="str">
        <f t="shared" si="39"/>
        <v>P706ID01C3712</v>
      </c>
      <c r="B2518" t="str">
        <f>IFERROR(VLOOKUP($A2518,'[5]Study Budget Mapping '!$O$2:$P$532,2,0),"TBA")</f>
        <v>TBA</v>
      </c>
      <c r="D2518" s="2" t="s">
        <v>446</v>
      </c>
      <c r="E2518" s="2" t="s">
        <v>17</v>
      </c>
      <c r="F2518" s="3">
        <v>320000</v>
      </c>
      <c r="G2518" s="3">
        <v>600000</v>
      </c>
      <c r="H2518" s="4"/>
      <c r="I2518" s="4"/>
      <c r="J2518" s="4"/>
      <c r="K2518" s="4"/>
      <c r="L2518" s="4"/>
      <c r="M2518" s="4"/>
    </row>
    <row r="2519" spans="1:13" ht="15" customHeight="1" x14ac:dyDescent="0.35">
      <c r="A2519" t="str">
        <f t="shared" si="39"/>
        <v>P706ID01C3712</v>
      </c>
      <c r="B2519" t="str">
        <f>IFERROR(VLOOKUP($A2519,'[5]Study Budget Mapping '!$O$2:$P$532,2,0),"TBA")</f>
        <v>TBA</v>
      </c>
      <c r="D2519" s="2" t="s">
        <v>446</v>
      </c>
      <c r="E2519" s="2" t="s">
        <v>23</v>
      </c>
      <c r="F2519" s="3">
        <v>1541000</v>
      </c>
      <c r="G2519" s="3">
        <v>5050000</v>
      </c>
      <c r="H2519" s="4"/>
      <c r="I2519" s="4"/>
      <c r="J2519" s="4"/>
      <c r="K2519" s="4"/>
      <c r="L2519" s="4"/>
      <c r="M2519" s="4"/>
    </row>
    <row r="2520" spans="1:13" ht="15" customHeight="1" x14ac:dyDescent="0.35">
      <c r="A2520" t="str">
        <f t="shared" si="39"/>
        <v>P706ID01C3712</v>
      </c>
      <c r="B2520" t="str">
        <f>IFERROR(VLOOKUP($A2520,'[5]Study Budget Mapping '!$O$2:$P$532,2,0),"TBA")</f>
        <v>TBA</v>
      </c>
      <c r="D2520" s="2" t="s">
        <v>446</v>
      </c>
      <c r="E2520" s="2" t="s">
        <v>24</v>
      </c>
      <c r="F2520" s="3">
        <v>580000</v>
      </c>
      <c r="G2520" s="3">
        <v>2000000</v>
      </c>
      <c r="H2520" s="4"/>
      <c r="I2520" s="4"/>
      <c r="J2520" s="4"/>
      <c r="K2520" s="4"/>
      <c r="L2520" s="4"/>
      <c r="M2520" s="4"/>
    </row>
    <row r="2521" spans="1:13" ht="15" customHeight="1" x14ac:dyDescent="0.35">
      <c r="A2521" t="str">
        <f t="shared" si="39"/>
        <v>P706ID01C3731</v>
      </c>
      <c r="B2521" t="str">
        <f>IFERROR(VLOOKUP($A2521,'[5]Study Budget Mapping '!$O$2:$P$532,2,0),"TBA")</f>
        <v>TBA</v>
      </c>
      <c r="D2521" s="2" t="s">
        <v>447</v>
      </c>
      <c r="E2521" s="2" t="s">
        <v>13</v>
      </c>
      <c r="F2521" s="3">
        <v>16600000</v>
      </c>
      <c r="G2521" s="3">
        <v>63649000</v>
      </c>
      <c r="H2521" s="4"/>
      <c r="I2521" s="4"/>
      <c r="J2521" s="4"/>
      <c r="K2521" s="4"/>
      <c r="L2521" s="4"/>
      <c r="M2521" s="4"/>
    </row>
    <row r="2522" spans="1:13" ht="15" customHeight="1" x14ac:dyDescent="0.35">
      <c r="A2522" t="str">
        <f t="shared" si="39"/>
        <v>P706ID01C3731</v>
      </c>
      <c r="B2522" t="str">
        <f>IFERROR(VLOOKUP($A2522,'[5]Study Budget Mapping '!$O$2:$P$532,2,0),"TBA")</f>
        <v>TBA</v>
      </c>
      <c r="D2522" s="2" t="s">
        <v>447</v>
      </c>
      <c r="E2522" s="2" t="s">
        <v>14</v>
      </c>
      <c r="F2522" s="3">
        <v>5600000</v>
      </c>
      <c r="G2522" s="3">
        <v>19178700</v>
      </c>
      <c r="H2522" s="4"/>
      <c r="I2522" s="4"/>
      <c r="J2522" s="4"/>
      <c r="K2522" s="4"/>
      <c r="L2522" s="4"/>
      <c r="M2522" s="4"/>
    </row>
    <row r="2523" spans="1:13" ht="15" customHeight="1" x14ac:dyDescent="0.35">
      <c r="A2523" t="str">
        <f t="shared" si="39"/>
        <v>P706ID01C3731</v>
      </c>
      <c r="B2523" t="str">
        <f>IFERROR(VLOOKUP($A2523,'[5]Study Budget Mapping '!$O$2:$P$532,2,0),"TBA")</f>
        <v>TBA</v>
      </c>
      <c r="D2523" s="2" t="s">
        <v>447</v>
      </c>
      <c r="E2523" s="2" t="s">
        <v>19</v>
      </c>
      <c r="F2523" s="3">
        <v>6410000</v>
      </c>
      <c r="G2523" s="3">
        <v>8564244</v>
      </c>
      <c r="H2523" s="4"/>
      <c r="I2523" s="4"/>
      <c r="J2523" s="4"/>
      <c r="K2523" s="4"/>
      <c r="L2523" s="4"/>
      <c r="M2523" s="4"/>
    </row>
    <row r="2524" spans="1:13" ht="15" customHeight="1" x14ac:dyDescent="0.35">
      <c r="A2524" t="str">
        <f t="shared" si="39"/>
        <v>P706ID01C3731</v>
      </c>
      <c r="B2524" t="str">
        <f>IFERROR(VLOOKUP($A2524,'[5]Study Budget Mapping '!$O$2:$P$532,2,0),"TBA")</f>
        <v>TBA</v>
      </c>
      <c r="D2524" s="2" t="s">
        <v>447</v>
      </c>
      <c r="E2524" s="2" t="s">
        <v>15</v>
      </c>
      <c r="F2524" s="3">
        <v>3500000</v>
      </c>
      <c r="G2524" s="3">
        <v>14000000</v>
      </c>
      <c r="H2524" s="4"/>
      <c r="I2524" s="4"/>
      <c r="J2524" s="4"/>
      <c r="K2524" s="4"/>
      <c r="L2524" s="4"/>
      <c r="M2524" s="4"/>
    </row>
    <row r="2525" spans="1:13" ht="15" customHeight="1" x14ac:dyDescent="0.35">
      <c r="A2525" t="str">
        <f t="shared" si="39"/>
        <v>P706ID01C3731</v>
      </c>
      <c r="B2525" t="str">
        <f>IFERROR(VLOOKUP($A2525,'[5]Study Budget Mapping '!$O$2:$P$532,2,0),"TBA")</f>
        <v>TBA</v>
      </c>
      <c r="D2525" s="2" t="s">
        <v>447</v>
      </c>
      <c r="E2525" s="2" t="s">
        <v>17</v>
      </c>
      <c r="F2525" s="3">
        <v>350000</v>
      </c>
      <c r="G2525" s="3">
        <v>418600</v>
      </c>
      <c r="H2525" s="4"/>
      <c r="I2525" s="4"/>
      <c r="J2525" s="4"/>
      <c r="K2525" s="4"/>
      <c r="L2525" s="4"/>
      <c r="M2525" s="4"/>
    </row>
    <row r="2526" spans="1:13" ht="15" customHeight="1" x14ac:dyDescent="0.35">
      <c r="A2526" t="str">
        <f t="shared" si="39"/>
        <v>P706ID01C3731</v>
      </c>
      <c r="B2526" t="str">
        <f>IFERROR(VLOOKUP($A2526,'[5]Study Budget Mapping '!$O$2:$P$532,2,0),"TBA")</f>
        <v>TBA</v>
      </c>
      <c r="D2526" s="2" t="s">
        <v>447</v>
      </c>
      <c r="E2526" s="2" t="s">
        <v>23</v>
      </c>
      <c r="F2526" s="3">
        <v>810000</v>
      </c>
      <c r="G2526" s="3">
        <v>2790000</v>
      </c>
      <c r="H2526" s="4"/>
      <c r="I2526" s="4"/>
      <c r="J2526" s="4"/>
      <c r="K2526" s="4"/>
      <c r="L2526" s="4"/>
      <c r="M2526" s="4"/>
    </row>
    <row r="2527" spans="1:13" ht="15" customHeight="1" x14ac:dyDescent="0.35">
      <c r="A2527" t="str">
        <f t="shared" si="39"/>
        <v>P706ID01C3731</v>
      </c>
      <c r="B2527" t="str">
        <f>IFERROR(VLOOKUP($A2527,'[5]Study Budget Mapping '!$O$2:$P$532,2,0),"TBA")</f>
        <v>TBA</v>
      </c>
      <c r="D2527" s="2" t="s">
        <v>447</v>
      </c>
      <c r="E2527" s="2" t="s">
        <v>24</v>
      </c>
      <c r="F2527" s="3">
        <v>960000</v>
      </c>
      <c r="G2527" s="3">
        <v>4000000</v>
      </c>
      <c r="H2527" s="4"/>
      <c r="I2527" s="4"/>
      <c r="J2527" s="4"/>
      <c r="K2527" s="4"/>
      <c r="L2527" s="4"/>
      <c r="M2527" s="4"/>
    </row>
    <row r="2528" spans="1:13" ht="15" customHeight="1" x14ac:dyDescent="0.35">
      <c r="A2528" t="str">
        <f t="shared" si="39"/>
        <v>P706ID01C3732</v>
      </c>
      <c r="B2528" t="str">
        <f>IFERROR(VLOOKUP($A2528,'[5]Study Budget Mapping '!$O$2:$P$532,2,0),"TBA")</f>
        <v>TBA</v>
      </c>
      <c r="D2528" s="2" t="s">
        <v>448</v>
      </c>
      <c r="E2528" s="2" t="s">
        <v>13</v>
      </c>
      <c r="F2528" s="3">
        <v>12300000</v>
      </c>
      <c r="G2528" s="3">
        <v>240531000</v>
      </c>
      <c r="H2528" s="4"/>
      <c r="I2528" s="4"/>
      <c r="J2528" s="4"/>
      <c r="K2528" s="4"/>
      <c r="L2528" s="4"/>
      <c r="M2528" s="4"/>
    </row>
    <row r="2529" spans="1:13" ht="15" customHeight="1" x14ac:dyDescent="0.35">
      <c r="A2529" t="str">
        <f t="shared" si="39"/>
        <v>P706ID01C3732</v>
      </c>
      <c r="B2529" t="str">
        <f>IFERROR(VLOOKUP($A2529,'[5]Study Budget Mapping '!$O$2:$P$532,2,0),"TBA")</f>
        <v>TBA</v>
      </c>
      <c r="D2529" s="2" t="s">
        <v>448</v>
      </c>
      <c r="E2529" s="2" t="s">
        <v>14</v>
      </c>
      <c r="F2529" s="3">
        <v>4300000</v>
      </c>
      <c r="G2529" s="3">
        <v>43200000</v>
      </c>
      <c r="H2529" s="4"/>
      <c r="I2529" s="4"/>
      <c r="J2529" s="4"/>
      <c r="K2529" s="4"/>
      <c r="L2529" s="4"/>
      <c r="M2529" s="4"/>
    </row>
    <row r="2530" spans="1:13" ht="15" customHeight="1" x14ac:dyDescent="0.35">
      <c r="A2530" t="str">
        <f t="shared" si="39"/>
        <v>P706ID01C3732</v>
      </c>
      <c r="B2530" t="str">
        <f>IFERROR(VLOOKUP($A2530,'[5]Study Budget Mapping '!$O$2:$P$532,2,0),"TBA")</f>
        <v>TBA</v>
      </c>
      <c r="D2530" s="2" t="s">
        <v>448</v>
      </c>
      <c r="E2530" s="2" t="s">
        <v>19</v>
      </c>
      <c r="F2530" s="3">
        <v>11350000</v>
      </c>
      <c r="G2530" s="3">
        <v>29450000</v>
      </c>
      <c r="H2530" s="4"/>
      <c r="I2530" s="4"/>
      <c r="J2530" s="4"/>
      <c r="K2530" s="4"/>
      <c r="L2530" s="4"/>
      <c r="M2530" s="4"/>
    </row>
    <row r="2531" spans="1:13" ht="15" customHeight="1" x14ac:dyDescent="0.35">
      <c r="A2531" t="str">
        <f t="shared" si="39"/>
        <v>P706ID01C3732</v>
      </c>
      <c r="B2531" t="str">
        <f>IFERROR(VLOOKUP($A2531,'[5]Study Budget Mapping '!$O$2:$P$532,2,0),"TBA")</f>
        <v>TBA</v>
      </c>
      <c r="D2531" s="2" t="s">
        <v>448</v>
      </c>
      <c r="E2531" s="2" t="s">
        <v>15</v>
      </c>
      <c r="F2531" s="3">
        <v>2300000</v>
      </c>
      <c r="G2531" s="3">
        <v>14000000</v>
      </c>
      <c r="H2531" s="4"/>
      <c r="I2531" s="4"/>
      <c r="J2531" s="4"/>
      <c r="K2531" s="4"/>
      <c r="L2531" s="4"/>
      <c r="M2531" s="4"/>
    </row>
    <row r="2532" spans="1:13" ht="15" customHeight="1" x14ac:dyDescent="0.35">
      <c r="A2532" t="str">
        <f t="shared" si="39"/>
        <v>P706ID01C3732</v>
      </c>
      <c r="B2532" t="str">
        <f>IFERROR(VLOOKUP($A2532,'[5]Study Budget Mapping '!$O$2:$P$532,2,0),"TBA")</f>
        <v>TBA</v>
      </c>
      <c r="D2532" s="2" t="s">
        <v>448</v>
      </c>
      <c r="E2532" s="2" t="s">
        <v>17</v>
      </c>
      <c r="F2532" s="3">
        <v>330000</v>
      </c>
      <c r="G2532" s="3">
        <v>600000</v>
      </c>
      <c r="H2532" s="4"/>
      <c r="I2532" s="4"/>
      <c r="J2532" s="4"/>
      <c r="K2532" s="4"/>
      <c r="L2532" s="4"/>
      <c r="M2532" s="4"/>
    </row>
    <row r="2533" spans="1:13" ht="15" customHeight="1" x14ac:dyDescent="0.35">
      <c r="A2533" t="str">
        <f t="shared" si="39"/>
        <v>P706ID01C3732</v>
      </c>
      <c r="B2533" t="str">
        <f>IFERROR(VLOOKUP($A2533,'[5]Study Budget Mapping '!$O$2:$P$532,2,0),"TBA")</f>
        <v>TBA</v>
      </c>
      <c r="D2533" s="2" t="s">
        <v>448</v>
      </c>
      <c r="E2533" s="2" t="s">
        <v>23</v>
      </c>
      <c r="F2533" s="3">
        <v>680000</v>
      </c>
      <c r="G2533" s="3">
        <v>4800000</v>
      </c>
      <c r="H2533" s="4"/>
      <c r="I2533" s="4"/>
      <c r="J2533" s="4"/>
      <c r="K2533" s="4"/>
      <c r="L2533" s="4"/>
      <c r="M2533" s="4"/>
    </row>
    <row r="2534" spans="1:13" ht="15" customHeight="1" x14ac:dyDescent="0.35">
      <c r="A2534" t="str">
        <f t="shared" si="39"/>
        <v>P706ID01C3732</v>
      </c>
      <c r="B2534" t="str">
        <f>IFERROR(VLOOKUP($A2534,'[5]Study Budget Mapping '!$O$2:$P$532,2,0),"TBA")</f>
        <v>TBA</v>
      </c>
      <c r="D2534" s="2" t="s">
        <v>448</v>
      </c>
      <c r="E2534" s="2" t="s">
        <v>24</v>
      </c>
      <c r="F2534" s="3">
        <v>750000</v>
      </c>
      <c r="G2534" s="3">
        <v>5200000</v>
      </c>
      <c r="H2534" s="4"/>
      <c r="I2534" s="4"/>
      <c r="J2534" s="4"/>
      <c r="K2534" s="4"/>
      <c r="L2534" s="4"/>
      <c r="M2534" s="4"/>
    </row>
    <row r="2535" spans="1:13" ht="15" customHeight="1" x14ac:dyDescent="0.35">
      <c r="A2535" t="str">
        <f t="shared" si="39"/>
        <v>P706ID01C1011</v>
      </c>
      <c r="B2535" t="str">
        <f>IFERROR(VLOOKUP($A2535,'[5]Study Budget Mapping '!$O$2:$P$532,2,0),"TBA")</f>
        <v>TBA</v>
      </c>
      <c r="D2535" s="2" t="s">
        <v>449</v>
      </c>
      <c r="E2535" s="2" t="s">
        <v>13</v>
      </c>
      <c r="F2535" s="3">
        <v>720000</v>
      </c>
      <c r="G2535" s="3">
        <v>974000</v>
      </c>
      <c r="H2535" s="4"/>
      <c r="I2535" s="4"/>
      <c r="J2535" s="4"/>
      <c r="K2535" s="4"/>
      <c r="L2535" s="4"/>
      <c r="M2535" s="4"/>
    </row>
    <row r="2536" spans="1:13" ht="15" customHeight="1" x14ac:dyDescent="0.35">
      <c r="A2536" t="str">
        <f t="shared" si="39"/>
        <v>P706ID01C1011</v>
      </c>
      <c r="B2536" t="str">
        <f>IFERROR(VLOOKUP($A2536,'[5]Study Budget Mapping '!$O$2:$P$532,2,0),"TBA")</f>
        <v>TBA</v>
      </c>
      <c r="D2536" s="2" t="s">
        <v>449</v>
      </c>
      <c r="E2536" s="2" t="s">
        <v>14</v>
      </c>
      <c r="F2536" s="3">
        <v>110000</v>
      </c>
      <c r="G2536" s="3">
        <v>113000</v>
      </c>
      <c r="H2536" s="4"/>
      <c r="I2536" s="4"/>
      <c r="J2536" s="4"/>
      <c r="K2536" s="4"/>
      <c r="L2536" s="4"/>
      <c r="M2536" s="4"/>
    </row>
    <row r="2537" spans="1:13" ht="15" customHeight="1" x14ac:dyDescent="0.35">
      <c r="A2537" t="str">
        <f t="shared" si="39"/>
        <v>P706ID01C1011</v>
      </c>
      <c r="B2537" t="str">
        <f>IFERROR(VLOOKUP($A2537,'[5]Study Budget Mapping '!$O$2:$P$532,2,0),"TBA")</f>
        <v>TBA</v>
      </c>
      <c r="D2537" s="2" t="s">
        <v>449</v>
      </c>
      <c r="E2537" s="2" t="s">
        <v>19</v>
      </c>
      <c r="F2537" s="3">
        <v>390000</v>
      </c>
      <c r="G2537" s="3">
        <v>0</v>
      </c>
      <c r="H2537" s="4"/>
      <c r="I2537" s="4"/>
      <c r="J2537" s="4"/>
      <c r="K2537" s="4"/>
      <c r="L2537" s="4"/>
      <c r="M2537" s="4"/>
    </row>
    <row r="2538" spans="1:13" ht="15" customHeight="1" x14ac:dyDescent="0.35">
      <c r="A2538" t="str">
        <f t="shared" si="39"/>
        <v>P706ID01C1011</v>
      </c>
      <c r="B2538" t="str">
        <f>IFERROR(VLOOKUP($A2538,'[5]Study Budget Mapping '!$O$2:$P$532,2,0),"TBA")</f>
        <v>TBA</v>
      </c>
      <c r="D2538" s="2" t="s">
        <v>449</v>
      </c>
      <c r="E2538" s="2" t="s">
        <v>15</v>
      </c>
      <c r="F2538" s="3">
        <v>140000</v>
      </c>
      <c r="G2538" s="3">
        <v>241000</v>
      </c>
      <c r="H2538" s="4"/>
      <c r="I2538" s="4"/>
      <c r="J2538" s="4"/>
      <c r="K2538" s="4"/>
      <c r="L2538" s="4"/>
      <c r="M2538" s="4"/>
    </row>
    <row r="2539" spans="1:13" ht="15" customHeight="1" x14ac:dyDescent="0.35">
      <c r="A2539" t="str">
        <f t="shared" si="39"/>
        <v>P706ID01C1011</v>
      </c>
      <c r="B2539" t="str">
        <f>IFERROR(VLOOKUP($A2539,'[5]Study Budget Mapping '!$O$2:$P$532,2,0),"TBA")</f>
        <v>TBA</v>
      </c>
      <c r="D2539" s="2" t="s">
        <v>449</v>
      </c>
      <c r="E2539" s="2" t="s">
        <v>22</v>
      </c>
      <c r="F2539" s="3">
        <v>0</v>
      </c>
      <c r="G2539" s="3">
        <v>610000</v>
      </c>
      <c r="H2539" s="4"/>
      <c r="I2539" s="4"/>
      <c r="J2539" s="4"/>
      <c r="K2539" s="4"/>
      <c r="L2539" s="4"/>
      <c r="M2539" s="4"/>
    </row>
    <row r="2540" spans="1:13" ht="15" customHeight="1" x14ac:dyDescent="0.35">
      <c r="A2540" t="str">
        <f t="shared" si="39"/>
        <v>P706ID01C1011</v>
      </c>
      <c r="B2540" t="str">
        <f>IFERROR(VLOOKUP($A2540,'[5]Study Budget Mapping '!$O$2:$P$532,2,0),"TBA")</f>
        <v>TBA</v>
      </c>
      <c r="D2540" s="2" t="s">
        <v>449</v>
      </c>
      <c r="E2540" s="2" t="s">
        <v>17</v>
      </c>
      <c r="F2540" s="3">
        <v>0</v>
      </c>
      <c r="G2540" s="3">
        <v>390000</v>
      </c>
      <c r="H2540" s="4"/>
      <c r="I2540" s="4"/>
      <c r="J2540" s="4"/>
      <c r="K2540" s="4"/>
      <c r="L2540" s="4"/>
      <c r="M2540" s="4"/>
    </row>
    <row r="2541" spans="1:13" ht="15" customHeight="1" x14ac:dyDescent="0.35">
      <c r="A2541" t="str">
        <f t="shared" si="39"/>
        <v>P706ID01C1011</v>
      </c>
      <c r="B2541" t="str">
        <f>IFERROR(VLOOKUP($A2541,'[5]Study Budget Mapping '!$O$2:$P$532,2,0),"TBA")</f>
        <v>TBA</v>
      </c>
      <c r="D2541" s="2" t="s">
        <v>449</v>
      </c>
      <c r="E2541" s="2" t="s">
        <v>23</v>
      </c>
      <c r="F2541" s="3">
        <v>30000</v>
      </c>
      <c r="G2541" s="3">
        <v>45000</v>
      </c>
      <c r="H2541" s="4"/>
      <c r="I2541" s="4"/>
      <c r="J2541" s="4"/>
      <c r="K2541" s="4"/>
      <c r="L2541" s="4"/>
      <c r="M2541" s="4"/>
    </row>
    <row r="2542" spans="1:13" ht="15" customHeight="1" x14ac:dyDescent="0.35">
      <c r="A2542" t="str">
        <f t="shared" si="39"/>
        <v>P706ID01C1011</v>
      </c>
      <c r="B2542" t="str">
        <f>IFERROR(VLOOKUP($A2542,'[5]Study Budget Mapping '!$O$2:$P$532,2,0),"TBA")</f>
        <v>TBA</v>
      </c>
      <c r="D2542" s="2" t="s">
        <v>449</v>
      </c>
      <c r="E2542" s="2" t="s">
        <v>24</v>
      </c>
      <c r="F2542" s="3">
        <v>50000</v>
      </c>
      <c r="G2542" s="3">
        <v>45000</v>
      </c>
      <c r="H2542" s="4"/>
      <c r="I2542" s="4"/>
      <c r="J2542" s="4"/>
      <c r="K2542" s="4"/>
      <c r="L2542" s="4"/>
      <c r="M2542" s="4"/>
    </row>
    <row r="2543" spans="1:13" ht="15" customHeight="1" x14ac:dyDescent="0.35">
      <c r="A2543" t="str">
        <f t="shared" si="39"/>
        <v>P706ID01C3831</v>
      </c>
      <c r="B2543" t="str">
        <f>IFERROR(VLOOKUP($A2543,'[5]Study Budget Mapping '!$O$2:$P$532,2,0),"TBA")</f>
        <v>TBA</v>
      </c>
      <c r="D2543" s="2" t="s">
        <v>450</v>
      </c>
      <c r="E2543" s="2" t="s">
        <v>15</v>
      </c>
      <c r="F2543" s="3">
        <v>5000000</v>
      </c>
      <c r="G2543" s="3">
        <v>5000000</v>
      </c>
      <c r="H2543" s="4"/>
      <c r="I2543" s="4"/>
      <c r="J2543" s="4"/>
      <c r="K2543" s="4"/>
      <c r="L2543" s="4"/>
      <c r="M2543" s="4"/>
    </row>
    <row r="2544" spans="1:13" ht="15" customHeight="1" x14ac:dyDescent="0.35">
      <c r="A2544" t="str">
        <f t="shared" si="39"/>
        <v>P707CV00C1121</v>
      </c>
      <c r="B2544" t="str">
        <f>IFERROR(VLOOKUP($A2544,'[5]Study Budget Mapping '!$O$2:$P$532,2,0),"TBA")</f>
        <v>TBA</v>
      </c>
      <c r="D2544" s="2" t="s">
        <v>451</v>
      </c>
      <c r="E2544" s="2" t="s">
        <v>13</v>
      </c>
      <c r="F2544" s="3">
        <v>1430000</v>
      </c>
      <c r="G2544" s="3">
        <v>3207000</v>
      </c>
      <c r="H2544" s="4"/>
      <c r="I2544" s="4"/>
      <c r="J2544" s="4"/>
      <c r="K2544" s="4"/>
      <c r="L2544" s="4"/>
      <c r="M2544" s="4"/>
    </row>
    <row r="2545" spans="1:13" ht="15" customHeight="1" x14ac:dyDescent="0.35">
      <c r="A2545" t="str">
        <f t="shared" si="39"/>
        <v>P707CV00C1121</v>
      </c>
      <c r="B2545" t="str">
        <f>IFERROR(VLOOKUP($A2545,'[5]Study Budget Mapping '!$O$2:$P$532,2,0),"TBA")</f>
        <v>TBA</v>
      </c>
      <c r="D2545" s="2" t="s">
        <v>451</v>
      </c>
      <c r="E2545" s="2" t="s">
        <v>14</v>
      </c>
      <c r="F2545" s="3">
        <v>60000</v>
      </c>
      <c r="G2545" s="3">
        <v>1130000</v>
      </c>
      <c r="H2545" s="4"/>
      <c r="I2545" s="4"/>
      <c r="J2545" s="4"/>
      <c r="K2545" s="4"/>
      <c r="L2545" s="4"/>
      <c r="M2545" s="4"/>
    </row>
    <row r="2546" spans="1:13" ht="15" customHeight="1" x14ac:dyDescent="0.35">
      <c r="A2546" t="str">
        <f t="shared" si="39"/>
        <v>P707CV00C1121</v>
      </c>
      <c r="B2546" t="str">
        <f>IFERROR(VLOOKUP($A2546,'[5]Study Budget Mapping '!$O$2:$P$532,2,0),"TBA")</f>
        <v>TBA</v>
      </c>
      <c r="D2546" s="2" t="s">
        <v>451</v>
      </c>
      <c r="E2546" s="2" t="s">
        <v>19</v>
      </c>
      <c r="F2546" s="3">
        <v>40000</v>
      </c>
      <c r="G2546" s="3">
        <v>147000</v>
      </c>
      <c r="H2546" s="4"/>
      <c r="I2546" s="4"/>
      <c r="J2546" s="4"/>
      <c r="K2546" s="4"/>
      <c r="L2546" s="4"/>
      <c r="M2546" s="4"/>
    </row>
    <row r="2547" spans="1:13" ht="15" customHeight="1" x14ac:dyDescent="0.35">
      <c r="A2547" t="str">
        <f t="shared" si="39"/>
        <v>P707CV00C1121</v>
      </c>
      <c r="B2547" t="str">
        <f>IFERROR(VLOOKUP($A2547,'[5]Study Budget Mapping '!$O$2:$P$532,2,0),"TBA")</f>
        <v>TBA</v>
      </c>
      <c r="D2547" s="2" t="s">
        <v>451</v>
      </c>
      <c r="E2547" s="2" t="s">
        <v>15</v>
      </c>
      <c r="F2547" s="3">
        <v>100000</v>
      </c>
      <c r="G2547" s="3">
        <v>361000</v>
      </c>
      <c r="H2547" s="4"/>
      <c r="I2547" s="4"/>
      <c r="J2547" s="4"/>
      <c r="K2547" s="4"/>
      <c r="L2547" s="4"/>
      <c r="M2547" s="4"/>
    </row>
    <row r="2548" spans="1:13" ht="15" customHeight="1" x14ac:dyDescent="0.35">
      <c r="A2548" t="str">
        <f t="shared" si="39"/>
        <v>P707CV00C1121</v>
      </c>
      <c r="B2548" t="str">
        <f>IFERROR(VLOOKUP($A2548,'[5]Study Budget Mapping '!$O$2:$P$532,2,0),"TBA")</f>
        <v>TBA</v>
      </c>
      <c r="D2548" s="2" t="s">
        <v>451</v>
      </c>
      <c r="E2548" s="2" t="s">
        <v>22</v>
      </c>
      <c r="F2548" s="3">
        <v>320000</v>
      </c>
      <c r="G2548" s="3">
        <v>915000</v>
      </c>
      <c r="H2548" s="4"/>
      <c r="I2548" s="4"/>
      <c r="J2548" s="4"/>
      <c r="K2548" s="4"/>
      <c r="L2548" s="4"/>
      <c r="M2548" s="4"/>
    </row>
    <row r="2549" spans="1:13" ht="15" customHeight="1" x14ac:dyDescent="0.35">
      <c r="A2549" t="str">
        <f t="shared" si="39"/>
        <v>P707CV00C1121</v>
      </c>
      <c r="B2549" t="str">
        <f>IFERROR(VLOOKUP($A2549,'[5]Study Budget Mapping '!$O$2:$P$532,2,0),"TBA")</f>
        <v>TBA</v>
      </c>
      <c r="D2549" s="2" t="s">
        <v>451</v>
      </c>
      <c r="E2549" s="2" t="s">
        <v>17</v>
      </c>
      <c r="F2549" s="3">
        <v>150000</v>
      </c>
      <c r="G2549" s="3">
        <v>210000</v>
      </c>
      <c r="H2549" s="4"/>
      <c r="I2549" s="4"/>
      <c r="J2549" s="4"/>
      <c r="K2549" s="4"/>
      <c r="L2549" s="4"/>
      <c r="M2549" s="4"/>
    </row>
    <row r="2550" spans="1:13" ht="15" customHeight="1" x14ac:dyDescent="0.35">
      <c r="A2550" t="str">
        <f t="shared" si="39"/>
        <v>P707CV00C1121</v>
      </c>
      <c r="B2550" t="str">
        <f>IFERROR(VLOOKUP($A2550,'[5]Study Budget Mapping '!$O$2:$P$532,2,0),"TBA")</f>
        <v>TBA</v>
      </c>
      <c r="D2550" s="2" t="s">
        <v>451</v>
      </c>
      <c r="E2550" s="2" t="s">
        <v>452</v>
      </c>
      <c r="F2550" s="3">
        <v>0</v>
      </c>
      <c r="G2550" s="3">
        <v>470000</v>
      </c>
      <c r="H2550" s="4"/>
      <c r="I2550" s="4"/>
      <c r="J2550" s="4"/>
      <c r="K2550" s="4"/>
      <c r="L2550" s="4"/>
      <c r="M2550" s="4"/>
    </row>
    <row r="2551" spans="1:13" ht="15" customHeight="1" x14ac:dyDescent="0.35">
      <c r="A2551" t="str">
        <f t="shared" si="39"/>
        <v>P707CV00C1121</v>
      </c>
      <c r="B2551" t="str">
        <f>IFERROR(VLOOKUP($A2551,'[5]Study Budget Mapping '!$O$2:$P$532,2,0),"TBA")</f>
        <v>TBA</v>
      </c>
      <c r="D2551" s="2" t="s">
        <v>451</v>
      </c>
      <c r="E2551" s="2" t="s">
        <v>23</v>
      </c>
      <c r="F2551" s="3">
        <v>920000</v>
      </c>
      <c r="G2551" s="3">
        <v>0</v>
      </c>
      <c r="H2551" s="4"/>
      <c r="I2551" s="4"/>
      <c r="J2551" s="4"/>
      <c r="K2551" s="4"/>
      <c r="L2551" s="4"/>
      <c r="M2551" s="4"/>
    </row>
    <row r="2552" spans="1:13" ht="15" customHeight="1" x14ac:dyDescent="0.35">
      <c r="A2552" t="str">
        <f t="shared" si="39"/>
        <v>P707CV00C1121</v>
      </c>
      <c r="B2552" t="str">
        <f>IFERROR(VLOOKUP($A2552,'[5]Study Budget Mapping '!$O$2:$P$532,2,0),"TBA")</f>
        <v>TBA</v>
      </c>
      <c r="D2552" s="2" t="s">
        <v>451</v>
      </c>
      <c r="E2552" s="2" t="s">
        <v>24</v>
      </c>
      <c r="F2552" s="3">
        <v>0</v>
      </c>
      <c r="G2552" s="3">
        <v>232000</v>
      </c>
      <c r="H2552" s="4"/>
      <c r="I2552" s="4"/>
      <c r="J2552" s="4"/>
      <c r="K2552" s="4"/>
      <c r="L2552" s="4"/>
      <c r="M2552" s="4"/>
    </row>
    <row r="2553" spans="1:13" ht="15" customHeight="1" x14ac:dyDescent="0.35">
      <c r="A2553" t="str">
        <f t="shared" si="39"/>
        <v>P707CV00C1121</v>
      </c>
      <c r="B2553" t="str">
        <f>IFERROR(VLOOKUP($A2553,'[5]Study Budget Mapping '!$O$2:$P$532,2,0),"TBA")</f>
        <v>TBA</v>
      </c>
      <c r="D2553" s="2" t="s">
        <v>451</v>
      </c>
      <c r="E2553" s="2" t="s">
        <v>32</v>
      </c>
      <c r="F2553" s="3">
        <v>780000</v>
      </c>
      <c r="G2553" s="3">
        <v>289000</v>
      </c>
      <c r="H2553" s="4"/>
      <c r="I2553" s="4"/>
      <c r="J2553" s="4"/>
      <c r="K2553" s="4"/>
      <c r="L2553" s="4"/>
      <c r="M2553" s="4"/>
    </row>
    <row r="2554" spans="1:13" ht="15" customHeight="1" x14ac:dyDescent="0.35">
      <c r="A2554" t="str">
        <f t="shared" si="39"/>
        <v>P710ID01C6211</v>
      </c>
      <c r="B2554" t="str">
        <f>IFERROR(VLOOKUP($A2554,'[5]Study Budget Mapping '!$O$2:$P$532,2,0),"TBA")</f>
        <v>TBA</v>
      </c>
      <c r="D2554" s="2" t="s">
        <v>453</v>
      </c>
      <c r="E2554" s="2" t="s">
        <v>22</v>
      </c>
      <c r="F2554" s="3">
        <v>1000000</v>
      </c>
      <c r="G2554" s="3">
        <v>1000000</v>
      </c>
      <c r="H2554" s="4"/>
      <c r="I2554" s="4"/>
      <c r="J2554" s="4"/>
      <c r="K2554" s="4"/>
      <c r="L2554" s="4"/>
      <c r="M2554" s="4"/>
    </row>
    <row r="2555" spans="1:13" ht="15" customHeight="1" x14ac:dyDescent="0.35">
      <c r="A2555" t="str">
        <f t="shared" si="39"/>
        <v>P710ID01C6212</v>
      </c>
      <c r="B2555" t="str">
        <f>IFERROR(VLOOKUP($A2555,'[5]Study Budget Mapping '!$O$2:$P$532,2,0),"TBA")</f>
        <v>TBA</v>
      </c>
      <c r="D2555" s="2" t="s">
        <v>454</v>
      </c>
      <c r="E2555" s="2" t="s">
        <v>22</v>
      </c>
      <c r="F2555" s="3">
        <v>1000000</v>
      </c>
      <c r="G2555" s="3">
        <v>1000000</v>
      </c>
      <c r="H2555" s="4"/>
      <c r="I2555" s="4"/>
      <c r="J2555" s="4"/>
      <c r="K2555" s="4"/>
      <c r="L2555" s="4"/>
      <c r="M2555" s="4"/>
    </row>
    <row r="2556" spans="1:13" ht="15" customHeight="1" x14ac:dyDescent="0.35">
      <c r="A2556" t="str">
        <f t="shared" si="39"/>
        <v>P710ID01C6213</v>
      </c>
      <c r="B2556" t="str">
        <f>IFERROR(VLOOKUP($A2556,'[5]Study Budget Mapping '!$O$2:$P$532,2,0),"TBA")</f>
        <v>TBA</v>
      </c>
      <c r="D2556" s="2" t="s">
        <v>455</v>
      </c>
      <c r="E2556" s="2" t="s">
        <v>22</v>
      </c>
      <c r="F2556" s="3">
        <v>1000000</v>
      </c>
      <c r="G2556" s="3">
        <v>1000000</v>
      </c>
      <c r="H2556" s="4"/>
      <c r="I2556" s="4"/>
      <c r="J2556" s="4"/>
      <c r="K2556" s="4"/>
      <c r="L2556" s="4"/>
      <c r="M2556" s="4"/>
    </row>
    <row r="2557" spans="1:13" ht="15" customHeight="1" x14ac:dyDescent="0.35">
      <c r="A2557" t="str">
        <f t="shared" si="39"/>
        <v>P710ID01C6214</v>
      </c>
      <c r="B2557" t="str">
        <f>IFERROR(VLOOKUP($A2557,'[5]Study Budget Mapping '!$O$2:$P$532,2,0),"TBA")</f>
        <v>TBA</v>
      </c>
      <c r="D2557" s="2" t="s">
        <v>456</v>
      </c>
      <c r="E2557" s="2" t="s">
        <v>22</v>
      </c>
      <c r="F2557" s="3">
        <v>1000000</v>
      </c>
      <c r="G2557" s="3">
        <v>1000000</v>
      </c>
      <c r="H2557" s="4"/>
      <c r="I2557" s="4"/>
      <c r="J2557" s="4"/>
      <c r="K2557" s="4"/>
      <c r="L2557" s="4"/>
      <c r="M2557" s="4"/>
    </row>
    <row r="2558" spans="1:13" ht="15" customHeight="1" x14ac:dyDescent="0.35">
      <c r="A2558" t="str">
        <f t="shared" si="39"/>
        <v>P710ID01C6215</v>
      </c>
      <c r="B2558" t="str">
        <f>IFERROR(VLOOKUP($A2558,'[5]Study Budget Mapping '!$O$2:$P$532,2,0),"TBA")</f>
        <v>TBA</v>
      </c>
      <c r="D2558" s="2" t="s">
        <v>457</v>
      </c>
      <c r="E2558" s="2" t="s">
        <v>14</v>
      </c>
      <c r="F2558" s="3">
        <v>0</v>
      </c>
      <c r="G2558" s="3">
        <v>51000</v>
      </c>
      <c r="H2558" s="4"/>
      <c r="I2558" s="4"/>
      <c r="J2558" s="4"/>
      <c r="K2558" s="4"/>
      <c r="L2558" s="4"/>
      <c r="M2558" s="4"/>
    </row>
    <row r="2559" spans="1:13" ht="15" customHeight="1" x14ac:dyDescent="0.35">
      <c r="A2559" t="str">
        <f t="shared" si="39"/>
        <v>P710ID01C6215</v>
      </c>
      <c r="B2559" t="str">
        <f>IFERROR(VLOOKUP($A2559,'[5]Study Budget Mapping '!$O$2:$P$532,2,0),"TBA")</f>
        <v>TBA</v>
      </c>
      <c r="D2559" s="2" t="s">
        <v>457</v>
      </c>
      <c r="E2559" s="2" t="s">
        <v>23</v>
      </c>
      <c r="F2559" s="3">
        <v>1804000</v>
      </c>
      <c r="G2559" s="3">
        <v>2051000</v>
      </c>
      <c r="H2559" s="4"/>
      <c r="I2559" s="4"/>
      <c r="J2559" s="4"/>
      <c r="K2559" s="4"/>
      <c r="L2559" s="4"/>
      <c r="M2559" s="4"/>
    </row>
    <row r="2560" spans="1:13" ht="15" customHeight="1" x14ac:dyDescent="0.35">
      <c r="A2560" t="str">
        <f t="shared" si="39"/>
        <v>P710ID01C6216</v>
      </c>
      <c r="B2560" t="str">
        <f>IFERROR(VLOOKUP($A2560,'[5]Study Budget Mapping '!$O$2:$P$532,2,0),"TBA")</f>
        <v>TBA</v>
      </c>
      <c r="D2560" s="2" t="s">
        <v>458</v>
      </c>
      <c r="E2560" s="2" t="s">
        <v>22</v>
      </c>
      <c r="F2560" s="3">
        <v>1000000</v>
      </c>
      <c r="G2560" s="3">
        <v>1000000</v>
      </c>
      <c r="H2560" s="4"/>
      <c r="I2560" s="4"/>
      <c r="J2560" s="4"/>
      <c r="K2560" s="4"/>
      <c r="L2560" s="4"/>
      <c r="M2560" s="4"/>
    </row>
    <row r="2561" spans="1:13" ht="15" customHeight="1" x14ac:dyDescent="0.35">
      <c r="A2561" t="str">
        <f t="shared" si="39"/>
        <v>P710ID01C6218</v>
      </c>
      <c r="B2561" t="str">
        <f>IFERROR(VLOOKUP($A2561,'[5]Study Budget Mapping '!$O$2:$P$532,2,0),"TBA")</f>
        <v>TBA</v>
      </c>
      <c r="D2561" s="2" t="s">
        <v>459</v>
      </c>
      <c r="E2561" s="2" t="s">
        <v>22</v>
      </c>
      <c r="F2561" s="3">
        <v>1000000</v>
      </c>
      <c r="G2561" s="3">
        <v>1000000</v>
      </c>
      <c r="H2561" s="4"/>
      <c r="I2561" s="4"/>
      <c r="J2561" s="4"/>
      <c r="K2561" s="4"/>
      <c r="L2561" s="4"/>
      <c r="M2561" s="4"/>
    </row>
    <row r="2562" spans="1:13" ht="15" customHeight="1" x14ac:dyDescent="0.35">
      <c r="A2562" t="str">
        <f t="shared" si="39"/>
        <v>P710ID01C6219</v>
      </c>
      <c r="B2562" t="str">
        <f>IFERROR(VLOOKUP($A2562,'[5]Study Budget Mapping '!$O$2:$P$532,2,0),"TBA")</f>
        <v>TBA</v>
      </c>
      <c r="D2562" s="2" t="s">
        <v>460</v>
      </c>
      <c r="E2562" s="2" t="s">
        <v>15</v>
      </c>
      <c r="F2562" s="3">
        <v>1000000</v>
      </c>
      <c r="G2562" s="3">
        <v>1000000</v>
      </c>
      <c r="H2562" s="4"/>
      <c r="I2562" s="4"/>
      <c r="J2562" s="4"/>
      <c r="K2562" s="4"/>
      <c r="L2562" s="4"/>
      <c r="M2562" s="4"/>
    </row>
    <row r="2563" spans="1:13" ht="15" customHeight="1" x14ac:dyDescent="0.35">
      <c r="A2563" t="str">
        <f t="shared" ref="A2563:A2626" si="40">TRIM(_xlfn.TEXTBEFORE(D2563,"-",1))</f>
        <v>P710ID01C6221</v>
      </c>
      <c r="B2563" t="str">
        <f>IFERROR(VLOOKUP($A2563,'[5]Study Budget Mapping '!$O$2:$P$532,2,0),"TBA")</f>
        <v>TBA</v>
      </c>
      <c r="D2563" s="2" t="s">
        <v>461</v>
      </c>
      <c r="E2563" s="2" t="s">
        <v>22</v>
      </c>
      <c r="F2563" s="3">
        <v>1000000</v>
      </c>
      <c r="G2563" s="3">
        <v>1000000</v>
      </c>
      <c r="H2563" s="4"/>
      <c r="I2563" s="4"/>
      <c r="J2563" s="4"/>
      <c r="K2563" s="4"/>
      <c r="L2563" s="4"/>
      <c r="M2563" s="4"/>
    </row>
    <row r="2564" spans="1:13" ht="15" customHeight="1" x14ac:dyDescent="0.35">
      <c r="A2564" t="str">
        <f t="shared" si="40"/>
        <v>P710ID01C6241</v>
      </c>
      <c r="B2564" t="str">
        <f>IFERROR(VLOOKUP($A2564,'[5]Study Budget Mapping '!$O$2:$P$532,2,0),"TBA")</f>
        <v>TBA</v>
      </c>
      <c r="D2564" s="2" t="s">
        <v>462</v>
      </c>
      <c r="E2564" s="2" t="s">
        <v>13</v>
      </c>
      <c r="F2564" s="3">
        <v>1452186.77</v>
      </c>
      <c r="G2564" s="3">
        <v>1452186.77</v>
      </c>
      <c r="H2564" s="4"/>
      <c r="I2564" s="4"/>
      <c r="J2564" s="4"/>
      <c r="K2564" s="4"/>
      <c r="L2564" s="4"/>
      <c r="M2564" s="4"/>
    </row>
    <row r="2565" spans="1:13" ht="15" customHeight="1" x14ac:dyDescent="0.35">
      <c r="A2565" t="str">
        <f t="shared" si="40"/>
        <v>P710ID01C6241</v>
      </c>
      <c r="B2565" t="str">
        <f>IFERROR(VLOOKUP($A2565,'[5]Study Budget Mapping '!$O$2:$P$532,2,0),"TBA")</f>
        <v>TBA</v>
      </c>
      <c r="D2565" s="2" t="s">
        <v>462</v>
      </c>
      <c r="E2565" s="2" t="s">
        <v>14</v>
      </c>
      <c r="F2565" s="3">
        <v>1237950</v>
      </c>
      <c r="G2565" s="3">
        <v>1237950</v>
      </c>
      <c r="H2565" s="4"/>
      <c r="I2565" s="4"/>
      <c r="J2565" s="4"/>
      <c r="K2565" s="4"/>
      <c r="L2565" s="4"/>
      <c r="M2565" s="4"/>
    </row>
    <row r="2566" spans="1:13" ht="15" customHeight="1" x14ac:dyDescent="0.35">
      <c r="A2566" t="str">
        <f t="shared" si="40"/>
        <v>P711GE00C0031</v>
      </c>
      <c r="B2566" t="str">
        <f>IFERROR(VLOOKUP($A2566,'[5]Study Budget Mapping '!$O$2:$P$532,2,0),"TBA")</f>
        <v>TBA</v>
      </c>
      <c r="D2566" s="2" t="s">
        <v>463</v>
      </c>
      <c r="E2566" s="2" t="s">
        <v>13</v>
      </c>
      <c r="F2566" s="3">
        <v>1005000</v>
      </c>
      <c r="G2566" s="3">
        <v>1150000</v>
      </c>
      <c r="H2566" s="4"/>
      <c r="I2566" s="4"/>
      <c r="J2566" s="4"/>
      <c r="K2566" s="4"/>
      <c r="L2566" s="4"/>
      <c r="M2566" s="4"/>
    </row>
    <row r="2567" spans="1:13" ht="15" customHeight="1" x14ac:dyDescent="0.35">
      <c r="A2567" t="str">
        <f t="shared" si="40"/>
        <v>P711GE00C0031</v>
      </c>
      <c r="B2567" t="str">
        <f>IFERROR(VLOOKUP($A2567,'[5]Study Budget Mapping '!$O$2:$P$532,2,0),"TBA")</f>
        <v>TBA</v>
      </c>
      <c r="D2567" s="2" t="s">
        <v>463</v>
      </c>
      <c r="E2567" s="2" t="s">
        <v>14</v>
      </c>
      <c r="F2567" s="3">
        <v>613000</v>
      </c>
      <c r="G2567" s="3">
        <v>550000</v>
      </c>
      <c r="H2567" s="4"/>
      <c r="I2567" s="4"/>
      <c r="J2567" s="4"/>
      <c r="K2567" s="4"/>
      <c r="L2567" s="4"/>
      <c r="M2567" s="4"/>
    </row>
    <row r="2568" spans="1:13" ht="15" customHeight="1" x14ac:dyDescent="0.35">
      <c r="A2568" t="str">
        <f t="shared" si="40"/>
        <v>P711GE00C0031</v>
      </c>
      <c r="B2568" t="str">
        <f>IFERROR(VLOOKUP($A2568,'[5]Study Budget Mapping '!$O$2:$P$532,2,0),"TBA")</f>
        <v>TBA</v>
      </c>
      <c r="D2568" s="2" t="s">
        <v>463</v>
      </c>
      <c r="E2568" s="2" t="s">
        <v>19</v>
      </c>
      <c r="F2568" s="3">
        <v>2866000</v>
      </c>
      <c r="G2568" s="3">
        <v>2455000</v>
      </c>
      <c r="H2568" s="4"/>
      <c r="I2568" s="4"/>
      <c r="J2568" s="4"/>
      <c r="K2568" s="4"/>
      <c r="L2568" s="4"/>
      <c r="M2568" s="4"/>
    </row>
    <row r="2569" spans="1:13" ht="15" customHeight="1" x14ac:dyDescent="0.35">
      <c r="A2569" t="str">
        <f t="shared" si="40"/>
        <v>P711GE00C0031</v>
      </c>
      <c r="B2569" t="str">
        <f>IFERROR(VLOOKUP($A2569,'[5]Study Budget Mapping '!$O$2:$P$532,2,0),"TBA")</f>
        <v>TBA</v>
      </c>
      <c r="D2569" s="2" t="s">
        <v>463</v>
      </c>
      <c r="E2569" s="2" t="s">
        <v>15</v>
      </c>
      <c r="F2569" s="3">
        <v>1730000</v>
      </c>
      <c r="G2569" s="3">
        <v>2040000</v>
      </c>
      <c r="H2569" s="4"/>
      <c r="I2569" s="4"/>
      <c r="J2569" s="4"/>
      <c r="K2569" s="4"/>
      <c r="L2569" s="4"/>
      <c r="M2569" s="4"/>
    </row>
    <row r="2570" spans="1:13" ht="15" customHeight="1" x14ac:dyDescent="0.35">
      <c r="A2570" t="str">
        <f t="shared" si="40"/>
        <v>P711GE00C0031</v>
      </c>
      <c r="B2570" t="str">
        <f>IFERROR(VLOOKUP($A2570,'[5]Study Budget Mapping '!$O$2:$P$532,2,0),"TBA")</f>
        <v>TBA</v>
      </c>
      <c r="D2570" s="2" t="s">
        <v>463</v>
      </c>
      <c r="E2570" s="2" t="s">
        <v>22</v>
      </c>
      <c r="F2570" s="3">
        <v>660000</v>
      </c>
      <c r="G2570" s="3">
        <v>660000</v>
      </c>
      <c r="H2570" s="4"/>
      <c r="I2570" s="4"/>
      <c r="J2570" s="4"/>
      <c r="K2570" s="4"/>
      <c r="L2570" s="4"/>
      <c r="M2570" s="4"/>
    </row>
    <row r="2571" spans="1:13" ht="15" customHeight="1" x14ac:dyDescent="0.35">
      <c r="A2571" t="str">
        <f t="shared" si="40"/>
        <v>P711GE00C0031</v>
      </c>
      <c r="B2571" t="str">
        <f>IFERROR(VLOOKUP($A2571,'[5]Study Budget Mapping '!$O$2:$P$532,2,0),"TBA")</f>
        <v>TBA</v>
      </c>
      <c r="D2571" s="2" t="s">
        <v>463</v>
      </c>
      <c r="E2571" s="2" t="s">
        <v>16</v>
      </c>
      <c r="F2571" s="3">
        <v>240000</v>
      </c>
      <c r="G2571" s="3">
        <v>370000</v>
      </c>
      <c r="H2571" s="4"/>
      <c r="I2571" s="4"/>
      <c r="J2571" s="4"/>
      <c r="K2571" s="4"/>
      <c r="L2571" s="4"/>
      <c r="M2571" s="4"/>
    </row>
    <row r="2572" spans="1:13" ht="15" customHeight="1" x14ac:dyDescent="0.35">
      <c r="A2572" t="str">
        <f t="shared" si="40"/>
        <v>P711GE00C0031</v>
      </c>
      <c r="B2572" t="str">
        <f>IFERROR(VLOOKUP($A2572,'[5]Study Budget Mapping '!$O$2:$P$532,2,0),"TBA")</f>
        <v>TBA</v>
      </c>
      <c r="D2572" s="2" t="s">
        <v>463</v>
      </c>
      <c r="E2572" s="2" t="s">
        <v>23</v>
      </c>
      <c r="F2572" s="3">
        <v>185000</v>
      </c>
      <c r="G2572" s="3">
        <v>195000</v>
      </c>
      <c r="H2572" s="4"/>
      <c r="I2572" s="4"/>
      <c r="J2572" s="4"/>
      <c r="K2572" s="4"/>
      <c r="L2572" s="4"/>
      <c r="M2572" s="4"/>
    </row>
    <row r="2573" spans="1:13" ht="15" customHeight="1" x14ac:dyDescent="0.35">
      <c r="A2573" t="str">
        <f t="shared" si="40"/>
        <v>P711GE00C0031</v>
      </c>
      <c r="B2573" t="str">
        <f>IFERROR(VLOOKUP($A2573,'[5]Study Budget Mapping '!$O$2:$P$532,2,0),"TBA")</f>
        <v>TBA</v>
      </c>
      <c r="D2573" s="2" t="s">
        <v>463</v>
      </c>
      <c r="E2573" s="2" t="s">
        <v>32</v>
      </c>
      <c r="F2573" s="3">
        <v>660000</v>
      </c>
      <c r="G2573" s="3">
        <v>490000</v>
      </c>
      <c r="H2573" s="4"/>
      <c r="I2573" s="4"/>
      <c r="J2573" s="4"/>
      <c r="K2573" s="4"/>
      <c r="L2573" s="4"/>
      <c r="M2573" s="4"/>
    </row>
    <row r="2574" spans="1:13" ht="15" customHeight="1" x14ac:dyDescent="0.35">
      <c r="A2574" t="str">
        <f t="shared" si="40"/>
        <v>P711HE07C1531</v>
      </c>
      <c r="B2574" t="str">
        <f>IFERROR(VLOOKUP($A2574,'[5]Study Budget Mapping '!$O$2:$P$532,2,0),"TBA")</f>
        <v>TBA</v>
      </c>
      <c r="D2574" s="2" t="s">
        <v>464</v>
      </c>
      <c r="E2574" s="2" t="s">
        <v>13</v>
      </c>
      <c r="F2574" s="3">
        <v>15540000</v>
      </c>
      <c r="G2574" s="3">
        <v>15540000</v>
      </c>
      <c r="H2574" s="4"/>
      <c r="I2574" s="4"/>
      <c r="J2574" s="4"/>
      <c r="K2574" s="4"/>
      <c r="L2574" s="4"/>
      <c r="M2574" s="4"/>
    </row>
    <row r="2575" spans="1:13" ht="15" customHeight="1" x14ac:dyDescent="0.35">
      <c r="A2575" t="str">
        <f t="shared" si="40"/>
        <v>P711HE07C1531</v>
      </c>
      <c r="B2575" t="str">
        <f>IFERROR(VLOOKUP($A2575,'[5]Study Budget Mapping '!$O$2:$P$532,2,0),"TBA")</f>
        <v>TBA</v>
      </c>
      <c r="D2575" s="2" t="s">
        <v>464</v>
      </c>
      <c r="E2575" s="2" t="s">
        <v>14</v>
      </c>
      <c r="F2575" s="3">
        <v>7420000</v>
      </c>
      <c r="G2575" s="3">
        <v>7420000</v>
      </c>
      <c r="H2575" s="4"/>
      <c r="I2575" s="4"/>
      <c r="J2575" s="4"/>
      <c r="K2575" s="4"/>
      <c r="L2575" s="4"/>
      <c r="M2575" s="4"/>
    </row>
    <row r="2576" spans="1:13" ht="15" customHeight="1" x14ac:dyDescent="0.35">
      <c r="A2576" t="str">
        <f t="shared" si="40"/>
        <v>P711HE07C1531</v>
      </c>
      <c r="B2576" t="str">
        <f>IFERROR(VLOOKUP($A2576,'[5]Study Budget Mapping '!$O$2:$P$532,2,0),"TBA")</f>
        <v>TBA</v>
      </c>
      <c r="D2576" s="2" t="s">
        <v>464</v>
      </c>
      <c r="E2576" s="2" t="s">
        <v>19</v>
      </c>
      <c r="F2576" s="3">
        <v>11440000</v>
      </c>
      <c r="G2576" s="3">
        <v>11440000</v>
      </c>
      <c r="H2576" s="4"/>
      <c r="I2576" s="4"/>
      <c r="J2576" s="4"/>
      <c r="K2576" s="4"/>
      <c r="L2576" s="4"/>
      <c r="M2576" s="4"/>
    </row>
    <row r="2577" spans="1:13" ht="15" customHeight="1" x14ac:dyDescent="0.35">
      <c r="A2577" t="str">
        <f t="shared" si="40"/>
        <v>P711HE07C1531</v>
      </c>
      <c r="B2577" t="str">
        <f>IFERROR(VLOOKUP($A2577,'[5]Study Budget Mapping '!$O$2:$P$532,2,0),"TBA")</f>
        <v>TBA</v>
      </c>
      <c r="D2577" s="2" t="s">
        <v>464</v>
      </c>
      <c r="E2577" s="2" t="s">
        <v>15</v>
      </c>
      <c r="F2577" s="3">
        <v>21600000</v>
      </c>
      <c r="G2577" s="3">
        <v>21600000</v>
      </c>
      <c r="H2577" s="4"/>
      <c r="I2577" s="4"/>
      <c r="J2577" s="4"/>
      <c r="K2577" s="4"/>
      <c r="L2577" s="4"/>
      <c r="M2577" s="4"/>
    </row>
    <row r="2578" spans="1:13" ht="15" customHeight="1" x14ac:dyDescent="0.35">
      <c r="A2578" t="str">
        <f t="shared" si="40"/>
        <v>P711HE07C1531</v>
      </c>
      <c r="B2578" t="str">
        <f>IFERROR(VLOOKUP($A2578,'[5]Study Budget Mapping '!$O$2:$P$532,2,0),"TBA")</f>
        <v>TBA</v>
      </c>
      <c r="D2578" s="2" t="s">
        <v>464</v>
      </c>
      <c r="E2578" s="2" t="s">
        <v>22</v>
      </c>
      <c r="F2578" s="3">
        <v>3230000</v>
      </c>
      <c r="G2578" s="3">
        <v>3230000</v>
      </c>
      <c r="H2578" s="4"/>
      <c r="I2578" s="4"/>
      <c r="J2578" s="4"/>
      <c r="K2578" s="4"/>
      <c r="L2578" s="4"/>
      <c r="M2578" s="4"/>
    </row>
    <row r="2579" spans="1:13" ht="15" customHeight="1" x14ac:dyDescent="0.35">
      <c r="A2579" t="str">
        <f t="shared" si="40"/>
        <v>P711HE07C1531</v>
      </c>
      <c r="B2579" t="str">
        <f>IFERROR(VLOOKUP($A2579,'[5]Study Budget Mapping '!$O$2:$P$532,2,0),"TBA")</f>
        <v>TBA</v>
      </c>
      <c r="D2579" s="2" t="s">
        <v>464</v>
      </c>
      <c r="E2579" s="2" t="s">
        <v>16</v>
      </c>
      <c r="F2579" s="3">
        <v>2570000</v>
      </c>
      <c r="G2579" s="3">
        <v>2570000</v>
      </c>
      <c r="H2579" s="4"/>
      <c r="I2579" s="4"/>
      <c r="J2579" s="4"/>
      <c r="K2579" s="4"/>
      <c r="L2579" s="4"/>
      <c r="M2579" s="4"/>
    </row>
    <row r="2580" spans="1:13" ht="15" customHeight="1" x14ac:dyDescent="0.35">
      <c r="A2580" t="str">
        <f t="shared" si="40"/>
        <v>P711HE07C1531</v>
      </c>
      <c r="B2580" t="str">
        <f>IFERROR(VLOOKUP($A2580,'[5]Study Budget Mapping '!$O$2:$P$532,2,0),"TBA")</f>
        <v>TBA</v>
      </c>
      <c r="D2580" s="2" t="s">
        <v>464</v>
      </c>
      <c r="E2580" s="2" t="s">
        <v>17</v>
      </c>
      <c r="F2580" s="3">
        <v>530000</v>
      </c>
      <c r="G2580" s="3">
        <v>530000</v>
      </c>
      <c r="H2580" s="4"/>
      <c r="I2580" s="4"/>
      <c r="J2580" s="4"/>
      <c r="K2580" s="4"/>
      <c r="L2580" s="4"/>
      <c r="M2580" s="4"/>
    </row>
    <row r="2581" spans="1:13" ht="15" customHeight="1" x14ac:dyDescent="0.35">
      <c r="A2581" t="str">
        <f t="shared" si="40"/>
        <v>P711HE07C1531</v>
      </c>
      <c r="B2581" t="str">
        <f>IFERROR(VLOOKUP($A2581,'[5]Study Budget Mapping '!$O$2:$P$532,2,0),"TBA")</f>
        <v>TBA</v>
      </c>
      <c r="D2581" s="2" t="s">
        <v>464</v>
      </c>
      <c r="E2581" s="2" t="s">
        <v>23</v>
      </c>
      <c r="F2581" s="3">
        <v>1330000</v>
      </c>
      <c r="G2581" s="3">
        <v>1330000</v>
      </c>
      <c r="H2581" s="4"/>
      <c r="I2581" s="4"/>
      <c r="J2581" s="4"/>
      <c r="K2581" s="4"/>
      <c r="L2581" s="4"/>
      <c r="M2581" s="4"/>
    </row>
    <row r="2582" spans="1:13" ht="15" customHeight="1" x14ac:dyDescent="0.35">
      <c r="A2582" t="str">
        <f t="shared" si="40"/>
        <v>P711HE07C1531</v>
      </c>
      <c r="B2582" t="str">
        <f>IFERROR(VLOOKUP($A2582,'[5]Study Budget Mapping '!$O$2:$P$532,2,0),"TBA")</f>
        <v>TBA</v>
      </c>
      <c r="D2582" s="2" t="s">
        <v>464</v>
      </c>
      <c r="E2582" s="2" t="s">
        <v>24</v>
      </c>
      <c r="F2582" s="3">
        <v>3360000</v>
      </c>
      <c r="G2582" s="3">
        <v>3360000</v>
      </c>
      <c r="H2582" s="4"/>
      <c r="I2582" s="4"/>
      <c r="J2582" s="4"/>
      <c r="K2582" s="4"/>
      <c r="L2582" s="4"/>
      <c r="M2582" s="4"/>
    </row>
    <row r="2583" spans="1:13" ht="15" customHeight="1" x14ac:dyDescent="0.35">
      <c r="A2583" t="str">
        <f t="shared" si="40"/>
        <v>P713HE02C1021</v>
      </c>
      <c r="B2583" t="str">
        <f>IFERROR(VLOOKUP($A2583,'[5]Study Budget Mapping '!$O$2:$P$532,2,0),"TBA")</f>
        <v>TBA</v>
      </c>
      <c r="D2583" s="2" t="s">
        <v>465</v>
      </c>
      <c r="E2583" s="2" t="s">
        <v>13</v>
      </c>
      <c r="F2583" s="3">
        <v>32900000</v>
      </c>
      <c r="G2583" s="3">
        <v>32900000</v>
      </c>
      <c r="H2583" s="4"/>
      <c r="I2583" s="4"/>
      <c r="J2583" s="4"/>
      <c r="K2583" s="4"/>
      <c r="L2583" s="4"/>
      <c r="M2583" s="4"/>
    </row>
    <row r="2584" spans="1:13" ht="15" customHeight="1" x14ac:dyDescent="0.35">
      <c r="A2584" t="str">
        <f t="shared" si="40"/>
        <v>P713HE02C1021</v>
      </c>
      <c r="B2584" t="str">
        <f>IFERROR(VLOOKUP($A2584,'[5]Study Budget Mapping '!$O$2:$P$532,2,0),"TBA")</f>
        <v>TBA</v>
      </c>
      <c r="D2584" s="2" t="s">
        <v>465</v>
      </c>
      <c r="E2584" s="2" t="s">
        <v>14</v>
      </c>
      <c r="F2584" s="3">
        <v>13690000</v>
      </c>
      <c r="G2584" s="3">
        <v>13690000</v>
      </c>
      <c r="H2584" s="4"/>
      <c r="I2584" s="4"/>
      <c r="J2584" s="4"/>
      <c r="K2584" s="4"/>
      <c r="L2584" s="4"/>
      <c r="M2584" s="4"/>
    </row>
    <row r="2585" spans="1:13" ht="15" customHeight="1" x14ac:dyDescent="0.35">
      <c r="A2585" t="str">
        <f t="shared" si="40"/>
        <v>P713HE02C1021</v>
      </c>
      <c r="B2585" t="str">
        <f>IFERROR(VLOOKUP($A2585,'[5]Study Budget Mapping '!$O$2:$P$532,2,0),"TBA")</f>
        <v>TBA</v>
      </c>
      <c r="D2585" s="2" t="s">
        <v>465</v>
      </c>
      <c r="E2585" s="2" t="s">
        <v>19</v>
      </c>
      <c r="F2585" s="3">
        <v>1755000</v>
      </c>
      <c r="G2585" s="3">
        <v>1755000</v>
      </c>
      <c r="H2585" s="4"/>
      <c r="I2585" s="4"/>
      <c r="J2585" s="4"/>
      <c r="K2585" s="4"/>
      <c r="L2585" s="4"/>
      <c r="M2585" s="4"/>
    </row>
    <row r="2586" spans="1:13" ht="15" customHeight="1" x14ac:dyDescent="0.35">
      <c r="A2586" t="str">
        <f t="shared" si="40"/>
        <v>P713HE02C1021</v>
      </c>
      <c r="B2586" t="str">
        <f>IFERROR(VLOOKUP($A2586,'[5]Study Budget Mapping '!$O$2:$P$532,2,0),"TBA")</f>
        <v>TBA</v>
      </c>
      <c r="D2586" s="2" t="s">
        <v>465</v>
      </c>
      <c r="E2586" s="2" t="s">
        <v>20</v>
      </c>
      <c r="F2586" s="3">
        <v>1670000</v>
      </c>
      <c r="G2586" s="3">
        <v>1670000</v>
      </c>
      <c r="H2586" s="4"/>
      <c r="I2586" s="4"/>
      <c r="J2586" s="4"/>
      <c r="K2586" s="4"/>
      <c r="L2586" s="4"/>
      <c r="M2586" s="4"/>
    </row>
    <row r="2587" spans="1:13" ht="15" customHeight="1" x14ac:dyDescent="0.35">
      <c r="A2587" t="str">
        <f t="shared" si="40"/>
        <v>P713HE02C1021</v>
      </c>
      <c r="B2587" t="str">
        <f>IFERROR(VLOOKUP($A2587,'[5]Study Budget Mapping '!$O$2:$P$532,2,0),"TBA")</f>
        <v>TBA</v>
      </c>
      <c r="D2587" s="2" t="s">
        <v>465</v>
      </c>
      <c r="E2587" s="2" t="s">
        <v>15</v>
      </c>
      <c r="F2587" s="3">
        <v>13960000</v>
      </c>
      <c r="G2587" s="3">
        <v>13960000</v>
      </c>
      <c r="H2587" s="4"/>
      <c r="I2587" s="4"/>
      <c r="J2587" s="4"/>
      <c r="K2587" s="4"/>
      <c r="L2587" s="4"/>
      <c r="M2587" s="4"/>
    </row>
    <row r="2588" spans="1:13" ht="15" customHeight="1" x14ac:dyDescent="0.35">
      <c r="A2588" t="str">
        <f t="shared" si="40"/>
        <v>P713HE02C1021</v>
      </c>
      <c r="B2588" t="str">
        <f>IFERROR(VLOOKUP($A2588,'[5]Study Budget Mapping '!$O$2:$P$532,2,0),"TBA")</f>
        <v>TBA</v>
      </c>
      <c r="D2588" s="2" t="s">
        <v>465</v>
      </c>
      <c r="E2588" s="2" t="s">
        <v>22</v>
      </c>
      <c r="F2588" s="3">
        <v>4200000</v>
      </c>
      <c r="G2588" s="3">
        <v>4200000</v>
      </c>
      <c r="H2588" s="4"/>
      <c r="I2588" s="4"/>
      <c r="J2588" s="4"/>
      <c r="K2588" s="4"/>
      <c r="L2588" s="4"/>
      <c r="M2588" s="4"/>
    </row>
    <row r="2589" spans="1:13" ht="15" customHeight="1" x14ac:dyDescent="0.35">
      <c r="A2589" t="str">
        <f t="shared" si="40"/>
        <v>P713HE02C1021</v>
      </c>
      <c r="B2589" t="str">
        <f>IFERROR(VLOOKUP($A2589,'[5]Study Budget Mapping '!$O$2:$P$532,2,0),"TBA")</f>
        <v>TBA</v>
      </c>
      <c r="D2589" s="2" t="s">
        <v>465</v>
      </c>
      <c r="E2589" s="2" t="s">
        <v>16</v>
      </c>
      <c r="F2589" s="3">
        <v>3545000</v>
      </c>
      <c r="G2589" s="3">
        <v>3545000</v>
      </c>
      <c r="H2589" s="4"/>
      <c r="I2589" s="4"/>
      <c r="J2589" s="4"/>
      <c r="K2589" s="4"/>
      <c r="L2589" s="4"/>
      <c r="M2589" s="4"/>
    </row>
    <row r="2590" spans="1:13" ht="15" customHeight="1" x14ac:dyDescent="0.35">
      <c r="A2590" t="str">
        <f t="shared" si="40"/>
        <v>P713HE02C1021</v>
      </c>
      <c r="B2590" t="str">
        <f>IFERROR(VLOOKUP($A2590,'[5]Study Budget Mapping '!$O$2:$P$532,2,0),"TBA")</f>
        <v>TBA</v>
      </c>
      <c r="D2590" s="2" t="s">
        <v>465</v>
      </c>
      <c r="E2590" s="2" t="s">
        <v>17</v>
      </c>
      <c r="F2590" s="3">
        <v>770000</v>
      </c>
      <c r="G2590" s="3">
        <v>770000</v>
      </c>
      <c r="H2590" s="4"/>
      <c r="I2590" s="4"/>
      <c r="J2590" s="4"/>
      <c r="K2590" s="4"/>
      <c r="L2590" s="4"/>
      <c r="M2590" s="4"/>
    </row>
    <row r="2591" spans="1:13" ht="15" customHeight="1" x14ac:dyDescent="0.35">
      <c r="A2591" t="str">
        <f t="shared" si="40"/>
        <v>P713HE02C1021</v>
      </c>
      <c r="B2591" t="str">
        <f>IFERROR(VLOOKUP($A2591,'[5]Study Budget Mapping '!$O$2:$P$532,2,0),"TBA")</f>
        <v>TBA</v>
      </c>
      <c r="D2591" s="2" t="s">
        <v>465</v>
      </c>
      <c r="E2591" s="2" t="s">
        <v>23</v>
      </c>
      <c r="F2591" s="3">
        <v>150000</v>
      </c>
      <c r="G2591" s="3">
        <v>150000</v>
      </c>
      <c r="H2591" s="4"/>
      <c r="I2591" s="4"/>
      <c r="J2591" s="4"/>
      <c r="K2591" s="4"/>
      <c r="L2591" s="4"/>
      <c r="M2591" s="4"/>
    </row>
    <row r="2592" spans="1:13" ht="15" customHeight="1" x14ac:dyDescent="0.35">
      <c r="A2592" t="str">
        <f t="shared" si="40"/>
        <v>P713HE02C1021</v>
      </c>
      <c r="B2592" t="str">
        <f>IFERROR(VLOOKUP($A2592,'[5]Study Budget Mapping '!$O$2:$P$532,2,0),"TBA")</f>
        <v>TBA</v>
      </c>
      <c r="D2592" s="2" t="s">
        <v>465</v>
      </c>
      <c r="E2592" s="2" t="s">
        <v>24</v>
      </c>
      <c r="F2592" s="3">
        <v>2030000</v>
      </c>
      <c r="G2592" s="3">
        <v>2030000</v>
      </c>
      <c r="H2592" s="4"/>
      <c r="I2592" s="4"/>
      <c r="J2592" s="4"/>
      <c r="K2592" s="4"/>
      <c r="L2592" s="4"/>
      <c r="M2592" s="4"/>
    </row>
    <row r="2593" spans="1:13" ht="15" customHeight="1" x14ac:dyDescent="0.35">
      <c r="A2593" t="str">
        <f t="shared" si="40"/>
        <v>P713HE02C1021</v>
      </c>
      <c r="B2593" t="str">
        <f>IFERROR(VLOOKUP($A2593,'[5]Study Budget Mapping '!$O$2:$P$532,2,0),"TBA")</f>
        <v>TBA</v>
      </c>
      <c r="D2593" s="2" t="s">
        <v>465</v>
      </c>
      <c r="E2593" s="2" t="s">
        <v>32</v>
      </c>
      <c r="F2593" s="3">
        <v>3510000</v>
      </c>
      <c r="G2593" s="3">
        <v>3510000</v>
      </c>
      <c r="H2593" s="4"/>
      <c r="I2593" s="4"/>
      <c r="J2593" s="4"/>
      <c r="K2593" s="4"/>
      <c r="L2593" s="4"/>
      <c r="M2593" s="4"/>
    </row>
    <row r="2594" spans="1:13" ht="15" customHeight="1" x14ac:dyDescent="0.35">
      <c r="A2594" t="str">
        <f t="shared" si="40"/>
        <v>P715GE00C1021</v>
      </c>
      <c r="B2594" t="str">
        <f>IFERROR(VLOOKUP($A2594,'[5]Study Budget Mapping '!$O$2:$P$532,2,0),"TBA")</f>
        <v>TBA</v>
      </c>
      <c r="D2594" s="2" t="s">
        <v>466</v>
      </c>
      <c r="E2594" s="2" t="s">
        <v>13</v>
      </c>
      <c r="F2594" s="3">
        <v>1400000</v>
      </c>
      <c r="G2594" s="3">
        <v>2510000</v>
      </c>
      <c r="H2594" s="4"/>
      <c r="I2594" s="4"/>
      <c r="J2594" s="4"/>
      <c r="K2594" s="4"/>
      <c r="L2594" s="4"/>
      <c r="M2594" s="4"/>
    </row>
    <row r="2595" spans="1:13" ht="15" customHeight="1" x14ac:dyDescent="0.35">
      <c r="A2595" t="str">
        <f t="shared" si="40"/>
        <v>P715GE00C1021</v>
      </c>
      <c r="B2595" t="str">
        <f>IFERROR(VLOOKUP($A2595,'[5]Study Budget Mapping '!$O$2:$P$532,2,0),"TBA")</f>
        <v>TBA</v>
      </c>
      <c r="D2595" s="2" t="s">
        <v>466</v>
      </c>
      <c r="E2595" s="2" t="s">
        <v>14</v>
      </c>
      <c r="F2595" s="3">
        <v>850000</v>
      </c>
      <c r="G2595" s="3">
        <v>1070000</v>
      </c>
      <c r="H2595" s="4"/>
      <c r="I2595" s="4"/>
      <c r="J2595" s="4"/>
      <c r="K2595" s="4"/>
      <c r="L2595" s="4"/>
      <c r="M2595" s="4"/>
    </row>
    <row r="2596" spans="1:13" ht="15" customHeight="1" x14ac:dyDescent="0.35">
      <c r="A2596" t="str">
        <f t="shared" si="40"/>
        <v>P715GE00C1021</v>
      </c>
      <c r="B2596" t="str">
        <f>IFERROR(VLOOKUP($A2596,'[5]Study Budget Mapping '!$O$2:$P$532,2,0),"TBA")</f>
        <v>TBA</v>
      </c>
      <c r="D2596" s="2" t="s">
        <v>466</v>
      </c>
      <c r="E2596" s="2" t="s">
        <v>19</v>
      </c>
      <c r="F2596" s="3">
        <v>190000</v>
      </c>
      <c r="G2596" s="3">
        <v>0</v>
      </c>
      <c r="H2596" s="4"/>
      <c r="I2596" s="4"/>
      <c r="J2596" s="4"/>
      <c r="K2596" s="4"/>
      <c r="L2596" s="4"/>
      <c r="M2596" s="4"/>
    </row>
    <row r="2597" spans="1:13" ht="15" customHeight="1" x14ac:dyDescent="0.35">
      <c r="A2597" t="str">
        <f t="shared" si="40"/>
        <v>P715GE00C1021</v>
      </c>
      <c r="B2597" t="str">
        <f>IFERROR(VLOOKUP($A2597,'[5]Study Budget Mapping '!$O$2:$P$532,2,0),"TBA")</f>
        <v>TBA</v>
      </c>
      <c r="D2597" s="2" t="s">
        <v>466</v>
      </c>
      <c r="E2597" s="2" t="s">
        <v>22</v>
      </c>
      <c r="F2597" s="3">
        <v>590000</v>
      </c>
      <c r="G2597" s="3">
        <v>890000</v>
      </c>
      <c r="H2597" s="4"/>
      <c r="I2597" s="4"/>
      <c r="J2597" s="4"/>
      <c r="K2597" s="4"/>
      <c r="L2597" s="4"/>
      <c r="M2597" s="4"/>
    </row>
    <row r="2598" spans="1:13" ht="15" customHeight="1" x14ac:dyDescent="0.35">
      <c r="A2598" t="str">
        <f t="shared" si="40"/>
        <v>P715GE00C1021</v>
      </c>
      <c r="B2598" t="str">
        <f>IFERROR(VLOOKUP($A2598,'[5]Study Budget Mapping '!$O$2:$P$532,2,0),"TBA")</f>
        <v>TBA</v>
      </c>
      <c r="D2598" s="2" t="s">
        <v>466</v>
      </c>
      <c r="E2598" s="2" t="s">
        <v>17</v>
      </c>
      <c r="F2598" s="3">
        <v>0</v>
      </c>
      <c r="G2598" s="3">
        <v>260000</v>
      </c>
      <c r="H2598" s="4"/>
      <c r="I2598" s="4"/>
      <c r="J2598" s="4"/>
      <c r="K2598" s="4"/>
      <c r="L2598" s="4"/>
      <c r="M2598" s="4"/>
    </row>
    <row r="2599" spans="1:13" ht="15" customHeight="1" x14ac:dyDescent="0.35">
      <c r="A2599" t="str">
        <f t="shared" si="40"/>
        <v>P715GE00C1021</v>
      </c>
      <c r="B2599" t="str">
        <f>IFERROR(VLOOKUP($A2599,'[5]Study Budget Mapping '!$O$2:$P$532,2,0),"TBA")</f>
        <v>TBA</v>
      </c>
      <c r="D2599" s="2" t="s">
        <v>466</v>
      </c>
      <c r="E2599" s="2" t="s">
        <v>24</v>
      </c>
      <c r="F2599" s="3">
        <v>60000</v>
      </c>
      <c r="G2599" s="3">
        <v>60000</v>
      </c>
      <c r="H2599" s="4"/>
      <c r="I2599" s="4"/>
      <c r="J2599" s="4"/>
      <c r="K2599" s="4"/>
      <c r="L2599" s="4"/>
      <c r="M2599" s="4"/>
    </row>
    <row r="2600" spans="1:13" ht="15" customHeight="1" x14ac:dyDescent="0.35">
      <c r="A2600" t="str">
        <f t="shared" si="40"/>
        <v>P715HE08C2431</v>
      </c>
      <c r="B2600" t="str">
        <f>IFERROR(VLOOKUP($A2600,'[5]Study Budget Mapping '!$O$2:$P$532,2,0),"TBA")</f>
        <v>TBA</v>
      </c>
      <c r="D2600" s="2" t="s">
        <v>467</v>
      </c>
      <c r="E2600" s="2" t="s">
        <v>13</v>
      </c>
      <c r="F2600" s="3">
        <v>3000000</v>
      </c>
      <c r="G2600" s="3">
        <v>3000000</v>
      </c>
      <c r="H2600" s="4"/>
      <c r="I2600" s="4"/>
      <c r="J2600" s="4"/>
      <c r="K2600" s="4"/>
      <c r="L2600" s="4"/>
      <c r="M2600" s="4"/>
    </row>
    <row r="2601" spans="1:13" ht="15" customHeight="1" x14ac:dyDescent="0.35">
      <c r="A2601" t="str">
        <f t="shared" si="40"/>
        <v>P715HE08C2431</v>
      </c>
      <c r="B2601" t="str">
        <f>IFERROR(VLOOKUP($A2601,'[5]Study Budget Mapping '!$O$2:$P$532,2,0),"TBA")</f>
        <v>TBA</v>
      </c>
      <c r="D2601" s="2" t="s">
        <v>467</v>
      </c>
      <c r="E2601" s="2" t="s">
        <v>14</v>
      </c>
      <c r="F2601" s="3">
        <v>470000</v>
      </c>
      <c r="G2601" s="3">
        <v>470000</v>
      </c>
      <c r="H2601" s="4"/>
      <c r="I2601" s="4"/>
      <c r="J2601" s="4"/>
      <c r="K2601" s="4"/>
      <c r="L2601" s="4"/>
      <c r="M2601" s="4"/>
    </row>
    <row r="2602" spans="1:13" ht="15" customHeight="1" x14ac:dyDescent="0.35">
      <c r="A2602" t="str">
        <f t="shared" si="40"/>
        <v>P715HE08C2431</v>
      </c>
      <c r="B2602" t="str">
        <f>IFERROR(VLOOKUP($A2602,'[5]Study Budget Mapping '!$O$2:$P$532,2,0),"TBA")</f>
        <v>TBA</v>
      </c>
      <c r="D2602" s="2" t="s">
        <v>467</v>
      </c>
      <c r="E2602" s="2" t="s">
        <v>19</v>
      </c>
      <c r="F2602" s="3">
        <v>460000</v>
      </c>
      <c r="G2602" s="3">
        <v>460000</v>
      </c>
      <c r="H2602" s="4"/>
      <c r="I2602" s="4"/>
      <c r="J2602" s="4"/>
      <c r="K2602" s="4"/>
      <c r="L2602" s="4"/>
      <c r="M2602" s="4"/>
    </row>
    <row r="2603" spans="1:13" ht="15" customHeight="1" x14ac:dyDescent="0.35">
      <c r="A2603" t="str">
        <f t="shared" si="40"/>
        <v>P715HE08C2431</v>
      </c>
      <c r="B2603" t="str">
        <f>IFERROR(VLOOKUP($A2603,'[5]Study Budget Mapping '!$O$2:$P$532,2,0),"TBA")</f>
        <v>TBA</v>
      </c>
      <c r="D2603" s="2" t="s">
        <v>467</v>
      </c>
      <c r="E2603" s="2" t="s">
        <v>20</v>
      </c>
      <c r="F2603" s="3">
        <v>975000</v>
      </c>
      <c r="G2603" s="3">
        <v>975000</v>
      </c>
      <c r="H2603" s="4"/>
      <c r="I2603" s="4"/>
      <c r="J2603" s="4"/>
      <c r="K2603" s="4"/>
      <c r="L2603" s="4"/>
      <c r="M2603" s="4"/>
    </row>
    <row r="2604" spans="1:13" ht="15" customHeight="1" x14ac:dyDescent="0.35">
      <c r="A2604" t="str">
        <f t="shared" si="40"/>
        <v>P715HE08C2431</v>
      </c>
      <c r="B2604" t="str">
        <f>IFERROR(VLOOKUP($A2604,'[5]Study Budget Mapping '!$O$2:$P$532,2,0),"TBA")</f>
        <v>TBA</v>
      </c>
      <c r="D2604" s="2" t="s">
        <v>467</v>
      </c>
      <c r="E2604" s="2" t="s">
        <v>21</v>
      </c>
      <c r="F2604" s="3">
        <v>20000</v>
      </c>
      <c r="G2604" s="3">
        <v>20000</v>
      </c>
      <c r="H2604" s="4"/>
      <c r="I2604" s="4"/>
      <c r="J2604" s="4"/>
      <c r="K2604" s="4"/>
      <c r="L2604" s="4"/>
      <c r="M2604" s="4"/>
    </row>
    <row r="2605" spans="1:13" ht="15" customHeight="1" x14ac:dyDescent="0.35">
      <c r="A2605" t="str">
        <f t="shared" si="40"/>
        <v>P715HE08C2431</v>
      </c>
      <c r="B2605" t="str">
        <f>IFERROR(VLOOKUP($A2605,'[5]Study Budget Mapping '!$O$2:$P$532,2,0),"TBA")</f>
        <v>TBA</v>
      </c>
      <c r="D2605" s="2" t="s">
        <v>467</v>
      </c>
      <c r="E2605" s="2" t="s">
        <v>15</v>
      </c>
      <c r="F2605" s="3">
        <v>2190000</v>
      </c>
      <c r="G2605" s="3">
        <v>2190000</v>
      </c>
      <c r="H2605" s="4"/>
      <c r="I2605" s="4"/>
      <c r="J2605" s="4"/>
      <c r="K2605" s="4"/>
      <c r="L2605" s="4"/>
      <c r="M2605" s="4"/>
    </row>
    <row r="2606" spans="1:13" ht="15" customHeight="1" x14ac:dyDescent="0.35">
      <c r="A2606" t="str">
        <f t="shared" si="40"/>
        <v>P715HE08C2431</v>
      </c>
      <c r="B2606" t="str">
        <f>IFERROR(VLOOKUP($A2606,'[5]Study Budget Mapping '!$O$2:$P$532,2,0),"TBA")</f>
        <v>TBA</v>
      </c>
      <c r="D2606" s="2" t="s">
        <v>467</v>
      </c>
      <c r="E2606" s="2" t="s">
        <v>22</v>
      </c>
      <c r="F2606" s="3">
        <v>930000</v>
      </c>
      <c r="G2606" s="3">
        <v>930000</v>
      </c>
      <c r="H2606" s="4"/>
      <c r="I2606" s="4"/>
      <c r="J2606" s="4"/>
      <c r="K2606" s="4"/>
      <c r="L2606" s="4"/>
      <c r="M2606" s="4"/>
    </row>
    <row r="2607" spans="1:13" ht="15" customHeight="1" x14ac:dyDescent="0.35">
      <c r="A2607" t="str">
        <f t="shared" si="40"/>
        <v>P715HE08C2431</v>
      </c>
      <c r="B2607" t="str">
        <f>IFERROR(VLOOKUP($A2607,'[5]Study Budget Mapping '!$O$2:$P$532,2,0),"TBA")</f>
        <v>TBA</v>
      </c>
      <c r="D2607" s="2" t="s">
        <v>467</v>
      </c>
      <c r="E2607" s="2" t="s">
        <v>16</v>
      </c>
      <c r="F2607" s="3">
        <v>525000</v>
      </c>
      <c r="G2607" s="3">
        <v>525000</v>
      </c>
      <c r="H2607" s="4"/>
      <c r="I2607" s="4"/>
      <c r="J2607" s="4"/>
      <c r="K2607" s="4"/>
      <c r="L2607" s="4"/>
      <c r="M2607" s="4"/>
    </row>
    <row r="2608" spans="1:13" ht="15" customHeight="1" x14ac:dyDescent="0.35">
      <c r="A2608" t="str">
        <f t="shared" si="40"/>
        <v>P715HE08C2431</v>
      </c>
      <c r="B2608" t="str">
        <f>IFERROR(VLOOKUP($A2608,'[5]Study Budget Mapping '!$O$2:$P$532,2,0),"TBA")</f>
        <v>TBA</v>
      </c>
      <c r="D2608" s="2" t="s">
        <v>467</v>
      </c>
      <c r="E2608" s="2" t="s">
        <v>17</v>
      </c>
      <c r="F2608" s="3">
        <v>240000</v>
      </c>
      <c r="G2608" s="3">
        <v>240000</v>
      </c>
      <c r="H2608" s="4"/>
      <c r="I2608" s="4"/>
      <c r="J2608" s="4"/>
      <c r="K2608" s="4"/>
      <c r="L2608" s="4"/>
      <c r="M2608" s="4"/>
    </row>
    <row r="2609" spans="1:13" ht="15" customHeight="1" x14ac:dyDescent="0.35">
      <c r="A2609" t="str">
        <f t="shared" si="40"/>
        <v>P715HE08C2431</v>
      </c>
      <c r="B2609" t="str">
        <f>IFERROR(VLOOKUP($A2609,'[5]Study Budget Mapping '!$O$2:$P$532,2,0),"TBA")</f>
        <v>TBA</v>
      </c>
      <c r="D2609" s="2" t="s">
        <v>467</v>
      </c>
      <c r="E2609" s="2" t="s">
        <v>24</v>
      </c>
      <c r="F2609" s="3">
        <v>370000</v>
      </c>
      <c r="G2609" s="3">
        <v>370000</v>
      </c>
      <c r="H2609" s="4"/>
      <c r="I2609" s="4"/>
      <c r="J2609" s="4"/>
      <c r="K2609" s="4"/>
      <c r="L2609" s="4"/>
      <c r="M2609" s="4"/>
    </row>
    <row r="2610" spans="1:13" ht="15" customHeight="1" x14ac:dyDescent="0.35">
      <c r="A2610" t="str">
        <f t="shared" si="40"/>
        <v>P715HE08C2431</v>
      </c>
      <c r="B2610" t="str">
        <f>IFERROR(VLOOKUP($A2610,'[5]Study Budget Mapping '!$O$2:$P$532,2,0),"TBA")</f>
        <v>TBA</v>
      </c>
      <c r="D2610" s="2" t="s">
        <v>467</v>
      </c>
      <c r="E2610" s="2" t="s">
        <v>32</v>
      </c>
      <c r="F2610" s="3">
        <v>685000</v>
      </c>
      <c r="G2610" s="3">
        <v>685000</v>
      </c>
      <c r="H2610" s="4"/>
      <c r="I2610" s="4"/>
      <c r="J2610" s="4"/>
      <c r="K2610" s="4"/>
      <c r="L2610" s="4"/>
      <c r="M2610" s="4"/>
    </row>
    <row r="2611" spans="1:13" ht="15" customHeight="1" x14ac:dyDescent="0.35">
      <c r="A2611" t="str">
        <f t="shared" si="40"/>
        <v>P715HE08C2431</v>
      </c>
      <c r="B2611" t="str">
        <f>IFERROR(VLOOKUP($A2611,'[5]Study Budget Mapping '!$O$2:$P$532,2,0),"TBA")</f>
        <v>TBA</v>
      </c>
      <c r="D2611" s="2" t="s">
        <v>467</v>
      </c>
      <c r="E2611" s="2" t="s">
        <v>274</v>
      </c>
      <c r="F2611" s="3">
        <v>175000</v>
      </c>
      <c r="G2611" s="3">
        <v>175000</v>
      </c>
      <c r="H2611" s="4"/>
      <c r="I2611" s="4"/>
      <c r="J2611" s="4"/>
      <c r="K2611" s="4"/>
      <c r="L2611" s="4"/>
      <c r="M2611" s="4"/>
    </row>
    <row r="2612" spans="1:13" ht="15" customHeight="1" x14ac:dyDescent="0.35">
      <c r="A2612" t="str">
        <f t="shared" si="40"/>
        <v>P715HE08C3131</v>
      </c>
      <c r="B2612" t="str">
        <f>IFERROR(VLOOKUP($A2612,'[5]Study Budget Mapping '!$O$2:$P$532,2,0),"TBA")</f>
        <v>TBA</v>
      </c>
      <c r="D2612" s="2" t="s">
        <v>468</v>
      </c>
      <c r="E2612" s="2" t="s">
        <v>13</v>
      </c>
      <c r="F2612" s="3">
        <v>48640000</v>
      </c>
      <c r="G2612" s="3">
        <v>48640000</v>
      </c>
      <c r="H2612" s="4"/>
      <c r="I2612" s="4"/>
      <c r="J2612" s="4"/>
      <c r="K2612" s="4"/>
      <c r="L2612" s="4"/>
      <c r="M2612" s="4"/>
    </row>
    <row r="2613" spans="1:13" ht="15" customHeight="1" x14ac:dyDescent="0.35">
      <c r="A2613" t="str">
        <f t="shared" si="40"/>
        <v>P715HE08C3131</v>
      </c>
      <c r="B2613" t="str">
        <f>IFERROR(VLOOKUP($A2613,'[5]Study Budget Mapping '!$O$2:$P$532,2,0),"TBA")</f>
        <v>TBA</v>
      </c>
      <c r="D2613" s="2" t="s">
        <v>468</v>
      </c>
      <c r="E2613" s="2" t="s">
        <v>14</v>
      </c>
      <c r="F2613" s="3">
        <v>3570000</v>
      </c>
      <c r="G2613" s="3">
        <v>3570000</v>
      </c>
      <c r="H2613" s="4"/>
      <c r="I2613" s="4"/>
      <c r="J2613" s="4"/>
      <c r="K2613" s="4"/>
      <c r="L2613" s="4"/>
      <c r="M2613" s="4"/>
    </row>
    <row r="2614" spans="1:13" ht="15" customHeight="1" x14ac:dyDescent="0.35">
      <c r="A2614" t="str">
        <f t="shared" si="40"/>
        <v>P715HE08C3131</v>
      </c>
      <c r="B2614" t="str">
        <f>IFERROR(VLOOKUP($A2614,'[5]Study Budget Mapping '!$O$2:$P$532,2,0),"TBA")</f>
        <v>TBA</v>
      </c>
      <c r="D2614" s="2" t="s">
        <v>468</v>
      </c>
      <c r="E2614" s="2" t="s">
        <v>19</v>
      </c>
      <c r="F2614" s="3">
        <v>580000</v>
      </c>
      <c r="G2614" s="3">
        <v>580000</v>
      </c>
      <c r="H2614" s="4"/>
      <c r="I2614" s="4"/>
      <c r="J2614" s="4"/>
      <c r="K2614" s="4"/>
      <c r="L2614" s="4"/>
      <c r="M2614" s="4"/>
    </row>
    <row r="2615" spans="1:13" ht="15" customHeight="1" x14ac:dyDescent="0.35">
      <c r="A2615" t="str">
        <f t="shared" si="40"/>
        <v>P715HE08C3131</v>
      </c>
      <c r="B2615" t="str">
        <f>IFERROR(VLOOKUP($A2615,'[5]Study Budget Mapping '!$O$2:$P$532,2,0),"TBA")</f>
        <v>TBA</v>
      </c>
      <c r="D2615" s="2" t="s">
        <v>468</v>
      </c>
      <c r="E2615" s="2" t="s">
        <v>15</v>
      </c>
      <c r="F2615" s="3">
        <v>26480000</v>
      </c>
      <c r="G2615" s="3">
        <v>26480000</v>
      </c>
      <c r="H2615" s="4"/>
      <c r="I2615" s="4"/>
      <c r="J2615" s="4"/>
      <c r="K2615" s="4"/>
      <c r="L2615" s="4"/>
      <c r="M2615" s="4"/>
    </row>
    <row r="2616" spans="1:13" ht="15" customHeight="1" x14ac:dyDescent="0.35">
      <c r="A2616" t="str">
        <f t="shared" si="40"/>
        <v>P715HE08C3131</v>
      </c>
      <c r="B2616" t="str">
        <f>IFERROR(VLOOKUP($A2616,'[5]Study Budget Mapping '!$O$2:$P$532,2,0),"TBA")</f>
        <v>TBA</v>
      </c>
      <c r="D2616" s="2" t="s">
        <v>468</v>
      </c>
      <c r="E2616" s="2" t="s">
        <v>22</v>
      </c>
      <c r="F2616" s="3">
        <v>2130000</v>
      </c>
      <c r="G2616" s="3">
        <v>2130000</v>
      </c>
      <c r="H2616" s="4"/>
      <c r="I2616" s="4"/>
      <c r="J2616" s="4"/>
      <c r="K2616" s="4"/>
      <c r="L2616" s="4"/>
      <c r="M2616" s="4"/>
    </row>
    <row r="2617" spans="1:13" ht="15" customHeight="1" x14ac:dyDescent="0.35">
      <c r="A2617" t="str">
        <f t="shared" si="40"/>
        <v>P715HE08C3131</v>
      </c>
      <c r="B2617" t="str">
        <f>IFERROR(VLOOKUP($A2617,'[5]Study Budget Mapping '!$O$2:$P$532,2,0),"TBA")</f>
        <v>TBA</v>
      </c>
      <c r="D2617" s="2" t="s">
        <v>468</v>
      </c>
      <c r="E2617" s="2" t="s">
        <v>16</v>
      </c>
      <c r="F2617" s="3">
        <v>6885000</v>
      </c>
      <c r="G2617" s="3">
        <v>6885000</v>
      </c>
      <c r="H2617" s="4"/>
      <c r="I2617" s="4"/>
      <c r="J2617" s="4"/>
      <c r="K2617" s="4"/>
      <c r="L2617" s="4"/>
      <c r="M2617" s="4"/>
    </row>
    <row r="2618" spans="1:13" ht="15" customHeight="1" x14ac:dyDescent="0.35">
      <c r="A2618" t="str">
        <f t="shared" si="40"/>
        <v>P715HE08C3131</v>
      </c>
      <c r="B2618" t="str">
        <f>IFERROR(VLOOKUP($A2618,'[5]Study Budget Mapping '!$O$2:$P$532,2,0),"TBA")</f>
        <v>TBA</v>
      </c>
      <c r="D2618" s="2" t="s">
        <v>468</v>
      </c>
      <c r="E2618" s="2" t="s">
        <v>17</v>
      </c>
      <c r="F2618" s="3">
        <v>470000</v>
      </c>
      <c r="G2618" s="3">
        <v>470000</v>
      </c>
      <c r="H2618" s="4"/>
      <c r="I2618" s="4"/>
      <c r="J2618" s="4"/>
      <c r="K2618" s="4"/>
      <c r="L2618" s="4"/>
      <c r="M2618" s="4"/>
    </row>
    <row r="2619" spans="1:13" ht="15" customHeight="1" x14ac:dyDescent="0.35">
      <c r="A2619" t="str">
        <f t="shared" si="40"/>
        <v>P715HE08C3131</v>
      </c>
      <c r="B2619" t="str">
        <f>IFERROR(VLOOKUP($A2619,'[5]Study Budget Mapping '!$O$2:$P$532,2,0),"TBA")</f>
        <v>TBA</v>
      </c>
      <c r="D2619" s="2" t="s">
        <v>468</v>
      </c>
      <c r="E2619" s="2" t="s">
        <v>23</v>
      </c>
      <c r="F2619" s="3">
        <v>1090000</v>
      </c>
      <c r="G2619" s="3">
        <v>1090000</v>
      </c>
      <c r="H2619" s="4"/>
      <c r="I2619" s="4"/>
      <c r="J2619" s="4"/>
      <c r="K2619" s="4"/>
      <c r="L2619" s="4"/>
      <c r="M2619" s="4"/>
    </row>
    <row r="2620" spans="1:13" ht="15" customHeight="1" x14ac:dyDescent="0.35">
      <c r="A2620" t="str">
        <f t="shared" si="40"/>
        <v>P715HE08C3131</v>
      </c>
      <c r="B2620" t="str">
        <f>IFERROR(VLOOKUP($A2620,'[5]Study Budget Mapping '!$O$2:$P$532,2,0),"TBA")</f>
        <v>TBA</v>
      </c>
      <c r="D2620" s="2" t="s">
        <v>468</v>
      </c>
      <c r="E2620" s="2" t="s">
        <v>24</v>
      </c>
      <c r="F2620" s="3">
        <v>5280000</v>
      </c>
      <c r="G2620" s="3">
        <v>5280000</v>
      </c>
      <c r="H2620" s="4"/>
      <c r="I2620" s="4"/>
      <c r="J2620" s="4"/>
      <c r="K2620" s="4"/>
      <c r="L2620" s="4"/>
      <c r="M2620" s="4"/>
    </row>
    <row r="2621" spans="1:13" ht="15" customHeight="1" x14ac:dyDescent="0.35">
      <c r="A2621" t="str">
        <f t="shared" si="40"/>
        <v>P715HE08C3131</v>
      </c>
      <c r="B2621" t="str">
        <f>IFERROR(VLOOKUP($A2621,'[5]Study Budget Mapping '!$O$2:$P$532,2,0),"TBA")</f>
        <v>TBA</v>
      </c>
      <c r="D2621" s="2" t="s">
        <v>468</v>
      </c>
      <c r="E2621" s="2" t="s">
        <v>32</v>
      </c>
      <c r="F2621" s="3">
        <v>420000</v>
      </c>
      <c r="G2621" s="3">
        <v>420000</v>
      </c>
      <c r="H2621" s="4"/>
      <c r="I2621" s="4"/>
      <c r="J2621" s="4"/>
      <c r="K2621" s="4"/>
      <c r="L2621" s="4"/>
      <c r="M2621" s="4"/>
    </row>
    <row r="2622" spans="1:13" ht="15" customHeight="1" x14ac:dyDescent="0.35">
      <c r="A2622" t="str">
        <f t="shared" si="40"/>
        <v>P715HE08C3231</v>
      </c>
      <c r="B2622" t="str">
        <f>IFERROR(VLOOKUP($A2622,'[5]Study Budget Mapping '!$O$2:$P$532,2,0),"TBA")</f>
        <v>TBA</v>
      </c>
      <c r="D2622" s="2" t="s">
        <v>469</v>
      </c>
      <c r="E2622" s="2" t="s">
        <v>15</v>
      </c>
      <c r="F2622" s="3">
        <v>10000000</v>
      </c>
      <c r="G2622" s="3">
        <v>10000000</v>
      </c>
      <c r="H2622" s="4"/>
      <c r="I2622" s="4"/>
      <c r="J2622" s="4"/>
      <c r="K2622" s="4"/>
      <c r="L2622" s="4"/>
      <c r="M2622" s="4"/>
    </row>
    <row r="2623" spans="1:13" ht="15" customHeight="1" x14ac:dyDescent="0.35">
      <c r="A2623" t="str">
        <f t="shared" si="40"/>
        <v>P715HE08C3831</v>
      </c>
      <c r="B2623" t="str">
        <f>IFERROR(VLOOKUP($A2623,'[5]Study Budget Mapping '!$O$2:$P$532,2,0),"TBA")</f>
        <v>TBA</v>
      </c>
      <c r="D2623" s="2" t="s">
        <v>470</v>
      </c>
      <c r="E2623" s="2" t="s">
        <v>13</v>
      </c>
      <c r="F2623" s="3">
        <v>43440000</v>
      </c>
      <c r="G2623" s="3">
        <v>49130000</v>
      </c>
      <c r="H2623" s="4"/>
      <c r="I2623" s="4"/>
      <c r="J2623" s="4"/>
      <c r="K2623" s="4"/>
      <c r="L2623" s="4"/>
      <c r="M2623" s="4"/>
    </row>
    <row r="2624" spans="1:13" ht="15" customHeight="1" x14ac:dyDescent="0.35">
      <c r="A2624" t="str">
        <f t="shared" si="40"/>
        <v>P715HE08C3831</v>
      </c>
      <c r="B2624" t="str">
        <f>IFERROR(VLOOKUP($A2624,'[5]Study Budget Mapping '!$O$2:$P$532,2,0),"TBA")</f>
        <v>TBA</v>
      </c>
      <c r="D2624" s="2" t="s">
        <v>470</v>
      </c>
      <c r="E2624" s="2" t="s">
        <v>14</v>
      </c>
      <c r="F2624" s="3">
        <v>4500000</v>
      </c>
      <c r="G2624" s="3">
        <v>3000000</v>
      </c>
      <c r="H2624" s="4"/>
      <c r="I2624" s="4"/>
      <c r="J2624" s="4"/>
      <c r="K2624" s="4"/>
      <c r="L2624" s="4"/>
      <c r="M2624" s="4"/>
    </row>
    <row r="2625" spans="1:13" ht="15" customHeight="1" x14ac:dyDescent="0.35">
      <c r="A2625" t="str">
        <f t="shared" si="40"/>
        <v>P715HE08C3831</v>
      </c>
      <c r="B2625" t="str">
        <f>IFERROR(VLOOKUP($A2625,'[5]Study Budget Mapping '!$O$2:$P$532,2,0),"TBA")</f>
        <v>TBA</v>
      </c>
      <c r="D2625" s="2" t="s">
        <v>470</v>
      </c>
      <c r="E2625" s="2" t="s">
        <v>19</v>
      </c>
      <c r="F2625" s="3">
        <v>1750000</v>
      </c>
      <c r="G2625" s="3">
        <v>2080000</v>
      </c>
      <c r="H2625" s="4"/>
      <c r="I2625" s="4"/>
      <c r="J2625" s="4"/>
      <c r="K2625" s="4"/>
      <c r="L2625" s="4"/>
      <c r="M2625" s="4"/>
    </row>
    <row r="2626" spans="1:13" ht="15" customHeight="1" x14ac:dyDescent="0.35">
      <c r="A2626" t="str">
        <f t="shared" si="40"/>
        <v>P715HE08C3831</v>
      </c>
      <c r="B2626" t="str">
        <f>IFERROR(VLOOKUP($A2626,'[5]Study Budget Mapping '!$O$2:$P$532,2,0),"TBA")</f>
        <v>TBA</v>
      </c>
      <c r="D2626" s="2" t="s">
        <v>470</v>
      </c>
      <c r="E2626" s="2" t="s">
        <v>20</v>
      </c>
      <c r="F2626" s="3">
        <v>5170000</v>
      </c>
      <c r="G2626" s="3">
        <v>5330000</v>
      </c>
      <c r="H2626" s="4"/>
      <c r="I2626" s="4"/>
      <c r="J2626" s="4"/>
      <c r="K2626" s="4"/>
      <c r="L2626" s="4"/>
      <c r="M2626" s="4"/>
    </row>
    <row r="2627" spans="1:13" ht="15" customHeight="1" x14ac:dyDescent="0.35">
      <c r="A2627" t="str">
        <f t="shared" ref="A2627:A2690" si="41">TRIM(_xlfn.TEXTBEFORE(D2627,"-",1))</f>
        <v>P715HE08C3831</v>
      </c>
      <c r="B2627" t="str">
        <f>IFERROR(VLOOKUP($A2627,'[5]Study Budget Mapping '!$O$2:$P$532,2,0),"TBA")</f>
        <v>TBA</v>
      </c>
      <c r="D2627" s="2" t="s">
        <v>470</v>
      </c>
      <c r="E2627" s="2" t="s">
        <v>31</v>
      </c>
      <c r="F2627" s="3">
        <v>0</v>
      </c>
      <c r="G2627" s="3">
        <v>530000</v>
      </c>
      <c r="H2627" s="4"/>
      <c r="I2627" s="4"/>
      <c r="J2627" s="4"/>
      <c r="K2627" s="4"/>
      <c r="L2627" s="4"/>
      <c r="M2627" s="4"/>
    </row>
    <row r="2628" spans="1:13" ht="15" customHeight="1" x14ac:dyDescent="0.35">
      <c r="A2628" t="str">
        <f t="shared" si="41"/>
        <v>P715HE08C3831</v>
      </c>
      <c r="B2628" t="str">
        <f>IFERROR(VLOOKUP($A2628,'[5]Study Budget Mapping '!$O$2:$P$532,2,0),"TBA")</f>
        <v>TBA</v>
      </c>
      <c r="D2628" s="2" t="s">
        <v>470</v>
      </c>
      <c r="E2628" s="2" t="s">
        <v>21</v>
      </c>
      <c r="F2628" s="3">
        <v>370000</v>
      </c>
      <c r="G2628" s="3">
        <v>660000</v>
      </c>
      <c r="H2628" s="4"/>
      <c r="I2628" s="4"/>
      <c r="J2628" s="4"/>
      <c r="K2628" s="4"/>
      <c r="L2628" s="4"/>
      <c r="M2628" s="4"/>
    </row>
    <row r="2629" spans="1:13" ht="15" customHeight="1" x14ac:dyDescent="0.35">
      <c r="A2629" t="str">
        <f t="shared" si="41"/>
        <v>P715HE08C3831</v>
      </c>
      <c r="B2629" t="str">
        <f>IFERROR(VLOOKUP($A2629,'[5]Study Budget Mapping '!$O$2:$P$532,2,0),"TBA")</f>
        <v>TBA</v>
      </c>
      <c r="D2629" s="2" t="s">
        <v>470</v>
      </c>
      <c r="E2629" s="2" t="s">
        <v>15</v>
      </c>
      <c r="F2629" s="3">
        <v>8970000</v>
      </c>
      <c r="G2629" s="3">
        <v>7640000</v>
      </c>
      <c r="H2629" s="4"/>
      <c r="I2629" s="4"/>
      <c r="J2629" s="4"/>
      <c r="K2629" s="4"/>
      <c r="L2629" s="4"/>
      <c r="M2629" s="4"/>
    </row>
    <row r="2630" spans="1:13" ht="15" customHeight="1" x14ac:dyDescent="0.35">
      <c r="A2630" t="str">
        <f t="shared" si="41"/>
        <v>P715HE08C3831</v>
      </c>
      <c r="B2630" t="str">
        <f>IFERROR(VLOOKUP($A2630,'[5]Study Budget Mapping '!$O$2:$P$532,2,0),"TBA")</f>
        <v>TBA</v>
      </c>
      <c r="D2630" s="2" t="s">
        <v>470</v>
      </c>
      <c r="E2630" s="2" t="s">
        <v>22</v>
      </c>
      <c r="F2630" s="3">
        <v>1100000</v>
      </c>
      <c r="G2630" s="3">
        <v>1090000</v>
      </c>
      <c r="H2630" s="4"/>
      <c r="I2630" s="4"/>
      <c r="J2630" s="4"/>
      <c r="K2630" s="4"/>
      <c r="L2630" s="4"/>
      <c r="M2630" s="4"/>
    </row>
    <row r="2631" spans="1:13" ht="15" customHeight="1" x14ac:dyDescent="0.35">
      <c r="A2631" t="str">
        <f t="shared" si="41"/>
        <v>P715HE08C3831</v>
      </c>
      <c r="B2631" t="str">
        <f>IFERROR(VLOOKUP($A2631,'[5]Study Budget Mapping '!$O$2:$P$532,2,0),"TBA")</f>
        <v>TBA</v>
      </c>
      <c r="D2631" s="2" t="s">
        <v>470</v>
      </c>
      <c r="E2631" s="2" t="s">
        <v>16</v>
      </c>
      <c r="F2631" s="3">
        <v>2310000</v>
      </c>
      <c r="G2631" s="3">
        <v>2310000</v>
      </c>
      <c r="H2631" s="4"/>
      <c r="I2631" s="4"/>
      <c r="J2631" s="4"/>
      <c r="K2631" s="4"/>
      <c r="L2631" s="4"/>
      <c r="M2631" s="4"/>
    </row>
    <row r="2632" spans="1:13" ht="15" customHeight="1" x14ac:dyDescent="0.35">
      <c r="A2632" t="str">
        <f t="shared" si="41"/>
        <v>P715HE08C3831</v>
      </c>
      <c r="B2632" t="str">
        <f>IFERROR(VLOOKUP($A2632,'[5]Study Budget Mapping '!$O$2:$P$532,2,0),"TBA")</f>
        <v>TBA</v>
      </c>
      <c r="D2632" s="2" t="s">
        <v>470</v>
      </c>
      <c r="E2632" s="2" t="s">
        <v>17</v>
      </c>
      <c r="F2632" s="3">
        <v>350000</v>
      </c>
      <c r="G2632" s="3">
        <v>370000</v>
      </c>
      <c r="H2632" s="4"/>
      <c r="I2632" s="4"/>
      <c r="J2632" s="4"/>
      <c r="K2632" s="4"/>
      <c r="L2632" s="4"/>
      <c r="M2632" s="4"/>
    </row>
    <row r="2633" spans="1:13" ht="15" customHeight="1" x14ac:dyDescent="0.35">
      <c r="A2633" t="str">
        <f t="shared" si="41"/>
        <v>P715HE08C3831</v>
      </c>
      <c r="B2633" t="str">
        <f>IFERROR(VLOOKUP($A2633,'[5]Study Budget Mapping '!$O$2:$P$532,2,0),"TBA")</f>
        <v>TBA</v>
      </c>
      <c r="D2633" s="2" t="s">
        <v>470</v>
      </c>
      <c r="E2633" s="2" t="s">
        <v>23</v>
      </c>
      <c r="F2633" s="3">
        <v>190000</v>
      </c>
      <c r="G2633" s="3">
        <v>190000</v>
      </c>
      <c r="H2633" s="4"/>
      <c r="I2633" s="4"/>
      <c r="J2633" s="4"/>
      <c r="K2633" s="4"/>
      <c r="L2633" s="4"/>
      <c r="M2633" s="4"/>
    </row>
    <row r="2634" spans="1:13" ht="15" customHeight="1" x14ac:dyDescent="0.35">
      <c r="A2634" t="str">
        <f t="shared" si="41"/>
        <v>P715HE08C3831</v>
      </c>
      <c r="B2634" t="str">
        <f>IFERROR(VLOOKUP($A2634,'[5]Study Budget Mapping '!$O$2:$P$532,2,0),"TBA")</f>
        <v>TBA</v>
      </c>
      <c r="D2634" s="2" t="s">
        <v>470</v>
      </c>
      <c r="E2634" s="2" t="s">
        <v>24</v>
      </c>
      <c r="F2634" s="3">
        <v>1000000</v>
      </c>
      <c r="G2634" s="3">
        <v>750000</v>
      </c>
      <c r="H2634" s="4"/>
      <c r="I2634" s="4"/>
      <c r="J2634" s="4"/>
      <c r="K2634" s="4"/>
      <c r="L2634" s="4"/>
      <c r="M2634" s="4"/>
    </row>
    <row r="2635" spans="1:13" ht="15" customHeight="1" x14ac:dyDescent="0.35">
      <c r="A2635" t="str">
        <f t="shared" si="41"/>
        <v>P715HE08C3831</v>
      </c>
      <c r="B2635" t="str">
        <f>IFERROR(VLOOKUP($A2635,'[5]Study Budget Mapping '!$O$2:$P$532,2,0),"TBA")</f>
        <v>TBA</v>
      </c>
      <c r="D2635" s="2" t="s">
        <v>470</v>
      </c>
      <c r="E2635" s="2" t="s">
        <v>32</v>
      </c>
      <c r="F2635" s="3">
        <v>500000</v>
      </c>
      <c r="G2635" s="3">
        <v>570000</v>
      </c>
      <c r="H2635" s="4"/>
      <c r="I2635" s="4"/>
      <c r="J2635" s="4"/>
      <c r="K2635" s="4"/>
      <c r="L2635" s="4"/>
      <c r="M2635" s="4"/>
    </row>
    <row r="2636" spans="1:13" ht="15" customHeight="1" x14ac:dyDescent="0.35">
      <c r="A2636" t="str">
        <f t="shared" si="41"/>
        <v>P715HE08C3832</v>
      </c>
      <c r="B2636" t="str">
        <f>IFERROR(VLOOKUP($A2636,'[5]Study Budget Mapping '!$O$2:$P$532,2,0),"TBA")</f>
        <v>TBA</v>
      </c>
      <c r="D2636" s="2" t="s">
        <v>471</v>
      </c>
      <c r="E2636" s="2" t="s">
        <v>13</v>
      </c>
      <c r="F2636" s="3">
        <v>47140000</v>
      </c>
      <c r="G2636" s="3">
        <v>47140000</v>
      </c>
      <c r="H2636" s="4"/>
      <c r="I2636" s="4"/>
      <c r="J2636" s="4"/>
      <c r="K2636" s="4"/>
      <c r="L2636" s="4"/>
      <c r="M2636" s="4"/>
    </row>
    <row r="2637" spans="1:13" ht="15" customHeight="1" x14ac:dyDescent="0.35">
      <c r="A2637" t="str">
        <f t="shared" si="41"/>
        <v>P715HE08C3832</v>
      </c>
      <c r="B2637" t="str">
        <f>IFERROR(VLOOKUP($A2637,'[5]Study Budget Mapping '!$O$2:$P$532,2,0),"TBA")</f>
        <v>TBA</v>
      </c>
      <c r="D2637" s="2" t="s">
        <v>471</v>
      </c>
      <c r="E2637" s="2" t="s">
        <v>14</v>
      </c>
      <c r="F2637" s="3">
        <v>2060000</v>
      </c>
      <c r="G2637" s="3">
        <v>2060000</v>
      </c>
      <c r="H2637" s="4"/>
      <c r="I2637" s="4"/>
      <c r="J2637" s="4"/>
      <c r="K2637" s="4"/>
      <c r="L2637" s="4"/>
      <c r="M2637" s="4"/>
    </row>
    <row r="2638" spans="1:13" ht="15" customHeight="1" x14ac:dyDescent="0.35">
      <c r="A2638" t="str">
        <f t="shared" si="41"/>
        <v>P715HE08C3832</v>
      </c>
      <c r="B2638" t="str">
        <f>IFERROR(VLOOKUP($A2638,'[5]Study Budget Mapping '!$O$2:$P$532,2,0),"TBA")</f>
        <v>TBA</v>
      </c>
      <c r="D2638" s="2" t="s">
        <v>471</v>
      </c>
      <c r="E2638" s="2" t="s">
        <v>19</v>
      </c>
      <c r="F2638" s="3">
        <v>2430000</v>
      </c>
      <c r="G2638" s="3">
        <v>2430000</v>
      </c>
      <c r="H2638" s="4"/>
      <c r="I2638" s="4"/>
      <c r="J2638" s="4"/>
      <c r="K2638" s="4"/>
      <c r="L2638" s="4"/>
      <c r="M2638" s="4"/>
    </row>
    <row r="2639" spans="1:13" ht="15" customHeight="1" x14ac:dyDescent="0.35">
      <c r="A2639" t="str">
        <f t="shared" si="41"/>
        <v>P715HE08C3832</v>
      </c>
      <c r="B2639" t="str">
        <f>IFERROR(VLOOKUP($A2639,'[5]Study Budget Mapping '!$O$2:$P$532,2,0),"TBA")</f>
        <v>TBA</v>
      </c>
      <c r="D2639" s="2" t="s">
        <v>471</v>
      </c>
      <c r="E2639" s="2" t="s">
        <v>20</v>
      </c>
      <c r="F2639" s="3">
        <v>1350000</v>
      </c>
      <c r="G2639" s="3">
        <v>1350000</v>
      </c>
      <c r="H2639" s="4"/>
      <c r="I2639" s="4"/>
      <c r="J2639" s="4"/>
      <c r="K2639" s="4"/>
      <c r="L2639" s="4"/>
      <c r="M2639" s="4"/>
    </row>
    <row r="2640" spans="1:13" ht="15" customHeight="1" x14ac:dyDescent="0.35">
      <c r="A2640" t="str">
        <f t="shared" si="41"/>
        <v>P715HE08C3832</v>
      </c>
      <c r="B2640" t="str">
        <f>IFERROR(VLOOKUP($A2640,'[5]Study Budget Mapping '!$O$2:$P$532,2,0),"TBA")</f>
        <v>TBA</v>
      </c>
      <c r="D2640" s="2" t="s">
        <v>471</v>
      </c>
      <c r="E2640" s="2" t="s">
        <v>21</v>
      </c>
      <c r="F2640" s="3">
        <v>10000</v>
      </c>
      <c r="G2640" s="3">
        <v>10000</v>
      </c>
      <c r="H2640" s="4"/>
      <c r="I2640" s="4"/>
      <c r="J2640" s="4"/>
      <c r="K2640" s="4"/>
      <c r="L2640" s="4"/>
      <c r="M2640" s="4"/>
    </row>
    <row r="2641" spans="1:13" ht="15" customHeight="1" x14ac:dyDescent="0.35">
      <c r="A2641" t="str">
        <f t="shared" si="41"/>
        <v>P715HE08C3832</v>
      </c>
      <c r="B2641" t="str">
        <f>IFERROR(VLOOKUP($A2641,'[5]Study Budget Mapping '!$O$2:$P$532,2,0),"TBA")</f>
        <v>TBA</v>
      </c>
      <c r="D2641" s="2" t="s">
        <v>471</v>
      </c>
      <c r="E2641" s="2" t="s">
        <v>15</v>
      </c>
      <c r="F2641" s="3">
        <v>9030000</v>
      </c>
      <c r="G2641" s="3">
        <v>9030000</v>
      </c>
      <c r="H2641" s="4"/>
      <c r="I2641" s="4"/>
      <c r="J2641" s="4"/>
      <c r="K2641" s="4"/>
      <c r="L2641" s="4"/>
      <c r="M2641" s="4"/>
    </row>
    <row r="2642" spans="1:13" ht="15" customHeight="1" x14ac:dyDescent="0.35">
      <c r="A2642" t="str">
        <f t="shared" si="41"/>
        <v>P715HE08C3832</v>
      </c>
      <c r="B2642" t="str">
        <f>IFERROR(VLOOKUP($A2642,'[5]Study Budget Mapping '!$O$2:$P$532,2,0),"TBA")</f>
        <v>TBA</v>
      </c>
      <c r="D2642" s="2" t="s">
        <v>471</v>
      </c>
      <c r="E2642" s="2" t="s">
        <v>22</v>
      </c>
      <c r="F2642" s="3">
        <v>1260000</v>
      </c>
      <c r="G2642" s="3">
        <v>1260000</v>
      </c>
      <c r="H2642" s="4"/>
      <c r="I2642" s="4"/>
      <c r="J2642" s="4"/>
      <c r="K2642" s="4"/>
      <c r="L2642" s="4"/>
      <c r="M2642" s="4"/>
    </row>
    <row r="2643" spans="1:13" ht="15" customHeight="1" x14ac:dyDescent="0.35">
      <c r="A2643" t="str">
        <f t="shared" si="41"/>
        <v>P715HE08C3832</v>
      </c>
      <c r="B2643" t="str">
        <f>IFERROR(VLOOKUP($A2643,'[5]Study Budget Mapping '!$O$2:$P$532,2,0),"TBA")</f>
        <v>TBA</v>
      </c>
      <c r="D2643" s="2" t="s">
        <v>471</v>
      </c>
      <c r="E2643" s="2" t="s">
        <v>16</v>
      </c>
      <c r="F2643" s="3">
        <v>2770000</v>
      </c>
      <c r="G2643" s="3">
        <v>2770000</v>
      </c>
      <c r="H2643" s="4"/>
      <c r="I2643" s="4"/>
      <c r="J2643" s="4"/>
      <c r="K2643" s="4"/>
      <c r="L2643" s="4"/>
      <c r="M2643" s="4"/>
    </row>
    <row r="2644" spans="1:13" ht="15" customHeight="1" x14ac:dyDescent="0.35">
      <c r="A2644" t="str">
        <f t="shared" si="41"/>
        <v>P715HE08C3832</v>
      </c>
      <c r="B2644" t="str">
        <f>IFERROR(VLOOKUP($A2644,'[5]Study Budget Mapping '!$O$2:$P$532,2,0),"TBA")</f>
        <v>TBA</v>
      </c>
      <c r="D2644" s="2" t="s">
        <v>471</v>
      </c>
      <c r="E2644" s="2" t="s">
        <v>17</v>
      </c>
      <c r="F2644" s="3">
        <v>280000</v>
      </c>
      <c r="G2644" s="3">
        <v>280000</v>
      </c>
      <c r="H2644" s="4"/>
      <c r="I2644" s="4"/>
      <c r="J2644" s="4"/>
      <c r="K2644" s="4"/>
      <c r="L2644" s="4"/>
      <c r="M2644" s="4"/>
    </row>
    <row r="2645" spans="1:13" ht="15" customHeight="1" x14ac:dyDescent="0.35">
      <c r="A2645" t="str">
        <f t="shared" si="41"/>
        <v>P715HE08C3832</v>
      </c>
      <c r="B2645" t="str">
        <f>IFERROR(VLOOKUP($A2645,'[5]Study Budget Mapping '!$O$2:$P$532,2,0),"TBA")</f>
        <v>TBA</v>
      </c>
      <c r="D2645" s="2" t="s">
        <v>471</v>
      </c>
      <c r="E2645" s="2" t="s">
        <v>23</v>
      </c>
      <c r="F2645" s="3">
        <v>320000</v>
      </c>
      <c r="G2645" s="3">
        <v>320000</v>
      </c>
      <c r="H2645" s="4"/>
      <c r="I2645" s="4"/>
      <c r="J2645" s="4"/>
      <c r="K2645" s="4"/>
      <c r="L2645" s="4"/>
      <c r="M2645" s="4"/>
    </row>
    <row r="2646" spans="1:13" ht="15" customHeight="1" x14ac:dyDescent="0.35">
      <c r="A2646" t="str">
        <f t="shared" si="41"/>
        <v>P715HE08C3832</v>
      </c>
      <c r="B2646" t="str">
        <f>IFERROR(VLOOKUP($A2646,'[5]Study Budget Mapping '!$O$2:$P$532,2,0),"TBA")</f>
        <v>TBA</v>
      </c>
      <c r="D2646" s="2" t="s">
        <v>471</v>
      </c>
      <c r="E2646" s="2" t="s">
        <v>24</v>
      </c>
      <c r="F2646" s="3">
        <v>1400000</v>
      </c>
      <c r="G2646" s="3">
        <v>1400000</v>
      </c>
      <c r="H2646" s="4"/>
      <c r="I2646" s="4"/>
      <c r="J2646" s="4"/>
      <c r="K2646" s="4"/>
      <c r="L2646" s="4"/>
      <c r="M2646" s="4"/>
    </row>
    <row r="2647" spans="1:13" ht="15" customHeight="1" x14ac:dyDescent="0.35">
      <c r="A2647" t="str">
        <f t="shared" si="41"/>
        <v>P715HE08C2231</v>
      </c>
      <c r="B2647" t="str">
        <f>IFERROR(VLOOKUP($A2647,'[5]Study Budget Mapping '!$O$2:$P$532,2,0),"TBA")</f>
        <v>TBA</v>
      </c>
      <c r="D2647" s="2" t="s">
        <v>472</v>
      </c>
      <c r="E2647" s="2" t="s">
        <v>13</v>
      </c>
      <c r="F2647" s="3">
        <v>27000000</v>
      </c>
      <c r="G2647" s="3">
        <v>27000000</v>
      </c>
      <c r="H2647" s="4"/>
      <c r="I2647" s="4"/>
      <c r="J2647" s="4"/>
      <c r="K2647" s="4"/>
      <c r="L2647" s="4"/>
      <c r="M2647" s="4"/>
    </row>
    <row r="2648" spans="1:13" ht="15" customHeight="1" x14ac:dyDescent="0.35">
      <c r="A2648" t="str">
        <f t="shared" si="41"/>
        <v>P715HE08C2231</v>
      </c>
      <c r="B2648" t="str">
        <f>IFERROR(VLOOKUP($A2648,'[5]Study Budget Mapping '!$O$2:$P$532,2,0),"TBA")</f>
        <v>TBA</v>
      </c>
      <c r="D2648" s="2" t="s">
        <v>472</v>
      </c>
      <c r="E2648" s="2" t="s">
        <v>14</v>
      </c>
      <c r="F2648" s="3">
        <v>1650000</v>
      </c>
      <c r="G2648" s="3">
        <v>1650000</v>
      </c>
      <c r="H2648" s="4"/>
      <c r="I2648" s="4"/>
      <c r="J2648" s="4"/>
      <c r="K2648" s="4"/>
      <c r="L2648" s="4"/>
      <c r="M2648" s="4"/>
    </row>
    <row r="2649" spans="1:13" ht="15" customHeight="1" x14ac:dyDescent="0.35">
      <c r="A2649" t="str">
        <f t="shared" si="41"/>
        <v>P715HE08C2231</v>
      </c>
      <c r="B2649" t="str">
        <f>IFERROR(VLOOKUP($A2649,'[5]Study Budget Mapping '!$O$2:$P$532,2,0),"TBA")</f>
        <v>TBA</v>
      </c>
      <c r="D2649" s="2" t="s">
        <v>472</v>
      </c>
      <c r="E2649" s="2" t="s">
        <v>21</v>
      </c>
      <c r="F2649" s="3">
        <v>1890000</v>
      </c>
      <c r="G2649" s="3">
        <v>1890000</v>
      </c>
      <c r="H2649" s="4"/>
      <c r="I2649" s="4"/>
      <c r="J2649" s="4"/>
      <c r="K2649" s="4"/>
      <c r="L2649" s="4"/>
      <c r="M2649" s="4"/>
    </row>
    <row r="2650" spans="1:13" ht="15" customHeight="1" x14ac:dyDescent="0.35">
      <c r="A2650" t="str">
        <f t="shared" si="41"/>
        <v>P715HE08C2231</v>
      </c>
      <c r="B2650" t="str">
        <f>IFERROR(VLOOKUP($A2650,'[5]Study Budget Mapping '!$O$2:$P$532,2,0),"TBA")</f>
        <v>TBA</v>
      </c>
      <c r="D2650" s="2" t="s">
        <v>472</v>
      </c>
      <c r="E2650" s="2" t="s">
        <v>15</v>
      </c>
      <c r="F2650" s="3">
        <v>12250000</v>
      </c>
      <c r="G2650" s="3">
        <v>12250000</v>
      </c>
      <c r="H2650" s="4"/>
      <c r="I2650" s="4"/>
      <c r="J2650" s="4"/>
      <c r="K2650" s="4"/>
      <c r="L2650" s="4"/>
      <c r="M2650" s="4"/>
    </row>
    <row r="2651" spans="1:13" ht="15" customHeight="1" x14ac:dyDescent="0.35">
      <c r="A2651" t="str">
        <f t="shared" si="41"/>
        <v>P715HE08C2231</v>
      </c>
      <c r="B2651" t="str">
        <f>IFERROR(VLOOKUP($A2651,'[5]Study Budget Mapping '!$O$2:$P$532,2,0),"TBA")</f>
        <v>TBA</v>
      </c>
      <c r="D2651" s="2" t="s">
        <v>472</v>
      </c>
      <c r="E2651" s="2" t="s">
        <v>22</v>
      </c>
      <c r="F2651" s="3">
        <v>1020000</v>
      </c>
      <c r="G2651" s="3">
        <v>1020000</v>
      </c>
      <c r="H2651" s="4"/>
      <c r="I2651" s="4"/>
      <c r="J2651" s="4"/>
      <c r="K2651" s="4"/>
      <c r="L2651" s="4"/>
      <c r="M2651" s="4"/>
    </row>
    <row r="2652" spans="1:13" ht="15" customHeight="1" x14ac:dyDescent="0.35">
      <c r="A2652" t="str">
        <f t="shared" si="41"/>
        <v>P715HE08C2231</v>
      </c>
      <c r="B2652" t="str">
        <f>IFERROR(VLOOKUP($A2652,'[5]Study Budget Mapping '!$O$2:$P$532,2,0),"TBA")</f>
        <v>TBA</v>
      </c>
      <c r="D2652" s="2" t="s">
        <v>472</v>
      </c>
      <c r="E2652" s="2" t="s">
        <v>16</v>
      </c>
      <c r="F2652" s="3">
        <v>4005000</v>
      </c>
      <c r="G2652" s="3">
        <v>4005000</v>
      </c>
      <c r="H2652" s="4"/>
      <c r="I2652" s="4"/>
      <c r="J2652" s="4"/>
      <c r="K2652" s="4"/>
      <c r="L2652" s="4"/>
      <c r="M2652" s="4"/>
    </row>
    <row r="2653" spans="1:13" ht="15" customHeight="1" x14ac:dyDescent="0.35">
      <c r="A2653" t="str">
        <f t="shared" si="41"/>
        <v>P715HE08C2231</v>
      </c>
      <c r="B2653" t="str">
        <f>IFERROR(VLOOKUP($A2653,'[5]Study Budget Mapping '!$O$2:$P$532,2,0),"TBA")</f>
        <v>TBA</v>
      </c>
      <c r="D2653" s="2" t="s">
        <v>472</v>
      </c>
      <c r="E2653" s="2" t="s">
        <v>17</v>
      </c>
      <c r="F2653" s="3">
        <v>280000</v>
      </c>
      <c r="G2653" s="3">
        <v>280000</v>
      </c>
      <c r="H2653" s="4"/>
      <c r="I2653" s="4"/>
      <c r="J2653" s="4"/>
      <c r="K2653" s="4"/>
      <c r="L2653" s="4"/>
      <c r="M2653" s="4"/>
    </row>
    <row r="2654" spans="1:13" ht="15" customHeight="1" x14ac:dyDescent="0.35">
      <c r="A2654" t="str">
        <f t="shared" si="41"/>
        <v>P715HE08C2231</v>
      </c>
      <c r="B2654" t="str">
        <f>IFERROR(VLOOKUP($A2654,'[5]Study Budget Mapping '!$O$2:$P$532,2,0),"TBA")</f>
        <v>TBA</v>
      </c>
      <c r="D2654" s="2" t="s">
        <v>472</v>
      </c>
      <c r="E2654" s="2" t="s">
        <v>23</v>
      </c>
      <c r="F2654" s="3">
        <v>790000</v>
      </c>
      <c r="G2654" s="3">
        <v>790000</v>
      </c>
      <c r="H2654" s="4"/>
      <c r="I2654" s="4"/>
      <c r="J2654" s="4"/>
      <c r="K2654" s="4"/>
      <c r="L2654" s="4"/>
      <c r="M2654" s="4"/>
    </row>
    <row r="2655" spans="1:13" ht="15" customHeight="1" x14ac:dyDescent="0.35">
      <c r="A2655" t="str">
        <f t="shared" si="41"/>
        <v>P715HE08C2231</v>
      </c>
      <c r="B2655" t="str">
        <f>IFERROR(VLOOKUP($A2655,'[5]Study Budget Mapping '!$O$2:$P$532,2,0),"TBA")</f>
        <v>TBA</v>
      </c>
      <c r="D2655" s="2" t="s">
        <v>472</v>
      </c>
      <c r="E2655" s="2" t="s">
        <v>24</v>
      </c>
      <c r="F2655" s="3">
        <v>1600000</v>
      </c>
      <c r="G2655" s="3">
        <v>1600000</v>
      </c>
      <c r="H2655" s="4"/>
      <c r="I2655" s="4"/>
      <c r="J2655" s="4"/>
      <c r="K2655" s="4"/>
      <c r="L2655" s="4"/>
      <c r="M2655" s="4"/>
    </row>
    <row r="2656" spans="1:13" ht="15" customHeight="1" x14ac:dyDescent="0.35">
      <c r="A2656" t="str">
        <f t="shared" si="41"/>
        <v>P715HE08C3833</v>
      </c>
      <c r="B2656" t="str">
        <f>IFERROR(VLOOKUP($A2656,'[5]Study Budget Mapping '!$O$2:$P$532,2,0),"TBA")</f>
        <v>TBA</v>
      </c>
      <c r="D2656" s="2" t="s">
        <v>473</v>
      </c>
      <c r="E2656" s="2" t="s">
        <v>15</v>
      </c>
      <c r="F2656" s="3">
        <v>25000000</v>
      </c>
      <c r="G2656" s="3">
        <v>25000000</v>
      </c>
      <c r="H2656" s="4"/>
      <c r="I2656" s="4"/>
      <c r="J2656" s="4"/>
      <c r="K2656" s="4"/>
      <c r="L2656" s="4"/>
      <c r="M2656" s="4"/>
    </row>
    <row r="2657" spans="1:13" ht="15" customHeight="1" x14ac:dyDescent="0.35">
      <c r="A2657" t="str">
        <f t="shared" si="41"/>
        <v>P715HE08C3834</v>
      </c>
      <c r="B2657" t="str">
        <f>IFERROR(VLOOKUP($A2657,'[5]Study Budget Mapping '!$O$2:$P$532,2,0),"TBA")</f>
        <v>TBA</v>
      </c>
      <c r="D2657" s="2" t="s">
        <v>474</v>
      </c>
      <c r="E2657" s="2" t="s">
        <v>15</v>
      </c>
      <c r="F2657" s="3">
        <v>10000000</v>
      </c>
      <c r="G2657" s="3">
        <v>10000000</v>
      </c>
      <c r="H2657" s="4"/>
      <c r="I2657" s="4"/>
      <c r="J2657" s="4"/>
      <c r="K2657" s="4"/>
      <c r="L2657" s="4"/>
      <c r="M2657" s="4"/>
    </row>
    <row r="2658" spans="1:13" ht="15" customHeight="1" x14ac:dyDescent="0.35">
      <c r="A2658" t="str">
        <f t="shared" si="41"/>
        <v>P716AD01C1531</v>
      </c>
      <c r="B2658" t="str">
        <f>IFERROR(VLOOKUP($A2658,'[5]Study Budget Mapping '!$O$2:$P$532,2,0),"TBA")</f>
        <v>TBA</v>
      </c>
      <c r="D2658" s="2" t="s">
        <v>475</v>
      </c>
      <c r="E2658" s="2" t="s">
        <v>13</v>
      </c>
      <c r="F2658" s="3">
        <v>1160000</v>
      </c>
      <c r="G2658" s="3">
        <v>4350000</v>
      </c>
      <c r="H2658" s="4"/>
      <c r="I2658" s="4"/>
      <c r="J2658" s="4"/>
      <c r="K2658" s="4"/>
      <c r="L2658" s="4"/>
      <c r="M2658" s="4"/>
    </row>
    <row r="2659" spans="1:13" ht="15" customHeight="1" x14ac:dyDescent="0.35">
      <c r="A2659" t="str">
        <f t="shared" si="41"/>
        <v>P716AD01C1531</v>
      </c>
      <c r="B2659" t="str">
        <f>IFERROR(VLOOKUP($A2659,'[5]Study Budget Mapping '!$O$2:$P$532,2,0),"TBA")</f>
        <v>TBA</v>
      </c>
      <c r="D2659" s="2" t="s">
        <v>475</v>
      </c>
      <c r="E2659" s="2" t="s">
        <v>14</v>
      </c>
      <c r="F2659" s="3">
        <v>560000</v>
      </c>
      <c r="G2659" s="3">
        <v>1930654</v>
      </c>
      <c r="H2659" s="4"/>
      <c r="I2659" s="4"/>
      <c r="J2659" s="4"/>
      <c r="K2659" s="4"/>
      <c r="L2659" s="4"/>
      <c r="M2659" s="4"/>
    </row>
    <row r="2660" spans="1:13" ht="15" customHeight="1" x14ac:dyDescent="0.35">
      <c r="A2660" t="str">
        <f t="shared" si="41"/>
        <v>P716AD01C1531</v>
      </c>
      <c r="B2660" t="str">
        <f>IFERROR(VLOOKUP($A2660,'[5]Study Budget Mapping '!$O$2:$P$532,2,0),"TBA")</f>
        <v>TBA</v>
      </c>
      <c r="D2660" s="2" t="s">
        <v>475</v>
      </c>
      <c r="E2660" s="2" t="s">
        <v>19</v>
      </c>
      <c r="F2660" s="3">
        <v>1918000</v>
      </c>
      <c r="G2660" s="3">
        <v>6209000</v>
      </c>
      <c r="H2660" s="4"/>
      <c r="I2660" s="4"/>
      <c r="J2660" s="4"/>
      <c r="K2660" s="4"/>
      <c r="L2660" s="4"/>
      <c r="M2660" s="4"/>
    </row>
    <row r="2661" spans="1:13" ht="15" customHeight="1" x14ac:dyDescent="0.35">
      <c r="A2661" t="str">
        <f t="shared" si="41"/>
        <v>P716AD01C1531</v>
      </c>
      <c r="B2661" t="str">
        <f>IFERROR(VLOOKUP($A2661,'[5]Study Budget Mapping '!$O$2:$P$532,2,0),"TBA")</f>
        <v>TBA</v>
      </c>
      <c r="D2661" s="2" t="s">
        <v>475</v>
      </c>
      <c r="E2661" s="2" t="s">
        <v>31</v>
      </c>
      <c r="F2661" s="3">
        <v>10000</v>
      </c>
      <c r="G2661" s="3">
        <v>1056000</v>
      </c>
      <c r="H2661" s="4"/>
      <c r="I2661" s="4"/>
      <c r="J2661" s="4"/>
      <c r="K2661" s="4"/>
      <c r="L2661" s="4"/>
      <c r="M2661" s="4"/>
    </row>
    <row r="2662" spans="1:13" ht="15" customHeight="1" x14ac:dyDescent="0.35">
      <c r="A2662" t="str">
        <f t="shared" si="41"/>
        <v>P716AD01C1531</v>
      </c>
      <c r="B2662" t="str">
        <f>IFERROR(VLOOKUP($A2662,'[5]Study Budget Mapping '!$O$2:$P$532,2,0),"TBA")</f>
        <v>TBA</v>
      </c>
      <c r="D2662" s="2" t="s">
        <v>475</v>
      </c>
      <c r="E2662" s="2" t="s">
        <v>15</v>
      </c>
      <c r="F2662" s="3">
        <v>9930000</v>
      </c>
      <c r="G2662" s="3">
        <v>9262759</v>
      </c>
      <c r="H2662" s="4"/>
      <c r="I2662" s="4"/>
      <c r="J2662" s="4"/>
      <c r="K2662" s="4"/>
      <c r="L2662" s="4"/>
      <c r="M2662" s="4"/>
    </row>
    <row r="2663" spans="1:13" ht="15" customHeight="1" x14ac:dyDescent="0.35">
      <c r="A2663" t="str">
        <f t="shared" si="41"/>
        <v>P716AD01C1531</v>
      </c>
      <c r="B2663" t="str">
        <f>IFERROR(VLOOKUP($A2663,'[5]Study Budget Mapping '!$O$2:$P$532,2,0),"TBA")</f>
        <v>TBA</v>
      </c>
      <c r="D2663" s="2" t="s">
        <v>475</v>
      </c>
      <c r="E2663" s="2" t="s">
        <v>22</v>
      </c>
      <c r="F2663" s="3">
        <v>1940000</v>
      </c>
      <c r="G2663" s="3">
        <v>2330000</v>
      </c>
      <c r="H2663" s="4"/>
      <c r="I2663" s="4"/>
      <c r="J2663" s="4"/>
      <c r="K2663" s="4"/>
      <c r="L2663" s="4"/>
      <c r="M2663" s="4"/>
    </row>
    <row r="2664" spans="1:13" ht="15" customHeight="1" x14ac:dyDescent="0.35">
      <c r="A2664" t="str">
        <f t="shared" si="41"/>
        <v>P716AD01C1531</v>
      </c>
      <c r="B2664" t="str">
        <f>IFERROR(VLOOKUP($A2664,'[5]Study Budget Mapping '!$O$2:$P$532,2,0),"TBA")</f>
        <v>TBA</v>
      </c>
      <c r="D2664" s="2" t="s">
        <v>475</v>
      </c>
      <c r="E2664" s="2" t="s">
        <v>17</v>
      </c>
      <c r="F2664" s="3">
        <v>190000</v>
      </c>
      <c r="G2664" s="3">
        <v>315000</v>
      </c>
      <c r="H2664" s="4"/>
      <c r="I2664" s="4"/>
      <c r="J2664" s="4"/>
      <c r="K2664" s="4"/>
      <c r="L2664" s="4"/>
      <c r="M2664" s="4"/>
    </row>
    <row r="2665" spans="1:13" ht="15" customHeight="1" x14ac:dyDescent="0.35">
      <c r="A2665" t="str">
        <f t="shared" si="41"/>
        <v>P716AD01C1531</v>
      </c>
      <c r="B2665" t="str">
        <f>IFERROR(VLOOKUP($A2665,'[5]Study Budget Mapping '!$O$2:$P$532,2,0),"TBA")</f>
        <v>TBA</v>
      </c>
      <c r="D2665" s="2" t="s">
        <v>475</v>
      </c>
      <c r="E2665" s="2" t="s">
        <v>23</v>
      </c>
      <c r="F2665" s="3">
        <v>1852000</v>
      </c>
      <c r="G2665" s="3">
        <v>1533560</v>
      </c>
      <c r="H2665" s="4"/>
      <c r="I2665" s="4"/>
      <c r="J2665" s="4"/>
      <c r="K2665" s="4"/>
      <c r="L2665" s="4"/>
      <c r="M2665" s="4"/>
    </row>
    <row r="2666" spans="1:13" ht="15" customHeight="1" x14ac:dyDescent="0.35">
      <c r="A2666" t="str">
        <f t="shared" si="41"/>
        <v>P716AD01C1531</v>
      </c>
      <c r="B2666" t="str">
        <f>IFERROR(VLOOKUP($A2666,'[5]Study Budget Mapping '!$O$2:$P$532,2,0),"TBA")</f>
        <v>TBA</v>
      </c>
      <c r="D2666" s="2" t="s">
        <v>475</v>
      </c>
      <c r="E2666" s="2" t="s">
        <v>24</v>
      </c>
      <c r="F2666" s="3">
        <v>0</v>
      </c>
      <c r="G2666" s="3">
        <v>1110000</v>
      </c>
      <c r="H2666" s="4"/>
      <c r="I2666" s="4"/>
      <c r="J2666" s="4"/>
      <c r="K2666" s="4"/>
      <c r="L2666" s="4"/>
      <c r="M2666" s="4"/>
    </row>
    <row r="2667" spans="1:13" ht="15" customHeight="1" x14ac:dyDescent="0.35">
      <c r="A2667" t="str">
        <f t="shared" si="41"/>
        <v>P717CV00C2521</v>
      </c>
      <c r="B2667" t="str">
        <f>IFERROR(VLOOKUP($A2667,'[5]Study Budget Mapping '!$O$2:$P$532,2,0),"TBA")</f>
        <v>TBA</v>
      </c>
      <c r="D2667" s="2" t="s">
        <v>476</v>
      </c>
      <c r="E2667" s="2" t="s">
        <v>13</v>
      </c>
      <c r="F2667" s="3">
        <v>5320000</v>
      </c>
      <c r="G2667" s="3">
        <v>5320000</v>
      </c>
      <c r="H2667" s="4"/>
      <c r="I2667" s="4"/>
      <c r="J2667" s="4"/>
      <c r="K2667" s="4"/>
      <c r="L2667" s="4"/>
      <c r="M2667" s="4"/>
    </row>
    <row r="2668" spans="1:13" ht="15" customHeight="1" x14ac:dyDescent="0.35">
      <c r="A2668" t="str">
        <f t="shared" si="41"/>
        <v>P717CV00C2521</v>
      </c>
      <c r="B2668" t="str">
        <f>IFERROR(VLOOKUP($A2668,'[5]Study Budget Mapping '!$O$2:$P$532,2,0),"TBA")</f>
        <v>TBA</v>
      </c>
      <c r="D2668" s="2" t="s">
        <v>476</v>
      </c>
      <c r="E2668" s="2" t="s">
        <v>14</v>
      </c>
      <c r="F2668" s="3">
        <v>980000</v>
      </c>
      <c r="G2668" s="3">
        <v>980000</v>
      </c>
      <c r="H2668" s="4"/>
      <c r="I2668" s="4"/>
      <c r="J2668" s="4"/>
      <c r="K2668" s="4"/>
      <c r="L2668" s="4"/>
      <c r="M2668" s="4"/>
    </row>
    <row r="2669" spans="1:13" ht="15" customHeight="1" x14ac:dyDescent="0.35">
      <c r="A2669" t="str">
        <f t="shared" si="41"/>
        <v>P717CV00C2521</v>
      </c>
      <c r="B2669" t="str">
        <f>IFERROR(VLOOKUP($A2669,'[5]Study Budget Mapping '!$O$2:$P$532,2,0),"TBA")</f>
        <v>TBA</v>
      </c>
      <c r="D2669" s="2" t="s">
        <v>476</v>
      </c>
      <c r="E2669" s="2" t="s">
        <v>19</v>
      </c>
      <c r="F2669" s="3">
        <v>50000</v>
      </c>
      <c r="G2669" s="3">
        <v>50000</v>
      </c>
      <c r="H2669" s="4"/>
      <c r="I2669" s="4"/>
      <c r="J2669" s="4"/>
      <c r="K2669" s="4"/>
      <c r="L2669" s="4"/>
      <c r="M2669" s="4"/>
    </row>
    <row r="2670" spans="1:13" ht="15" customHeight="1" x14ac:dyDescent="0.35">
      <c r="A2670" t="str">
        <f t="shared" si="41"/>
        <v>P717CV00C2521</v>
      </c>
      <c r="B2670" t="str">
        <f>IFERROR(VLOOKUP($A2670,'[5]Study Budget Mapping '!$O$2:$P$532,2,0),"TBA")</f>
        <v>TBA</v>
      </c>
      <c r="D2670" s="2" t="s">
        <v>476</v>
      </c>
      <c r="E2670" s="2" t="s">
        <v>20</v>
      </c>
      <c r="F2670" s="3">
        <v>140000</v>
      </c>
      <c r="G2670" s="3">
        <v>140000</v>
      </c>
      <c r="H2670" s="4"/>
      <c r="I2670" s="4"/>
      <c r="J2670" s="4"/>
      <c r="K2670" s="4"/>
      <c r="L2670" s="4"/>
      <c r="M2670" s="4"/>
    </row>
    <row r="2671" spans="1:13" ht="15" customHeight="1" x14ac:dyDescent="0.35">
      <c r="A2671" t="str">
        <f t="shared" si="41"/>
        <v>P717CV00C2521</v>
      </c>
      <c r="B2671" t="str">
        <f>IFERROR(VLOOKUP($A2671,'[5]Study Budget Mapping '!$O$2:$P$532,2,0),"TBA")</f>
        <v>TBA</v>
      </c>
      <c r="D2671" s="2" t="s">
        <v>476</v>
      </c>
      <c r="E2671" s="2" t="s">
        <v>15</v>
      </c>
      <c r="F2671" s="3">
        <v>600000</v>
      </c>
      <c r="G2671" s="3">
        <v>600000</v>
      </c>
      <c r="H2671" s="4"/>
      <c r="I2671" s="4"/>
      <c r="J2671" s="4"/>
      <c r="K2671" s="4"/>
      <c r="L2671" s="4"/>
      <c r="M2671" s="4"/>
    </row>
    <row r="2672" spans="1:13" ht="15" customHeight="1" x14ac:dyDescent="0.35">
      <c r="A2672" t="str">
        <f t="shared" si="41"/>
        <v>P717CV00C2521</v>
      </c>
      <c r="B2672" t="str">
        <f>IFERROR(VLOOKUP($A2672,'[5]Study Budget Mapping '!$O$2:$P$532,2,0),"TBA")</f>
        <v>TBA</v>
      </c>
      <c r="D2672" s="2" t="s">
        <v>476</v>
      </c>
      <c r="E2672" s="2" t="s">
        <v>22</v>
      </c>
      <c r="F2672" s="3">
        <v>1310000</v>
      </c>
      <c r="G2672" s="3">
        <v>1310000</v>
      </c>
      <c r="H2672" s="4"/>
      <c r="I2672" s="4"/>
      <c r="J2672" s="4"/>
      <c r="K2672" s="4"/>
      <c r="L2672" s="4"/>
      <c r="M2672" s="4"/>
    </row>
    <row r="2673" spans="1:13" ht="15" customHeight="1" x14ac:dyDescent="0.35">
      <c r="A2673" t="str">
        <f t="shared" si="41"/>
        <v>P717CV00C2521</v>
      </c>
      <c r="B2673" t="str">
        <f>IFERROR(VLOOKUP($A2673,'[5]Study Budget Mapping '!$O$2:$P$532,2,0),"TBA")</f>
        <v>TBA</v>
      </c>
      <c r="D2673" s="2" t="s">
        <v>476</v>
      </c>
      <c r="E2673" s="2" t="s">
        <v>16</v>
      </c>
      <c r="F2673" s="3">
        <v>20000</v>
      </c>
      <c r="G2673" s="3">
        <v>20000</v>
      </c>
      <c r="H2673" s="4"/>
      <c r="I2673" s="4"/>
      <c r="J2673" s="4"/>
      <c r="K2673" s="4"/>
      <c r="L2673" s="4"/>
      <c r="M2673" s="4"/>
    </row>
    <row r="2674" spans="1:13" ht="15" customHeight="1" x14ac:dyDescent="0.35">
      <c r="A2674" t="str">
        <f t="shared" si="41"/>
        <v>P717CV00C2521</v>
      </c>
      <c r="B2674" t="str">
        <f>IFERROR(VLOOKUP($A2674,'[5]Study Budget Mapping '!$O$2:$P$532,2,0),"TBA")</f>
        <v>TBA</v>
      </c>
      <c r="D2674" s="2" t="s">
        <v>476</v>
      </c>
      <c r="E2674" s="2" t="s">
        <v>17</v>
      </c>
      <c r="F2674" s="3">
        <v>390000</v>
      </c>
      <c r="G2674" s="3">
        <v>390000</v>
      </c>
      <c r="H2674" s="4"/>
      <c r="I2674" s="4"/>
      <c r="J2674" s="4"/>
      <c r="K2674" s="4"/>
      <c r="L2674" s="4"/>
      <c r="M2674" s="4"/>
    </row>
    <row r="2675" spans="1:13" ht="15" customHeight="1" x14ac:dyDescent="0.35">
      <c r="A2675" t="str">
        <f t="shared" si="41"/>
        <v>P717CV00C2521</v>
      </c>
      <c r="B2675" t="str">
        <f>IFERROR(VLOOKUP($A2675,'[5]Study Budget Mapping '!$O$2:$P$532,2,0),"TBA")</f>
        <v>TBA</v>
      </c>
      <c r="D2675" s="2" t="s">
        <v>476</v>
      </c>
      <c r="E2675" s="2" t="s">
        <v>24</v>
      </c>
      <c r="F2675" s="3">
        <v>90000</v>
      </c>
      <c r="G2675" s="3">
        <v>90000</v>
      </c>
      <c r="H2675" s="4"/>
      <c r="I2675" s="4"/>
      <c r="J2675" s="4"/>
      <c r="K2675" s="4"/>
      <c r="L2675" s="4"/>
      <c r="M2675" s="4"/>
    </row>
    <row r="2676" spans="1:13" ht="15" customHeight="1" x14ac:dyDescent="0.35">
      <c r="A2676" t="str">
        <f t="shared" si="41"/>
        <v>P718GE00C1121</v>
      </c>
      <c r="B2676" t="str">
        <f>IFERROR(VLOOKUP($A2676,'[5]Study Budget Mapping '!$O$2:$P$532,2,0),"TBA")</f>
        <v>TBA</v>
      </c>
      <c r="D2676" s="2" t="s">
        <v>477</v>
      </c>
      <c r="E2676" s="2" t="s">
        <v>13</v>
      </c>
      <c r="F2676" s="3">
        <v>1379106</v>
      </c>
      <c r="G2676" s="3">
        <v>1100000</v>
      </c>
      <c r="H2676" s="4"/>
      <c r="I2676" s="4"/>
      <c r="J2676" s="4"/>
      <c r="K2676" s="4"/>
      <c r="L2676" s="4"/>
      <c r="M2676" s="4"/>
    </row>
    <row r="2677" spans="1:13" ht="15" customHeight="1" x14ac:dyDescent="0.35">
      <c r="A2677" t="str">
        <f t="shared" si="41"/>
        <v>P718GE00C1121</v>
      </c>
      <c r="B2677" t="str">
        <f>IFERROR(VLOOKUP($A2677,'[5]Study Budget Mapping '!$O$2:$P$532,2,0),"TBA")</f>
        <v>TBA</v>
      </c>
      <c r="D2677" s="2" t="s">
        <v>477</v>
      </c>
      <c r="E2677" s="2" t="s">
        <v>14</v>
      </c>
      <c r="F2677" s="3">
        <v>330000</v>
      </c>
      <c r="G2677" s="3">
        <v>400000</v>
      </c>
      <c r="H2677" s="4"/>
      <c r="I2677" s="4"/>
      <c r="J2677" s="4"/>
      <c r="K2677" s="4"/>
      <c r="L2677" s="4"/>
      <c r="M2677" s="4"/>
    </row>
    <row r="2678" spans="1:13" ht="15" customHeight="1" x14ac:dyDescent="0.35">
      <c r="A2678" t="str">
        <f t="shared" si="41"/>
        <v>P718GE00C1121</v>
      </c>
      <c r="B2678" t="str">
        <f>IFERROR(VLOOKUP($A2678,'[5]Study Budget Mapping '!$O$2:$P$532,2,0),"TBA")</f>
        <v>TBA</v>
      </c>
      <c r="D2678" s="2" t="s">
        <v>477</v>
      </c>
      <c r="E2678" s="2" t="s">
        <v>19</v>
      </c>
      <c r="F2678" s="3">
        <v>15000</v>
      </c>
      <c r="G2678" s="3">
        <v>40000</v>
      </c>
      <c r="H2678" s="4"/>
      <c r="I2678" s="4"/>
      <c r="J2678" s="4"/>
      <c r="K2678" s="4"/>
      <c r="L2678" s="4"/>
      <c r="M2678" s="4"/>
    </row>
    <row r="2679" spans="1:13" ht="15" customHeight="1" x14ac:dyDescent="0.35">
      <c r="A2679" t="str">
        <f t="shared" si="41"/>
        <v>P718GE00C1121</v>
      </c>
      <c r="B2679" t="str">
        <f>IFERROR(VLOOKUP($A2679,'[5]Study Budget Mapping '!$O$2:$P$532,2,0),"TBA")</f>
        <v>TBA</v>
      </c>
      <c r="D2679" s="2" t="s">
        <v>477</v>
      </c>
      <c r="E2679" s="2" t="s">
        <v>22</v>
      </c>
      <c r="F2679" s="3">
        <v>0</v>
      </c>
      <c r="G2679" s="3">
        <v>410000</v>
      </c>
      <c r="H2679" s="4"/>
      <c r="I2679" s="4"/>
      <c r="J2679" s="4"/>
      <c r="K2679" s="4"/>
      <c r="L2679" s="4"/>
      <c r="M2679" s="4"/>
    </row>
    <row r="2680" spans="1:13" ht="15" customHeight="1" x14ac:dyDescent="0.35">
      <c r="A2680" t="str">
        <f t="shared" si="41"/>
        <v>P718GE00C1121</v>
      </c>
      <c r="B2680" t="str">
        <f>IFERROR(VLOOKUP($A2680,'[5]Study Budget Mapping '!$O$2:$P$532,2,0),"TBA")</f>
        <v>TBA</v>
      </c>
      <c r="D2680" s="2" t="s">
        <v>477</v>
      </c>
      <c r="E2680" s="2" t="s">
        <v>17</v>
      </c>
      <c r="F2680" s="3">
        <v>230000</v>
      </c>
      <c r="G2680" s="3">
        <v>140000</v>
      </c>
      <c r="H2680" s="4"/>
      <c r="I2680" s="4"/>
      <c r="J2680" s="4"/>
      <c r="K2680" s="4"/>
      <c r="L2680" s="4"/>
      <c r="M2680" s="4"/>
    </row>
    <row r="2681" spans="1:13" ht="15" customHeight="1" x14ac:dyDescent="0.35">
      <c r="A2681" t="str">
        <f t="shared" si="41"/>
        <v>P718GE00C1121</v>
      </c>
      <c r="B2681" t="str">
        <f>IFERROR(VLOOKUP($A2681,'[5]Study Budget Mapping '!$O$2:$P$532,2,0),"TBA")</f>
        <v>TBA</v>
      </c>
      <c r="D2681" s="2" t="s">
        <v>477</v>
      </c>
      <c r="E2681" s="2" t="s">
        <v>24</v>
      </c>
      <c r="F2681" s="3">
        <v>43894</v>
      </c>
      <c r="G2681" s="3">
        <v>50000</v>
      </c>
      <c r="H2681" s="4"/>
      <c r="I2681" s="4"/>
      <c r="J2681" s="4"/>
      <c r="K2681" s="4"/>
      <c r="L2681" s="4"/>
      <c r="M2681" s="4"/>
    </row>
    <row r="2682" spans="1:13" ht="15" customHeight="1" x14ac:dyDescent="0.35">
      <c r="A2682" t="str">
        <f t="shared" si="41"/>
        <v>P718HE09C2431</v>
      </c>
      <c r="B2682" t="str">
        <f>IFERROR(VLOOKUP($A2682,'[5]Study Budget Mapping '!$O$2:$P$532,2,0),"TBA")</f>
        <v>TBA</v>
      </c>
      <c r="D2682" s="2" t="s">
        <v>478</v>
      </c>
      <c r="E2682" s="2" t="s">
        <v>13</v>
      </c>
      <c r="F2682" s="3">
        <v>5400000</v>
      </c>
      <c r="G2682" s="3">
        <v>5400000</v>
      </c>
      <c r="H2682" s="4"/>
      <c r="I2682" s="4"/>
      <c r="J2682" s="4"/>
      <c r="K2682" s="4"/>
      <c r="L2682" s="4"/>
      <c r="M2682" s="4"/>
    </row>
    <row r="2683" spans="1:13" ht="15" customHeight="1" x14ac:dyDescent="0.35">
      <c r="A2683" t="str">
        <f t="shared" si="41"/>
        <v>P718HE09C2431</v>
      </c>
      <c r="B2683" t="str">
        <f>IFERROR(VLOOKUP($A2683,'[5]Study Budget Mapping '!$O$2:$P$532,2,0),"TBA")</f>
        <v>TBA</v>
      </c>
      <c r="D2683" s="2" t="s">
        <v>478</v>
      </c>
      <c r="E2683" s="2" t="s">
        <v>14</v>
      </c>
      <c r="F2683" s="3">
        <v>2020000</v>
      </c>
      <c r="G2683" s="3">
        <v>2020000</v>
      </c>
      <c r="H2683" s="4"/>
      <c r="I2683" s="4"/>
      <c r="J2683" s="4"/>
      <c r="K2683" s="4"/>
      <c r="L2683" s="4"/>
      <c r="M2683" s="4"/>
    </row>
    <row r="2684" spans="1:13" ht="15" customHeight="1" x14ac:dyDescent="0.35">
      <c r="A2684" t="str">
        <f t="shared" si="41"/>
        <v>P718HE09C2431</v>
      </c>
      <c r="B2684" t="str">
        <f>IFERROR(VLOOKUP($A2684,'[5]Study Budget Mapping '!$O$2:$P$532,2,0),"TBA")</f>
        <v>TBA</v>
      </c>
      <c r="D2684" s="2" t="s">
        <v>478</v>
      </c>
      <c r="E2684" s="2" t="s">
        <v>19</v>
      </c>
      <c r="F2684" s="3">
        <v>780000</v>
      </c>
      <c r="G2684" s="3">
        <v>780000</v>
      </c>
      <c r="H2684" s="4"/>
      <c r="I2684" s="4"/>
      <c r="J2684" s="4"/>
      <c r="K2684" s="4"/>
      <c r="L2684" s="4"/>
      <c r="M2684" s="4"/>
    </row>
    <row r="2685" spans="1:13" ht="15" customHeight="1" x14ac:dyDescent="0.35">
      <c r="A2685" t="str">
        <f t="shared" si="41"/>
        <v>P718HE09C2431</v>
      </c>
      <c r="B2685" t="str">
        <f>IFERROR(VLOOKUP($A2685,'[5]Study Budget Mapping '!$O$2:$P$532,2,0),"TBA")</f>
        <v>TBA</v>
      </c>
      <c r="D2685" s="2" t="s">
        <v>478</v>
      </c>
      <c r="E2685" s="2" t="s">
        <v>20</v>
      </c>
      <c r="F2685" s="3">
        <v>1340000</v>
      </c>
      <c r="G2685" s="3">
        <v>1340000</v>
      </c>
      <c r="H2685" s="4"/>
      <c r="I2685" s="4"/>
      <c r="J2685" s="4"/>
      <c r="K2685" s="4"/>
      <c r="L2685" s="4"/>
      <c r="M2685" s="4"/>
    </row>
    <row r="2686" spans="1:13" ht="15" customHeight="1" x14ac:dyDescent="0.35">
      <c r="A2686" t="str">
        <f t="shared" si="41"/>
        <v>P718HE09C2431</v>
      </c>
      <c r="B2686" t="str">
        <f>IFERROR(VLOOKUP($A2686,'[5]Study Budget Mapping '!$O$2:$P$532,2,0),"TBA")</f>
        <v>TBA</v>
      </c>
      <c r="D2686" s="2" t="s">
        <v>478</v>
      </c>
      <c r="E2686" s="2" t="s">
        <v>15</v>
      </c>
      <c r="F2686" s="3">
        <v>6860000</v>
      </c>
      <c r="G2686" s="3">
        <v>6860000</v>
      </c>
      <c r="H2686" s="4"/>
      <c r="I2686" s="4"/>
      <c r="J2686" s="4"/>
      <c r="K2686" s="4"/>
      <c r="L2686" s="4"/>
      <c r="M2686" s="4"/>
    </row>
    <row r="2687" spans="1:13" ht="15" customHeight="1" x14ac:dyDescent="0.35">
      <c r="A2687" t="str">
        <f t="shared" si="41"/>
        <v>P718HE09C2431</v>
      </c>
      <c r="B2687" t="str">
        <f>IFERROR(VLOOKUP($A2687,'[5]Study Budget Mapping '!$O$2:$P$532,2,0),"TBA")</f>
        <v>TBA</v>
      </c>
      <c r="D2687" s="2" t="s">
        <v>478</v>
      </c>
      <c r="E2687" s="2" t="s">
        <v>22</v>
      </c>
      <c r="F2687" s="3">
        <v>1660000</v>
      </c>
      <c r="G2687" s="3">
        <v>1660000</v>
      </c>
      <c r="H2687" s="4"/>
      <c r="I2687" s="4"/>
      <c r="J2687" s="4"/>
      <c r="K2687" s="4"/>
      <c r="L2687" s="4"/>
      <c r="M2687" s="4"/>
    </row>
    <row r="2688" spans="1:13" ht="15" customHeight="1" x14ac:dyDescent="0.35">
      <c r="A2688" t="str">
        <f t="shared" si="41"/>
        <v>P718HE09C2431</v>
      </c>
      <c r="B2688" t="str">
        <f>IFERROR(VLOOKUP($A2688,'[5]Study Budget Mapping '!$O$2:$P$532,2,0),"TBA")</f>
        <v>TBA</v>
      </c>
      <c r="D2688" s="2" t="s">
        <v>478</v>
      </c>
      <c r="E2688" s="2" t="s">
        <v>16</v>
      </c>
      <c r="F2688" s="3">
        <v>2130000</v>
      </c>
      <c r="G2688" s="3">
        <v>2130000</v>
      </c>
      <c r="H2688" s="4"/>
      <c r="I2688" s="4"/>
      <c r="J2688" s="4"/>
      <c r="K2688" s="4"/>
      <c r="L2688" s="4"/>
      <c r="M2688" s="4"/>
    </row>
    <row r="2689" spans="1:13" ht="15" customHeight="1" x14ac:dyDescent="0.35">
      <c r="A2689" t="str">
        <f t="shared" si="41"/>
        <v>P718HE09C2431</v>
      </c>
      <c r="B2689" t="str">
        <f>IFERROR(VLOOKUP($A2689,'[5]Study Budget Mapping '!$O$2:$P$532,2,0),"TBA")</f>
        <v>TBA</v>
      </c>
      <c r="D2689" s="2" t="s">
        <v>478</v>
      </c>
      <c r="E2689" s="2" t="s">
        <v>17</v>
      </c>
      <c r="F2689" s="3">
        <v>400000</v>
      </c>
      <c r="G2689" s="3">
        <v>400000</v>
      </c>
      <c r="H2689" s="4"/>
      <c r="I2689" s="4"/>
      <c r="J2689" s="4"/>
      <c r="K2689" s="4"/>
      <c r="L2689" s="4"/>
      <c r="M2689" s="4"/>
    </row>
    <row r="2690" spans="1:13" ht="15" customHeight="1" x14ac:dyDescent="0.35">
      <c r="A2690" t="str">
        <f t="shared" si="41"/>
        <v>P718HE09C2431</v>
      </c>
      <c r="B2690" t="str">
        <f>IFERROR(VLOOKUP($A2690,'[5]Study Budget Mapping '!$O$2:$P$532,2,0),"TBA")</f>
        <v>TBA</v>
      </c>
      <c r="D2690" s="2" t="s">
        <v>478</v>
      </c>
      <c r="E2690" s="2" t="s">
        <v>23</v>
      </c>
      <c r="F2690" s="3">
        <v>370000</v>
      </c>
      <c r="G2690" s="3">
        <v>370000</v>
      </c>
      <c r="H2690" s="4"/>
      <c r="I2690" s="4"/>
      <c r="J2690" s="4"/>
      <c r="K2690" s="4"/>
      <c r="L2690" s="4"/>
      <c r="M2690" s="4"/>
    </row>
    <row r="2691" spans="1:13" ht="15" customHeight="1" x14ac:dyDescent="0.35">
      <c r="A2691" t="str">
        <f t="shared" ref="A2691:A2754" si="42">TRIM(_xlfn.TEXTBEFORE(D2691,"-",1))</f>
        <v>P718HE09C2431</v>
      </c>
      <c r="B2691" t="str">
        <f>IFERROR(VLOOKUP($A2691,'[5]Study Budget Mapping '!$O$2:$P$532,2,0),"TBA")</f>
        <v>TBA</v>
      </c>
      <c r="D2691" s="2" t="s">
        <v>478</v>
      </c>
      <c r="E2691" s="2" t="s">
        <v>24</v>
      </c>
      <c r="F2691" s="3">
        <v>1400000</v>
      </c>
      <c r="G2691" s="3">
        <v>1400000</v>
      </c>
      <c r="H2691" s="4"/>
      <c r="I2691" s="4"/>
      <c r="J2691" s="4"/>
      <c r="K2691" s="4"/>
      <c r="L2691" s="4"/>
      <c r="M2691" s="4"/>
    </row>
    <row r="2692" spans="1:13" ht="15" customHeight="1" x14ac:dyDescent="0.35">
      <c r="A2692" t="str">
        <f t="shared" si="42"/>
        <v>P718HE09C2431</v>
      </c>
      <c r="B2692" t="str">
        <f>IFERROR(VLOOKUP($A2692,'[5]Study Budget Mapping '!$O$2:$P$532,2,0),"TBA")</f>
        <v>TBA</v>
      </c>
      <c r="D2692" s="2" t="s">
        <v>478</v>
      </c>
      <c r="E2692" s="2" t="s">
        <v>32</v>
      </c>
      <c r="F2692" s="3">
        <v>780000</v>
      </c>
      <c r="G2692" s="3">
        <v>780000</v>
      </c>
      <c r="H2692" s="4"/>
      <c r="I2692" s="4"/>
      <c r="J2692" s="4"/>
      <c r="K2692" s="4"/>
      <c r="L2692" s="4"/>
      <c r="M2692" s="4"/>
    </row>
    <row r="2693" spans="1:13" ht="15" customHeight="1" x14ac:dyDescent="0.35">
      <c r="A2693" t="str">
        <f t="shared" si="42"/>
        <v>P719ID01C3831</v>
      </c>
      <c r="B2693" t="str">
        <f>IFERROR(VLOOKUP($A2693,'[5]Study Budget Mapping '!$O$2:$P$532,2,0),"TBA")</f>
        <v>TBA</v>
      </c>
      <c r="D2693" s="2" t="s">
        <v>479</v>
      </c>
      <c r="E2693" s="2" t="s">
        <v>13</v>
      </c>
      <c r="F2693" s="3">
        <v>29950000</v>
      </c>
      <c r="G2693" s="3">
        <v>29950000</v>
      </c>
      <c r="H2693" s="4"/>
      <c r="I2693" s="4"/>
      <c r="J2693" s="4"/>
      <c r="K2693" s="4"/>
      <c r="L2693" s="4"/>
      <c r="M2693" s="4"/>
    </row>
    <row r="2694" spans="1:13" ht="15" customHeight="1" x14ac:dyDescent="0.35">
      <c r="A2694" t="str">
        <f t="shared" si="42"/>
        <v>P719ID01C3831</v>
      </c>
      <c r="B2694" t="str">
        <f>IFERROR(VLOOKUP($A2694,'[5]Study Budget Mapping '!$O$2:$P$532,2,0),"TBA")</f>
        <v>TBA</v>
      </c>
      <c r="D2694" s="2" t="s">
        <v>479</v>
      </c>
      <c r="E2694" s="2" t="s">
        <v>14</v>
      </c>
      <c r="F2694" s="3">
        <v>4140000</v>
      </c>
      <c r="G2694" s="3">
        <v>4140000</v>
      </c>
      <c r="H2694" s="4"/>
      <c r="I2694" s="4"/>
      <c r="J2694" s="4"/>
      <c r="K2694" s="4"/>
      <c r="L2694" s="4"/>
      <c r="M2694" s="4"/>
    </row>
    <row r="2695" spans="1:13" ht="15" customHeight="1" x14ac:dyDescent="0.35">
      <c r="A2695" t="str">
        <f t="shared" si="42"/>
        <v>P719ID01C3831</v>
      </c>
      <c r="B2695" t="str">
        <f>IFERROR(VLOOKUP($A2695,'[5]Study Budget Mapping '!$O$2:$P$532,2,0),"TBA")</f>
        <v>TBA</v>
      </c>
      <c r="D2695" s="2" t="s">
        <v>479</v>
      </c>
      <c r="E2695" s="2" t="s">
        <v>19</v>
      </c>
      <c r="F2695" s="3">
        <v>6060000</v>
      </c>
      <c r="G2695" s="3">
        <v>6060000</v>
      </c>
      <c r="H2695" s="4"/>
      <c r="I2695" s="4"/>
      <c r="J2695" s="4"/>
      <c r="K2695" s="4"/>
      <c r="L2695" s="4"/>
      <c r="M2695" s="4"/>
    </row>
    <row r="2696" spans="1:13" ht="15" customHeight="1" x14ac:dyDescent="0.35">
      <c r="A2696" t="str">
        <f t="shared" si="42"/>
        <v>P719ID01C3831</v>
      </c>
      <c r="B2696" t="str">
        <f>IFERROR(VLOOKUP($A2696,'[5]Study Budget Mapping '!$O$2:$P$532,2,0),"TBA")</f>
        <v>TBA</v>
      </c>
      <c r="D2696" s="2" t="s">
        <v>479</v>
      </c>
      <c r="E2696" s="2" t="s">
        <v>15</v>
      </c>
      <c r="F2696" s="3">
        <v>11170000</v>
      </c>
      <c r="G2696" s="3">
        <v>11170000</v>
      </c>
      <c r="H2696" s="4"/>
      <c r="I2696" s="4"/>
      <c r="J2696" s="4"/>
      <c r="K2696" s="4"/>
      <c r="L2696" s="4"/>
      <c r="M2696" s="4"/>
    </row>
    <row r="2697" spans="1:13" ht="15" customHeight="1" x14ac:dyDescent="0.35">
      <c r="A2697" t="str">
        <f t="shared" si="42"/>
        <v>P719ID01C3831</v>
      </c>
      <c r="B2697" t="str">
        <f>IFERROR(VLOOKUP($A2697,'[5]Study Budget Mapping '!$O$2:$P$532,2,0),"TBA")</f>
        <v>TBA</v>
      </c>
      <c r="D2697" s="2" t="s">
        <v>479</v>
      </c>
      <c r="E2697" s="2" t="s">
        <v>17</v>
      </c>
      <c r="F2697" s="3">
        <v>2130000</v>
      </c>
      <c r="G2697" s="3">
        <v>2130000</v>
      </c>
      <c r="H2697" s="4"/>
      <c r="I2697" s="4"/>
      <c r="J2697" s="4"/>
      <c r="K2697" s="4"/>
      <c r="L2697" s="4"/>
      <c r="M2697" s="4"/>
    </row>
    <row r="2698" spans="1:13" ht="15" customHeight="1" x14ac:dyDescent="0.35">
      <c r="A2698" t="str">
        <f t="shared" si="42"/>
        <v>P719ID01C3831</v>
      </c>
      <c r="B2698" t="str">
        <f>IFERROR(VLOOKUP($A2698,'[5]Study Budget Mapping '!$O$2:$P$532,2,0),"TBA")</f>
        <v>TBA</v>
      </c>
      <c r="D2698" s="2" t="s">
        <v>479</v>
      </c>
      <c r="E2698" s="2" t="s">
        <v>23</v>
      </c>
      <c r="F2698" s="3">
        <v>2070000</v>
      </c>
      <c r="G2698" s="3">
        <v>2070000</v>
      </c>
      <c r="H2698" s="4"/>
      <c r="I2698" s="4"/>
      <c r="J2698" s="4"/>
      <c r="K2698" s="4"/>
      <c r="L2698" s="4"/>
      <c r="M2698" s="4"/>
    </row>
    <row r="2699" spans="1:13" ht="15" customHeight="1" x14ac:dyDescent="0.35">
      <c r="A2699" t="str">
        <f t="shared" si="42"/>
        <v>P719ID01C3831</v>
      </c>
      <c r="B2699" t="str">
        <f>IFERROR(VLOOKUP($A2699,'[5]Study Budget Mapping '!$O$2:$P$532,2,0),"TBA")</f>
        <v>TBA</v>
      </c>
      <c r="D2699" s="2" t="s">
        <v>479</v>
      </c>
      <c r="E2699" s="2" t="s">
        <v>24</v>
      </c>
      <c r="F2699" s="3">
        <v>2330000</v>
      </c>
      <c r="G2699" s="3">
        <v>2330000</v>
      </c>
      <c r="H2699" s="4"/>
      <c r="I2699" s="4"/>
      <c r="J2699" s="4"/>
      <c r="K2699" s="4"/>
      <c r="L2699" s="4"/>
      <c r="M2699" s="4"/>
    </row>
    <row r="2700" spans="1:13" ht="15" customHeight="1" x14ac:dyDescent="0.35">
      <c r="A2700" t="str">
        <f t="shared" si="42"/>
        <v>P719ID01C3832</v>
      </c>
      <c r="B2700" t="str">
        <f>IFERROR(VLOOKUP($A2700,'[5]Study Budget Mapping '!$O$2:$P$532,2,0),"TBA")</f>
        <v>TBA</v>
      </c>
      <c r="D2700" s="2" t="s">
        <v>480</v>
      </c>
      <c r="E2700" s="2" t="s">
        <v>13</v>
      </c>
      <c r="F2700" s="3">
        <v>145390000</v>
      </c>
      <c r="G2700" s="3">
        <v>145390000</v>
      </c>
      <c r="H2700" s="4"/>
      <c r="I2700" s="4"/>
      <c r="J2700" s="4"/>
      <c r="K2700" s="4"/>
      <c r="L2700" s="4"/>
      <c r="M2700" s="4"/>
    </row>
    <row r="2701" spans="1:13" ht="15" customHeight="1" x14ac:dyDescent="0.35">
      <c r="A2701" t="str">
        <f t="shared" si="42"/>
        <v>P719ID01C3832</v>
      </c>
      <c r="B2701" t="str">
        <f>IFERROR(VLOOKUP($A2701,'[5]Study Budget Mapping '!$O$2:$P$532,2,0),"TBA")</f>
        <v>TBA</v>
      </c>
      <c r="D2701" s="2" t="s">
        <v>480</v>
      </c>
      <c r="E2701" s="2" t="s">
        <v>14</v>
      </c>
      <c r="F2701" s="3">
        <v>15060000</v>
      </c>
      <c r="G2701" s="3">
        <v>15060000</v>
      </c>
      <c r="H2701" s="4"/>
      <c r="I2701" s="4"/>
      <c r="J2701" s="4"/>
      <c r="K2701" s="4"/>
      <c r="L2701" s="4"/>
      <c r="M2701" s="4"/>
    </row>
    <row r="2702" spans="1:13" ht="15" customHeight="1" x14ac:dyDescent="0.35">
      <c r="A2702" t="str">
        <f t="shared" si="42"/>
        <v>P719ID01C3832</v>
      </c>
      <c r="B2702" t="str">
        <f>IFERROR(VLOOKUP($A2702,'[5]Study Budget Mapping '!$O$2:$P$532,2,0),"TBA")</f>
        <v>TBA</v>
      </c>
      <c r="D2702" s="2" t="s">
        <v>480</v>
      </c>
      <c r="E2702" s="2" t="s">
        <v>19</v>
      </c>
      <c r="F2702" s="3">
        <v>10820000</v>
      </c>
      <c r="G2702" s="3">
        <v>10820000</v>
      </c>
      <c r="H2702" s="4"/>
      <c r="I2702" s="4"/>
      <c r="J2702" s="4"/>
      <c r="K2702" s="4"/>
      <c r="L2702" s="4"/>
      <c r="M2702" s="4"/>
    </row>
    <row r="2703" spans="1:13" ht="15" customHeight="1" x14ac:dyDescent="0.35">
      <c r="A2703" t="str">
        <f t="shared" si="42"/>
        <v>P719ID01C3832</v>
      </c>
      <c r="B2703" t="str">
        <f>IFERROR(VLOOKUP($A2703,'[5]Study Budget Mapping '!$O$2:$P$532,2,0),"TBA")</f>
        <v>TBA</v>
      </c>
      <c r="D2703" s="2" t="s">
        <v>480</v>
      </c>
      <c r="E2703" s="2" t="s">
        <v>15</v>
      </c>
      <c r="F2703" s="3">
        <v>25000000</v>
      </c>
      <c r="G2703" s="3">
        <v>25000000</v>
      </c>
      <c r="H2703" s="4"/>
      <c r="I2703" s="4"/>
      <c r="J2703" s="4"/>
      <c r="K2703" s="4"/>
      <c r="L2703" s="4"/>
      <c r="M2703" s="4"/>
    </row>
    <row r="2704" spans="1:13" ht="15" customHeight="1" x14ac:dyDescent="0.35">
      <c r="A2704" t="str">
        <f t="shared" si="42"/>
        <v>P719ID01C3832</v>
      </c>
      <c r="B2704" t="str">
        <f>IFERROR(VLOOKUP($A2704,'[5]Study Budget Mapping '!$O$2:$P$532,2,0),"TBA")</f>
        <v>TBA</v>
      </c>
      <c r="D2704" s="2" t="s">
        <v>480</v>
      </c>
      <c r="E2704" s="2" t="s">
        <v>16</v>
      </c>
      <c r="F2704" s="3">
        <v>2000000</v>
      </c>
      <c r="G2704" s="3">
        <v>2000000</v>
      </c>
      <c r="H2704" s="4"/>
      <c r="I2704" s="4"/>
      <c r="J2704" s="4"/>
      <c r="K2704" s="4"/>
      <c r="L2704" s="4"/>
      <c r="M2704" s="4"/>
    </row>
    <row r="2705" spans="1:13" ht="15" customHeight="1" x14ac:dyDescent="0.35">
      <c r="A2705" t="str">
        <f t="shared" si="42"/>
        <v>P719ID01C3832</v>
      </c>
      <c r="B2705" t="str">
        <f>IFERROR(VLOOKUP($A2705,'[5]Study Budget Mapping '!$O$2:$P$532,2,0),"TBA")</f>
        <v>TBA</v>
      </c>
      <c r="D2705" s="2" t="s">
        <v>480</v>
      </c>
      <c r="E2705" s="2" t="s">
        <v>17</v>
      </c>
      <c r="F2705" s="3">
        <v>2100000</v>
      </c>
      <c r="G2705" s="3">
        <v>2100000</v>
      </c>
      <c r="H2705" s="4"/>
      <c r="I2705" s="4"/>
      <c r="J2705" s="4"/>
      <c r="K2705" s="4"/>
      <c r="L2705" s="4"/>
      <c r="M2705" s="4"/>
    </row>
    <row r="2706" spans="1:13" ht="15" customHeight="1" x14ac:dyDescent="0.35">
      <c r="A2706" t="str">
        <f t="shared" si="42"/>
        <v>P719ID01C3832</v>
      </c>
      <c r="B2706" t="str">
        <f>IFERROR(VLOOKUP($A2706,'[5]Study Budget Mapping '!$O$2:$P$532,2,0),"TBA")</f>
        <v>TBA</v>
      </c>
      <c r="D2706" s="2" t="s">
        <v>480</v>
      </c>
      <c r="E2706" s="2" t="s">
        <v>23</v>
      </c>
      <c r="F2706" s="3">
        <v>5770000</v>
      </c>
      <c r="G2706" s="3">
        <v>5770000</v>
      </c>
      <c r="H2706" s="4"/>
      <c r="I2706" s="4"/>
      <c r="J2706" s="4"/>
      <c r="K2706" s="4"/>
      <c r="L2706" s="4"/>
      <c r="M2706" s="4"/>
    </row>
    <row r="2707" spans="1:13" ht="15" customHeight="1" x14ac:dyDescent="0.35">
      <c r="A2707" t="str">
        <f t="shared" si="42"/>
        <v>P719ID01C3832</v>
      </c>
      <c r="B2707" t="str">
        <f>IFERROR(VLOOKUP($A2707,'[5]Study Budget Mapping '!$O$2:$P$532,2,0),"TBA")</f>
        <v>TBA</v>
      </c>
      <c r="D2707" s="2" t="s">
        <v>480</v>
      </c>
      <c r="E2707" s="2" t="s">
        <v>24</v>
      </c>
      <c r="F2707" s="3">
        <v>9200000</v>
      </c>
      <c r="G2707" s="3">
        <v>9200000</v>
      </c>
      <c r="H2707" s="4"/>
      <c r="I2707" s="4"/>
      <c r="J2707" s="4"/>
      <c r="K2707" s="4"/>
      <c r="L2707" s="4"/>
      <c r="M2707" s="4"/>
    </row>
    <row r="2708" spans="1:13" ht="15" customHeight="1" x14ac:dyDescent="0.35">
      <c r="A2708" t="str">
        <f t="shared" si="42"/>
        <v>P719ID01C3832</v>
      </c>
      <c r="B2708" t="str">
        <f>IFERROR(VLOOKUP($A2708,'[5]Study Budget Mapping '!$O$2:$P$532,2,0),"TBA")</f>
        <v>TBA</v>
      </c>
      <c r="D2708" s="2" t="s">
        <v>480</v>
      </c>
      <c r="E2708" s="2" t="s">
        <v>32</v>
      </c>
      <c r="F2708" s="3">
        <v>2300000</v>
      </c>
      <c r="G2708" s="3">
        <v>2300000</v>
      </c>
      <c r="H2708" s="4"/>
      <c r="I2708" s="4"/>
      <c r="J2708" s="4"/>
      <c r="K2708" s="4"/>
      <c r="L2708" s="4"/>
      <c r="M2708" s="4"/>
    </row>
    <row r="2709" spans="1:13" ht="15" customHeight="1" x14ac:dyDescent="0.35">
      <c r="A2709" t="str">
        <f t="shared" si="42"/>
        <v>P721GE00C1011</v>
      </c>
      <c r="B2709" t="str">
        <f>IFERROR(VLOOKUP($A2709,'[5]Study Budget Mapping '!$O$2:$P$532,2,0),"TBA")</f>
        <v>TBA</v>
      </c>
      <c r="D2709" s="2" t="s">
        <v>481</v>
      </c>
      <c r="E2709" s="2" t="s">
        <v>13</v>
      </c>
      <c r="F2709" s="3">
        <v>2490000</v>
      </c>
      <c r="G2709" s="3">
        <v>8380000</v>
      </c>
      <c r="H2709" s="4"/>
      <c r="I2709" s="4"/>
      <c r="J2709" s="4"/>
      <c r="K2709" s="4"/>
      <c r="L2709" s="4"/>
      <c r="M2709" s="4"/>
    </row>
    <row r="2710" spans="1:13" ht="15" customHeight="1" x14ac:dyDescent="0.35">
      <c r="A2710" t="str">
        <f t="shared" si="42"/>
        <v>P721GE00C1011</v>
      </c>
      <c r="B2710" t="str">
        <f>IFERROR(VLOOKUP($A2710,'[5]Study Budget Mapping '!$O$2:$P$532,2,0),"TBA")</f>
        <v>TBA</v>
      </c>
      <c r="D2710" s="2" t="s">
        <v>481</v>
      </c>
      <c r="E2710" s="2" t="s">
        <v>14</v>
      </c>
      <c r="F2710" s="3">
        <v>425000</v>
      </c>
      <c r="G2710" s="3">
        <v>2350000</v>
      </c>
      <c r="H2710" s="4"/>
      <c r="I2710" s="4"/>
      <c r="J2710" s="4"/>
      <c r="K2710" s="4"/>
      <c r="L2710" s="4"/>
      <c r="M2710" s="4"/>
    </row>
    <row r="2711" spans="1:13" ht="15" customHeight="1" x14ac:dyDescent="0.35">
      <c r="A2711" t="str">
        <f t="shared" si="42"/>
        <v>P721GE00C1011</v>
      </c>
      <c r="B2711" t="str">
        <f>IFERROR(VLOOKUP($A2711,'[5]Study Budget Mapping '!$O$2:$P$532,2,0),"TBA")</f>
        <v>TBA</v>
      </c>
      <c r="D2711" s="2" t="s">
        <v>481</v>
      </c>
      <c r="E2711" s="2" t="s">
        <v>19</v>
      </c>
      <c r="F2711" s="3">
        <v>70000</v>
      </c>
      <c r="G2711" s="3">
        <v>600000</v>
      </c>
      <c r="H2711" s="4"/>
      <c r="I2711" s="4"/>
      <c r="J2711" s="4"/>
      <c r="K2711" s="4"/>
      <c r="L2711" s="4"/>
      <c r="M2711" s="4"/>
    </row>
    <row r="2712" spans="1:13" ht="15" customHeight="1" x14ac:dyDescent="0.35">
      <c r="A2712" t="str">
        <f t="shared" si="42"/>
        <v>P721GE00C1011</v>
      </c>
      <c r="B2712" t="str">
        <f>IFERROR(VLOOKUP($A2712,'[5]Study Budget Mapping '!$O$2:$P$532,2,0),"TBA")</f>
        <v>TBA</v>
      </c>
      <c r="D2712" s="2" t="s">
        <v>481</v>
      </c>
      <c r="E2712" s="2" t="s">
        <v>20</v>
      </c>
      <c r="F2712" s="3">
        <v>0</v>
      </c>
      <c r="G2712" s="3">
        <v>710000</v>
      </c>
      <c r="H2712" s="4"/>
      <c r="I2712" s="4"/>
      <c r="J2712" s="4"/>
      <c r="K2712" s="4"/>
      <c r="L2712" s="4"/>
      <c r="M2712" s="4"/>
    </row>
    <row r="2713" spans="1:13" ht="15" customHeight="1" x14ac:dyDescent="0.35">
      <c r="A2713" t="str">
        <f t="shared" si="42"/>
        <v>P721GE00C1011</v>
      </c>
      <c r="B2713" t="str">
        <f>IFERROR(VLOOKUP($A2713,'[5]Study Budget Mapping '!$O$2:$P$532,2,0),"TBA")</f>
        <v>TBA</v>
      </c>
      <c r="D2713" s="2" t="s">
        <v>481</v>
      </c>
      <c r="E2713" s="2" t="s">
        <v>15</v>
      </c>
      <c r="F2713" s="3">
        <v>0</v>
      </c>
      <c r="G2713" s="3">
        <v>2420000</v>
      </c>
      <c r="H2713" s="4"/>
      <c r="I2713" s="4"/>
      <c r="J2713" s="4"/>
      <c r="K2713" s="4"/>
      <c r="L2713" s="4"/>
      <c r="M2713" s="4"/>
    </row>
    <row r="2714" spans="1:13" ht="15" customHeight="1" x14ac:dyDescent="0.35">
      <c r="A2714" t="str">
        <f t="shared" si="42"/>
        <v>P721GE00C1011</v>
      </c>
      <c r="B2714" t="str">
        <f>IFERROR(VLOOKUP($A2714,'[5]Study Budget Mapping '!$O$2:$P$532,2,0),"TBA")</f>
        <v>TBA</v>
      </c>
      <c r="D2714" s="2" t="s">
        <v>481</v>
      </c>
      <c r="E2714" s="2" t="s">
        <v>22</v>
      </c>
      <c r="F2714" s="3">
        <v>610000</v>
      </c>
      <c r="G2714" s="3">
        <v>1290000</v>
      </c>
      <c r="H2714" s="4"/>
      <c r="I2714" s="4"/>
      <c r="J2714" s="4"/>
      <c r="K2714" s="4"/>
      <c r="L2714" s="4"/>
      <c r="M2714" s="4"/>
    </row>
    <row r="2715" spans="1:13" ht="15" customHeight="1" x14ac:dyDescent="0.35">
      <c r="A2715" t="str">
        <f t="shared" si="42"/>
        <v>P721GE00C1011</v>
      </c>
      <c r="B2715" t="str">
        <f>IFERROR(VLOOKUP($A2715,'[5]Study Budget Mapping '!$O$2:$P$532,2,0),"TBA")</f>
        <v>TBA</v>
      </c>
      <c r="D2715" s="2" t="s">
        <v>481</v>
      </c>
      <c r="E2715" s="2" t="s">
        <v>16</v>
      </c>
      <c r="F2715" s="3">
        <v>0</v>
      </c>
      <c r="G2715" s="3">
        <v>580000</v>
      </c>
      <c r="H2715" s="4"/>
      <c r="I2715" s="4"/>
      <c r="J2715" s="4"/>
      <c r="K2715" s="4"/>
      <c r="L2715" s="4"/>
      <c r="M2715" s="4"/>
    </row>
    <row r="2716" spans="1:13" ht="15" customHeight="1" x14ac:dyDescent="0.35">
      <c r="A2716" t="str">
        <f t="shared" si="42"/>
        <v>P721GE00C1011</v>
      </c>
      <c r="B2716" t="str">
        <f>IFERROR(VLOOKUP($A2716,'[5]Study Budget Mapping '!$O$2:$P$532,2,0),"TBA")</f>
        <v>TBA</v>
      </c>
      <c r="D2716" s="2" t="s">
        <v>481</v>
      </c>
      <c r="E2716" s="2" t="s">
        <v>17</v>
      </c>
      <c r="F2716" s="3">
        <v>190000</v>
      </c>
      <c r="G2716" s="3">
        <v>490000</v>
      </c>
      <c r="H2716" s="4"/>
      <c r="I2716" s="4"/>
      <c r="J2716" s="4"/>
      <c r="K2716" s="4"/>
      <c r="L2716" s="4"/>
      <c r="M2716" s="4"/>
    </row>
    <row r="2717" spans="1:13" ht="15" customHeight="1" x14ac:dyDescent="0.35">
      <c r="A2717" t="str">
        <f t="shared" si="42"/>
        <v>P721GE00C1011</v>
      </c>
      <c r="B2717" t="str">
        <f>IFERROR(VLOOKUP($A2717,'[5]Study Budget Mapping '!$O$2:$P$532,2,0),"TBA")</f>
        <v>TBA</v>
      </c>
      <c r="D2717" s="2" t="s">
        <v>481</v>
      </c>
      <c r="E2717" s="2" t="s">
        <v>23</v>
      </c>
      <c r="F2717" s="3">
        <v>0</v>
      </c>
      <c r="G2717" s="3">
        <v>70000</v>
      </c>
      <c r="H2717" s="4"/>
      <c r="I2717" s="4"/>
      <c r="J2717" s="4"/>
      <c r="K2717" s="4"/>
      <c r="L2717" s="4"/>
      <c r="M2717" s="4"/>
    </row>
    <row r="2718" spans="1:13" ht="15" customHeight="1" x14ac:dyDescent="0.35">
      <c r="A2718" t="str">
        <f t="shared" si="42"/>
        <v>P721GE00C1011</v>
      </c>
      <c r="B2718" t="str">
        <f>IFERROR(VLOOKUP($A2718,'[5]Study Budget Mapping '!$O$2:$P$532,2,0),"TBA")</f>
        <v>TBA</v>
      </c>
      <c r="D2718" s="2" t="s">
        <v>481</v>
      </c>
      <c r="E2718" s="2" t="s">
        <v>24</v>
      </c>
      <c r="F2718" s="3">
        <v>30000</v>
      </c>
      <c r="G2718" s="3">
        <v>160000</v>
      </c>
      <c r="H2718" s="4"/>
      <c r="I2718" s="4"/>
      <c r="J2718" s="4"/>
      <c r="K2718" s="4"/>
      <c r="L2718" s="4"/>
      <c r="M2718" s="4"/>
    </row>
    <row r="2719" spans="1:13" ht="15" customHeight="1" x14ac:dyDescent="0.35">
      <c r="A2719" t="str">
        <f t="shared" si="42"/>
        <v>P721MD04C1211</v>
      </c>
      <c r="B2719" t="str">
        <f>IFERROR(VLOOKUP($A2719,'[5]Study Budget Mapping '!$O$2:$P$532,2,0),"TBA")</f>
        <v>TBA</v>
      </c>
      <c r="D2719" s="2" t="s">
        <v>482</v>
      </c>
      <c r="E2719" s="2" t="s">
        <v>13</v>
      </c>
      <c r="F2719" s="3">
        <v>3590000</v>
      </c>
      <c r="G2719" s="3">
        <v>1100000</v>
      </c>
      <c r="H2719" s="4"/>
      <c r="I2719" s="4"/>
      <c r="J2719" s="4"/>
      <c r="K2719" s="4"/>
      <c r="L2719" s="4"/>
      <c r="M2719" s="4"/>
    </row>
    <row r="2720" spans="1:13" ht="15" customHeight="1" x14ac:dyDescent="0.35">
      <c r="A2720" t="str">
        <f t="shared" si="42"/>
        <v>P721MD04C1211</v>
      </c>
      <c r="B2720" t="str">
        <f>IFERROR(VLOOKUP($A2720,'[5]Study Budget Mapping '!$O$2:$P$532,2,0),"TBA")</f>
        <v>TBA</v>
      </c>
      <c r="D2720" s="2" t="s">
        <v>482</v>
      </c>
      <c r="E2720" s="2" t="s">
        <v>14</v>
      </c>
      <c r="F2720" s="3">
        <v>1515000</v>
      </c>
      <c r="G2720" s="3">
        <v>910000</v>
      </c>
      <c r="H2720" s="4"/>
      <c r="I2720" s="4"/>
      <c r="J2720" s="4"/>
      <c r="K2720" s="4"/>
      <c r="L2720" s="4"/>
      <c r="M2720" s="4"/>
    </row>
    <row r="2721" spans="1:13" ht="15" customHeight="1" x14ac:dyDescent="0.35">
      <c r="A2721" t="str">
        <f t="shared" si="42"/>
        <v>P721MD04C1211</v>
      </c>
      <c r="B2721" t="str">
        <f>IFERROR(VLOOKUP($A2721,'[5]Study Budget Mapping '!$O$2:$P$532,2,0),"TBA")</f>
        <v>TBA</v>
      </c>
      <c r="D2721" s="2" t="s">
        <v>482</v>
      </c>
      <c r="E2721" s="2" t="s">
        <v>19</v>
      </c>
      <c r="F2721" s="3">
        <v>720000</v>
      </c>
      <c r="G2721" s="3">
        <v>580000</v>
      </c>
      <c r="H2721" s="4"/>
      <c r="I2721" s="4"/>
      <c r="J2721" s="4"/>
      <c r="K2721" s="4"/>
      <c r="L2721" s="4"/>
      <c r="M2721" s="4"/>
    </row>
    <row r="2722" spans="1:13" ht="15" customHeight="1" x14ac:dyDescent="0.35">
      <c r="A2722" t="str">
        <f t="shared" si="42"/>
        <v>P721MD04C1211</v>
      </c>
      <c r="B2722" t="str">
        <f>IFERROR(VLOOKUP($A2722,'[5]Study Budget Mapping '!$O$2:$P$532,2,0),"TBA")</f>
        <v>TBA</v>
      </c>
      <c r="D2722" s="2" t="s">
        <v>482</v>
      </c>
      <c r="E2722" s="2" t="s">
        <v>31</v>
      </c>
      <c r="F2722" s="3">
        <v>0</v>
      </c>
      <c r="G2722" s="3">
        <v>30000</v>
      </c>
      <c r="H2722" s="4"/>
      <c r="I2722" s="4"/>
      <c r="J2722" s="4"/>
      <c r="K2722" s="4"/>
      <c r="L2722" s="4"/>
      <c r="M2722" s="4"/>
    </row>
    <row r="2723" spans="1:13" ht="15" customHeight="1" x14ac:dyDescent="0.35">
      <c r="A2723" t="str">
        <f t="shared" si="42"/>
        <v>P721MD04C1211</v>
      </c>
      <c r="B2723" t="str">
        <f>IFERROR(VLOOKUP($A2723,'[5]Study Budget Mapping '!$O$2:$P$532,2,0),"TBA")</f>
        <v>TBA</v>
      </c>
      <c r="D2723" s="2" t="s">
        <v>482</v>
      </c>
      <c r="E2723" s="2" t="s">
        <v>15</v>
      </c>
      <c r="F2723" s="3">
        <v>2520000</v>
      </c>
      <c r="G2723" s="3">
        <v>1980000</v>
      </c>
      <c r="H2723" s="4"/>
      <c r="I2723" s="4"/>
      <c r="J2723" s="4"/>
      <c r="K2723" s="4"/>
      <c r="L2723" s="4"/>
      <c r="M2723" s="4"/>
    </row>
    <row r="2724" spans="1:13" ht="15" customHeight="1" x14ac:dyDescent="0.35">
      <c r="A2724" t="str">
        <f t="shared" si="42"/>
        <v>P721MD04C1211</v>
      </c>
      <c r="B2724" t="str">
        <f>IFERROR(VLOOKUP($A2724,'[5]Study Budget Mapping '!$O$2:$P$532,2,0),"TBA")</f>
        <v>TBA</v>
      </c>
      <c r="D2724" s="2" t="s">
        <v>482</v>
      </c>
      <c r="E2724" s="2" t="s">
        <v>22</v>
      </c>
      <c r="F2724" s="3">
        <v>1111000</v>
      </c>
      <c r="G2724" s="3">
        <v>725000</v>
      </c>
      <c r="H2724" s="4"/>
      <c r="I2724" s="4"/>
      <c r="J2724" s="4"/>
      <c r="K2724" s="4"/>
      <c r="L2724" s="4"/>
      <c r="M2724" s="4"/>
    </row>
    <row r="2725" spans="1:13" ht="15" customHeight="1" x14ac:dyDescent="0.35">
      <c r="A2725" t="str">
        <f t="shared" si="42"/>
        <v>P721MD04C1211</v>
      </c>
      <c r="B2725" t="str">
        <f>IFERROR(VLOOKUP($A2725,'[5]Study Budget Mapping '!$O$2:$P$532,2,0),"TBA")</f>
        <v>TBA</v>
      </c>
      <c r="D2725" s="2" t="s">
        <v>482</v>
      </c>
      <c r="E2725" s="2" t="s">
        <v>16</v>
      </c>
      <c r="F2725" s="3">
        <v>310000</v>
      </c>
      <c r="G2725" s="3">
        <v>340000</v>
      </c>
      <c r="H2725" s="4"/>
      <c r="I2725" s="4"/>
      <c r="J2725" s="4"/>
      <c r="K2725" s="4"/>
      <c r="L2725" s="4"/>
      <c r="M2725" s="4"/>
    </row>
    <row r="2726" spans="1:13" ht="15" customHeight="1" x14ac:dyDescent="0.35">
      <c r="A2726" t="str">
        <f t="shared" si="42"/>
        <v>P721MD04C1211</v>
      </c>
      <c r="B2726" t="str">
        <f>IFERROR(VLOOKUP($A2726,'[5]Study Budget Mapping '!$O$2:$P$532,2,0),"TBA")</f>
        <v>TBA</v>
      </c>
      <c r="D2726" s="2" t="s">
        <v>482</v>
      </c>
      <c r="E2726" s="2" t="s">
        <v>17</v>
      </c>
      <c r="F2726" s="3">
        <v>280000</v>
      </c>
      <c r="G2726" s="3">
        <v>350000</v>
      </c>
      <c r="H2726" s="4"/>
      <c r="I2726" s="4"/>
      <c r="J2726" s="4"/>
      <c r="K2726" s="4"/>
      <c r="L2726" s="4"/>
      <c r="M2726" s="4"/>
    </row>
    <row r="2727" spans="1:13" ht="15" customHeight="1" x14ac:dyDescent="0.35">
      <c r="A2727" t="str">
        <f t="shared" si="42"/>
        <v>P721MD04C1211</v>
      </c>
      <c r="B2727" t="str">
        <f>IFERROR(VLOOKUP($A2727,'[5]Study Budget Mapping '!$O$2:$P$532,2,0),"TBA")</f>
        <v>TBA</v>
      </c>
      <c r="D2727" s="2" t="s">
        <v>482</v>
      </c>
      <c r="E2727" s="2" t="s">
        <v>24</v>
      </c>
      <c r="F2727" s="3">
        <v>260000</v>
      </c>
      <c r="G2727" s="3">
        <v>260000</v>
      </c>
      <c r="H2727" s="4"/>
      <c r="I2727" s="4"/>
      <c r="J2727" s="4"/>
      <c r="K2727" s="4"/>
      <c r="L2727" s="4"/>
      <c r="M2727" s="4"/>
    </row>
    <row r="2728" spans="1:13" ht="15" customHeight="1" x14ac:dyDescent="0.35">
      <c r="A2728" t="str">
        <f t="shared" si="42"/>
        <v>P721MD04C6231</v>
      </c>
      <c r="B2728" t="str">
        <f>IFERROR(VLOOKUP($A2728,'[5]Study Budget Mapping '!$O$2:$P$532,2,0),"TBA")</f>
        <v>TBA</v>
      </c>
      <c r="D2728" s="2" t="s">
        <v>483</v>
      </c>
      <c r="E2728" s="2" t="s">
        <v>15</v>
      </c>
      <c r="F2728" s="3">
        <v>1000000</v>
      </c>
      <c r="G2728" s="3">
        <v>1000000</v>
      </c>
      <c r="H2728" s="4"/>
      <c r="I2728" s="4"/>
      <c r="J2728" s="4"/>
      <c r="K2728" s="4"/>
      <c r="L2728" s="4"/>
      <c r="M2728" s="4"/>
    </row>
    <row r="2729" spans="1:13" ht="15" customHeight="1" x14ac:dyDescent="0.35">
      <c r="A2729" t="str">
        <f t="shared" si="42"/>
        <v>P721MD04C3731</v>
      </c>
      <c r="B2729" t="str">
        <f>IFERROR(VLOOKUP($A2729,'[5]Study Budget Mapping '!$O$2:$P$532,2,0),"TBA")</f>
        <v>TBA</v>
      </c>
      <c r="D2729" s="2" t="s">
        <v>484</v>
      </c>
      <c r="E2729" s="2" t="s">
        <v>15</v>
      </c>
      <c r="F2729" s="3">
        <v>10000000</v>
      </c>
      <c r="G2729" s="3">
        <v>10000000</v>
      </c>
      <c r="H2729" s="4"/>
      <c r="I2729" s="4"/>
      <c r="J2729" s="4"/>
      <c r="K2729" s="4"/>
      <c r="L2729" s="4"/>
      <c r="M2729" s="4"/>
    </row>
    <row r="2730" spans="1:13" ht="15" customHeight="1" x14ac:dyDescent="0.35">
      <c r="A2730" t="str">
        <f t="shared" si="42"/>
        <v>P721MD04C2611</v>
      </c>
      <c r="B2730" t="str">
        <f>IFERROR(VLOOKUP($A2730,'[5]Study Budget Mapping '!$O$2:$P$532,2,0),"TBA")</f>
        <v>TBA</v>
      </c>
      <c r="D2730" s="2" t="s">
        <v>485</v>
      </c>
      <c r="E2730" s="2" t="s">
        <v>15</v>
      </c>
      <c r="F2730" s="3">
        <v>6000000</v>
      </c>
      <c r="G2730" s="3">
        <v>6000000</v>
      </c>
      <c r="H2730" s="4"/>
      <c r="I2730" s="4"/>
      <c r="J2730" s="4"/>
      <c r="K2730" s="4"/>
      <c r="L2730" s="4"/>
      <c r="M2730" s="4"/>
    </row>
    <row r="2731" spans="1:13" ht="15" customHeight="1" x14ac:dyDescent="0.35">
      <c r="A2731" t="str">
        <f t="shared" si="42"/>
        <v>P722GE00C1021</v>
      </c>
      <c r="B2731" t="str">
        <f>IFERROR(VLOOKUP($A2731,'[5]Study Budget Mapping '!$O$2:$P$532,2,0),"TBA")</f>
        <v>TBA</v>
      </c>
      <c r="D2731" s="2" t="s">
        <v>486</v>
      </c>
      <c r="E2731" s="2" t="s">
        <v>13</v>
      </c>
      <c r="F2731" s="3">
        <v>3489000</v>
      </c>
      <c r="G2731" s="3">
        <v>3489000</v>
      </c>
      <c r="H2731" s="4"/>
      <c r="I2731" s="4"/>
      <c r="J2731" s="4"/>
      <c r="K2731" s="4"/>
      <c r="L2731" s="4"/>
      <c r="M2731" s="4"/>
    </row>
    <row r="2732" spans="1:13" ht="15" customHeight="1" x14ac:dyDescent="0.35">
      <c r="A2732" t="str">
        <f t="shared" si="42"/>
        <v>P722GE00C1021</v>
      </c>
      <c r="B2732" t="str">
        <f>IFERROR(VLOOKUP($A2732,'[5]Study Budget Mapping '!$O$2:$P$532,2,0),"TBA")</f>
        <v>TBA</v>
      </c>
      <c r="D2732" s="2" t="s">
        <v>486</v>
      </c>
      <c r="E2732" s="2" t="s">
        <v>14</v>
      </c>
      <c r="F2732" s="3">
        <v>1138000</v>
      </c>
      <c r="G2732" s="3">
        <v>1138000</v>
      </c>
      <c r="H2732" s="4"/>
      <c r="I2732" s="4"/>
      <c r="J2732" s="4"/>
      <c r="K2732" s="4"/>
      <c r="L2732" s="4"/>
      <c r="M2732" s="4"/>
    </row>
    <row r="2733" spans="1:13" ht="15" customHeight="1" x14ac:dyDescent="0.35">
      <c r="A2733" t="str">
        <f t="shared" si="42"/>
        <v>P722GE00C1021</v>
      </c>
      <c r="B2733" t="str">
        <f>IFERROR(VLOOKUP($A2733,'[5]Study Budget Mapping '!$O$2:$P$532,2,0),"TBA")</f>
        <v>TBA</v>
      </c>
      <c r="D2733" s="2" t="s">
        <v>486</v>
      </c>
      <c r="E2733" s="2" t="s">
        <v>19</v>
      </c>
      <c r="F2733" s="3">
        <v>249000</v>
      </c>
      <c r="G2733" s="3">
        <v>249000</v>
      </c>
      <c r="H2733" s="4"/>
      <c r="I2733" s="4"/>
      <c r="J2733" s="4"/>
      <c r="K2733" s="4"/>
      <c r="L2733" s="4"/>
      <c r="M2733" s="4"/>
    </row>
    <row r="2734" spans="1:13" ht="15" customHeight="1" x14ac:dyDescent="0.35">
      <c r="A2734" t="str">
        <f t="shared" si="42"/>
        <v>P722GE00C1021</v>
      </c>
      <c r="B2734" t="str">
        <f>IFERROR(VLOOKUP($A2734,'[5]Study Budget Mapping '!$O$2:$P$532,2,0),"TBA")</f>
        <v>TBA</v>
      </c>
      <c r="D2734" s="2" t="s">
        <v>486</v>
      </c>
      <c r="E2734" s="2" t="s">
        <v>15</v>
      </c>
      <c r="F2734" s="3">
        <v>377000</v>
      </c>
      <c r="G2734" s="3">
        <v>377000</v>
      </c>
      <c r="H2734" s="4"/>
      <c r="I2734" s="4"/>
      <c r="J2734" s="4"/>
      <c r="K2734" s="4"/>
      <c r="L2734" s="4"/>
      <c r="M2734" s="4"/>
    </row>
    <row r="2735" spans="1:13" ht="15" customHeight="1" x14ac:dyDescent="0.35">
      <c r="A2735" t="str">
        <f t="shared" si="42"/>
        <v>P722GE00C1021</v>
      </c>
      <c r="B2735" t="str">
        <f>IFERROR(VLOOKUP($A2735,'[5]Study Budget Mapping '!$O$2:$P$532,2,0),"TBA")</f>
        <v>TBA</v>
      </c>
      <c r="D2735" s="2" t="s">
        <v>486</v>
      </c>
      <c r="E2735" s="2" t="s">
        <v>22</v>
      </c>
      <c r="F2735" s="3">
        <v>595000</v>
      </c>
      <c r="G2735" s="3">
        <v>595000</v>
      </c>
      <c r="H2735" s="4"/>
      <c r="I2735" s="4"/>
      <c r="J2735" s="4"/>
      <c r="K2735" s="4"/>
      <c r="L2735" s="4"/>
      <c r="M2735" s="4"/>
    </row>
    <row r="2736" spans="1:13" ht="15" customHeight="1" x14ac:dyDescent="0.35">
      <c r="A2736" t="str">
        <f t="shared" si="42"/>
        <v>P722GE00C1021</v>
      </c>
      <c r="B2736" t="str">
        <f>IFERROR(VLOOKUP($A2736,'[5]Study Budget Mapping '!$O$2:$P$532,2,0),"TBA")</f>
        <v>TBA</v>
      </c>
      <c r="D2736" s="2" t="s">
        <v>486</v>
      </c>
      <c r="E2736" s="2" t="s">
        <v>17</v>
      </c>
      <c r="F2736" s="3">
        <v>185000</v>
      </c>
      <c r="G2736" s="3">
        <v>185000</v>
      </c>
      <c r="H2736" s="4"/>
      <c r="I2736" s="4"/>
      <c r="J2736" s="4"/>
      <c r="K2736" s="4"/>
      <c r="L2736" s="4"/>
      <c r="M2736" s="4"/>
    </row>
    <row r="2737" spans="1:13" ht="15" customHeight="1" x14ac:dyDescent="0.35">
      <c r="A2737" t="str">
        <f t="shared" si="42"/>
        <v>P722GE00C1021</v>
      </c>
      <c r="B2737" t="str">
        <f>IFERROR(VLOOKUP($A2737,'[5]Study Budget Mapping '!$O$2:$P$532,2,0),"TBA")</f>
        <v>TBA</v>
      </c>
      <c r="D2737" s="2" t="s">
        <v>486</v>
      </c>
      <c r="E2737" s="2" t="s">
        <v>452</v>
      </c>
      <c r="F2737" s="3">
        <v>799000</v>
      </c>
      <c r="G2737" s="3">
        <v>799000</v>
      </c>
      <c r="H2737" s="4"/>
      <c r="I2737" s="4"/>
      <c r="J2737" s="4"/>
      <c r="K2737" s="4"/>
      <c r="L2737" s="4"/>
      <c r="M2737" s="4"/>
    </row>
    <row r="2738" spans="1:13" ht="15" customHeight="1" x14ac:dyDescent="0.35">
      <c r="A2738" t="str">
        <f t="shared" si="42"/>
        <v>P722GE00C1021</v>
      </c>
      <c r="B2738" t="str">
        <f>IFERROR(VLOOKUP($A2738,'[5]Study Budget Mapping '!$O$2:$P$532,2,0),"TBA")</f>
        <v>TBA</v>
      </c>
      <c r="D2738" s="2" t="s">
        <v>486</v>
      </c>
      <c r="E2738" s="2" t="s">
        <v>24</v>
      </c>
      <c r="F2738" s="3">
        <v>100000</v>
      </c>
      <c r="G2738" s="3">
        <v>100000</v>
      </c>
      <c r="H2738" s="4"/>
      <c r="I2738" s="4"/>
      <c r="J2738" s="4"/>
      <c r="K2738" s="4"/>
      <c r="L2738" s="4"/>
      <c r="M2738" s="4"/>
    </row>
    <row r="2739" spans="1:13" ht="15" customHeight="1" x14ac:dyDescent="0.35">
      <c r="A2739" t="str">
        <f t="shared" si="42"/>
        <v>P722GE00C1021</v>
      </c>
      <c r="B2739" t="str">
        <f>IFERROR(VLOOKUP($A2739,'[5]Study Budget Mapping '!$O$2:$P$532,2,0),"TBA")</f>
        <v>TBA</v>
      </c>
      <c r="D2739" s="2" t="s">
        <v>486</v>
      </c>
      <c r="E2739" s="2" t="s">
        <v>32</v>
      </c>
      <c r="F2739" s="3">
        <v>487000</v>
      </c>
      <c r="G2739" s="3">
        <v>487000</v>
      </c>
      <c r="H2739" s="4"/>
      <c r="I2739" s="4"/>
      <c r="J2739" s="4"/>
      <c r="K2739" s="4"/>
      <c r="L2739" s="4"/>
      <c r="M2739" s="4"/>
    </row>
    <row r="2740" spans="1:13" ht="15" customHeight="1" x14ac:dyDescent="0.35">
      <c r="A2740" t="str">
        <f t="shared" si="42"/>
        <v>P722CV00C6231</v>
      </c>
      <c r="B2740" t="str">
        <f>IFERROR(VLOOKUP($A2740,'[5]Study Budget Mapping '!$O$2:$P$532,2,0),"TBA")</f>
        <v>TBA</v>
      </c>
      <c r="D2740" s="2" t="s">
        <v>487</v>
      </c>
      <c r="E2740" s="2" t="s">
        <v>13</v>
      </c>
      <c r="F2740" s="3">
        <v>935000</v>
      </c>
      <c r="G2740" s="3">
        <v>1001000</v>
      </c>
      <c r="H2740" s="4"/>
      <c r="I2740" s="4"/>
      <c r="J2740" s="4"/>
      <c r="K2740" s="4"/>
      <c r="L2740" s="4"/>
      <c r="M2740" s="4"/>
    </row>
    <row r="2741" spans="1:13" ht="15" customHeight="1" x14ac:dyDescent="0.35">
      <c r="A2741" t="str">
        <f t="shared" si="42"/>
        <v>P722CV00C6231</v>
      </c>
      <c r="B2741" t="str">
        <f>IFERROR(VLOOKUP($A2741,'[5]Study Budget Mapping '!$O$2:$P$532,2,0),"TBA")</f>
        <v>TBA</v>
      </c>
      <c r="D2741" s="2" t="s">
        <v>487</v>
      </c>
      <c r="E2741" s="2" t="s">
        <v>14</v>
      </c>
      <c r="F2741" s="3">
        <v>349000</v>
      </c>
      <c r="G2741" s="3">
        <v>449000</v>
      </c>
      <c r="H2741" s="4"/>
      <c r="I2741" s="4"/>
      <c r="J2741" s="4"/>
      <c r="K2741" s="4"/>
      <c r="L2741" s="4"/>
      <c r="M2741" s="4"/>
    </row>
    <row r="2742" spans="1:13" ht="15" customHeight="1" x14ac:dyDescent="0.35">
      <c r="A2742" t="str">
        <f t="shared" si="42"/>
        <v>P722CV00C6231</v>
      </c>
      <c r="B2742" t="str">
        <f>IFERROR(VLOOKUP($A2742,'[5]Study Budget Mapping '!$O$2:$P$532,2,0),"TBA")</f>
        <v>TBA</v>
      </c>
      <c r="D2742" s="2" t="s">
        <v>487</v>
      </c>
      <c r="E2742" s="2" t="s">
        <v>19</v>
      </c>
      <c r="F2742" s="3">
        <v>547000</v>
      </c>
      <c r="G2742" s="3">
        <v>576000</v>
      </c>
      <c r="H2742" s="4"/>
      <c r="I2742" s="4"/>
      <c r="J2742" s="4"/>
      <c r="K2742" s="4"/>
      <c r="L2742" s="4"/>
      <c r="M2742" s="4"/>
    </row>
    <row r="2743" spans="1:13" ht="15" customHeight="1" x14ac:dyDescent="0.35">
      <c r="A2743" t="str">
        <f t="shared" si="42"/>
        <v>P722CV00C6231</v>
      </c>
      <c r="B2743" t="str">
        <f>IFERROR(VLOOKUP($A2743,'[5]Study Budget Mapping '!$O$2:$P$532,2,0),"TBA")</f>
        <v>TBA</v>
      </c>
      <c r="D2743" s="2" t="s">
        <v>487</v>
      </c>
      <c r="E2743" s="2" t="s">
        <v>22</v>
      </c>
      <c r="F2743" s="3">
        <v>602000</v>
      </c>
      <c r="G2743" s="3">
        <v>610000</v>
      </c>
      <c r="H2743" s="4"/>
      <c r="I2743" s="4"/>
      <c r="J2743" s="4"/>
      <c r="K2743" s="4"/>
      <c r="L2743" s="4"/>
      <c r="M2743" s="4"/>
    </row>
    <row r="2744" spans="1:13" ht="15" customHeight="1" x14ac:dyDescent="0.35">
      <c r="A2744" t="str">
        <f t="shared" si="42"/>
        <v>P722CV00C6231</v>
      </c>
      <c r="B2744" t="str">
        <f>IFERROR(VLOOKUP($A2744,'[5]Study Budget Mapping '!$O$2:$P$532,2,0),"TBA")</f>
        <v>TBA</v>
      </c>
      <c r="D2744" s="2" t="s">
        <v>487</v>
      </c>
      <c r="E2744" s="2" t="s">
        <v>16</v>
      </c>
      <c r="F2744" s="3">
        <v>0</v>
      </c>
      <c r="G2744" s="3">
        <v>55000</v>
      </c>
      <c r="H2744" s="4"/>
      <c r="I2744" s="4"/>
      <c r="J2744" s="4"/>
      <c r="K2744" s="4"/>
      <c r="L2744" s="4"/>
      <c r="M2744" s="4"/>
    </row>
    <row r="2745" spans="1:13" ht="15" customHeight="1" x14ac:dyDescent="0.35">
      <c r="A2745" t="str">
        <f t="shared" si="42"/>
        <v>P722CV00C6231</v>
      </c>
      <c r="B2745" t="str">
        <f>IFERROR(VLOOKUP($A2745,'[5]Study Budget Mapping '!$O$2:$P$532,2,0),"TBA")</f>
        <v>TBA</v>
      </c>
      <c r="D2745" s="2" t="s">
        <v>487</v>
      </c>
      <c r="E2745" s="2" t="s">
        <v>17</v>
      </c>
      <c r="F2745" s="3">
        <v>50000</v>
      </c>
      <c r="G2745" s="3">
        <v>0</v>
      </c>
      <c r="H2745" s="4"/>
      <c r="I2745" s="4"/>
      <c r="J2745" s="4"/>
      <c r="K2745" s="4"/>
      <c r="L2745" s="4"/>
      <c r="M2745" s="4"/>
    </row>
    <row r="2746" spans="1:13" ht="15" customHeight="1" x14ac:dyDescent="0.35">
      <c r="A2746" t="str">
        <f t="shared" si="42"/>
        <v>P722CV00C6231</v>
      </c>
      <c r="B2746" t="str">
        <f>IFERROR(VLOOKUP($A2746,'[5]Study Budget Mapping '!$O$2:$P$532,2,0),"TBA")</f>
        <v>TBA</v>
      </c>
      <c r="D2746" s="2" t="s">
        <v>487</v>
      </c>
      <c r="E2746" s="2" t="s">
        <v>23</v>
      </c>
      <c r="F2746" s="3">
        <v>0</v>
      </c>
      <c r="G2746" s="3">
        <v>50000</v>
      </c>
      <c r="H2746" s="4"/>
      <c r="I2746" s="4"/>
      <c r="J2746" s="4"/>
      <c r="K2746" s="4"/>
      <c r="L2746" s="4"/>
      <c r="M2746" s="4"/>
    </row>
    <row r="2747" spans="1:13" ht="15" customHeight="1" x14ac:dyDescent="0.35">
      <c r="A2747" t="str">
        <f t="shared" si="42"/>
        <v>P722CV00C2431</v>
      </c>
      <c r="B2747" t="str">
        <f>IFERROR(VLOOKUP($A2747,'[5]Study Budget Mapping '!$O$2:$P$532,2,0),"TBA")</f>
        <v>TBA</v>
      </c>
      <c r="D2747" s="2" t="s">
        <v>488</v>
      </c>
      <c r="E2747" s="2" t="s">
        <v>13</v>
      </c>
      <c r="F2747" s="3">
        <v>3060000</v>
      </c>
      <c r="G2747" s="3">
        <v>3060000</v>
      </c>
      <c r="H2747" s="4"/>
      <c r="I2747" s="4"/>
      <c r="J2747" s="4"/>
      <c r="K2747" s="4"/>
      <c r="L2747" s="4"/>
      <c r="M2747" s="4"/>
    </row>
    <row r="2748" spans="1:13" ht="15" customHeight="1" x14ac:dyDescent="0.35">
      <c r="A2748" t="str">
        <f t="shared" si="42"/>
        <v>P722CV00C2431</v>
      </c>
      <c r="B2748" t="str">
        <f>IFERROR(VLOOKUP($A2748,'[5]Study Budget Mapping '!$O$2:$P$532,2,0),"TBA")</f>
        <v>TBA</v>
      </c>
      <c r="D2748" s="2" t="s">
        <v>488</v>
      </c>
      <c r="E2748" s="2" t="s">
        <v>14</v>
      </c>
      <c r="F2748" s="3">
        <v>520000</v>
      </c>
      <c r="G2748" s="3">
        <v>520000</v>
      </c>
      <c r="H2748" s="4"/>
      <c r="I2748" s="4"/>
      <c r="J2748" s="4"/>
      <c r="K2748" s="4"/>
      <c r="L2748" s="4"/>
      <c r="M2748" s="4"/>
    </row>
    <row r="2749" spans="1:13" ht="15" customHeight="1" x14ac:dyDescent="0.35">
      <c r="A2749" t="str">
        <f t="shared" si="42"/>
        <v>P722CV00C2431</v>
      </c>
      <c r="B2749" t="str">
        <f>IFERROR(VLOOKUP($A2749,'[5]Study Budget Mapping '!$O$2:$P$532,2,0),"TBA")</f>
        <v>TBA</v>
      </c>
      <c r="D2749" s="2" t="s">
        <v>488</v>
      </c>
      <c r="E2749" s="2" t="s">
        <v>19</v>
      </c>
      <c r="F2749" s="3">
        <v>360000</v>
      </c>
      <c r="G2749" s="3">
        <v>360000</v>
      </c>
      <c r="H2749" s="4"/>
      <c r="I2749" s="4"/>
      <c r="J2749" s="4"/>
      <c r="K2749" s="4"/>
      <c r="L2749" s="4"/>
      <c r="M2749" s="4"/>
    </row>
    <row r="2750" spans="1:13" ht="15" customHeight="1" x14ac:dyDescent="0.35">
      <c r="A2750" t="str">
        <f t="shared" si="42"/>
        <v>P722CV00C2431</v>
      </c>
      <c r="B2750" t="str">
        <f>IFERROR(VLOOKUP($A2750,'[5]Study Budget Mapping '!$O$2:$P$532,2,0),"TBA")</f>
        <v>TBA</v>
      </c>
      <c r="D2750" s="2" t="s">
        <v>488</v>
      </c>
      <c r="E2750" s="2" t="s">
        <v>31</v>
      </c>
      <c r="F2750" s="3">
        <v>310000</v>
      </c>
      <c r="G2750" s="3">
        <v>310000</v>
      </c>
      <c r="H2750" s="4"/>
      <c r="I2750" s="4"/>
      <c r="J2750" s="4"/>
      <c r="K2750" s="4"/>
      <c r="L2750" s="4"/>
      <c r="M2750" s="4"/>
    </row>
    <row r="2751" spans="1:13" ht="15" customHeight="1" x14ac:dyDescent="0.35">
      <c r="A2751" t="str">
        <f t="shared" si="42"/>
        <v>P722CV00C2431</v>
      </c>
      <c r="B2751" t="str">
        <f>IFERROR(VLOOKUP($A2751,'[5]Study Budget Mapping '!$O$2:$P$532,2,0),"TBA")</f>
        <v>TBA</v>
      </c>
      <c r="D2751" s="2" t="s">
        <v>488</v>
      </c>
      <c r="E2751" s="2" t="s">
        <v>15</v>
      </c>
      <c r="F2751" s="3">
        <v>590000</v>
      </c>
      <c r="G2751" s="3">
        <v>590000</v>
      </c>
      <c r="H2751" s="4"/>
      <c r="I2751" s="4"/>
      <c r="J2751" s="4"/>
      <c r="K2751" s="4"/>
      <c r="L2751" s="4"/>
      <c r="M2751" s="4"/>
    </row>
    <row r="2752" spans="1:13" ht="15" customHeight="1" x14ac:dyDescent="0.35">
      <c r="A2752" t="str">
        <f t="shared" si="42"/>
        <v>P722CV00C2431</v>
      </c>
      <c r="B2752" t="str">
        <f>IFERROR(VLOOKUP($A2752,'[5]Study Budget Mapping '!$O$2:$P$532,2,0),"TBA")</f>
        <v>TBA</v>
      </c>
      <c r="D2752" s="2" t="s">
        <v>488</v>
      </c>
      <c r="E2752" s="2" t="s">
        <v>22</v>
      </c>
      <c r="F2752" s="3">
        <v>1070000</v>
      </c>
      <c r="G2752" s="3">
        <v>1070000</v>
      </c>
      <c r="H2752" s="4"/>
      <c r="I2752" s="4"/>
      <c r="J2752" s="4"/>
      <c r="K2752" s="4"/>
      <c r="L2752" s="4"/>
      <c r="M2752" s="4"/>
    </row>
    <row r="2753" spans="1:13" ht="15" customHeight="1" x14ac:dyDescent="0.35">
      <c r="A2753" t="str">
        <f t="shared" si="42"/>
        <v>P722CV00C2431</v>
      </c>
      <c r="B2753" t="str">
        <f>IFERROR(VLOOKUP($A2753,'[5]Study Budget Mapping '!$O$2:$P$532,2,0),"TBA")</f>
        <v>TBA</v>
      </c>
      <c r="D2753" s="2" t="s">
        <v>488</v>
      </c>
      <c r="E2753" s="2" t="s">
        <v>16</v>
      </c>
      <c r="F2753" s="3">
        <v>380000</v>
      </c>
      <c r="G2753" s="3">
        <v>380000</v>
      </c>
      <c r="H2753" s="4"/>
      <c r="I2753" s="4"/>
      <c r="J2753" s="4"/>
      <c r="K2753" s="4"/>
      <c r="L2753" s="4"/>
      <c r="M2753" s="4"/>
    </row>
    <row r="2754" spans="1:13" ht="15" customHeight="1" x14ac:dyDescent="0.35">
      <c r="A2754" t="str">
        <f t="shared" si="42"/>
        <v>P722CV00C2431</v>
      </c>
      <c r="B2754" t="str">
        <f>IFERROR(VLOOKUP($A2754,'[5]Study Budget Mapping '!$O$2:$P$532,2,0),"TBA")</f>
        <v>TBA</v>
      </c>
      <c r="D2754" s="2" t="s">
        <v>488</v>
      </c>
      <c r="E2754" s="2" t="s">
        <v>17</v>
      </c>
      <c r="F2754" s="3">
        <v>260000</v>
      </c>
      <c r="G2754" s="3">
        <v>260000</v>
      </c>
      <c r="H2754" s="4"/>
      <c r="I2754" s="4"/>
      <c r="J2754" s="4"/>
      <c r="K2754" s="4"/>
      <c r="L2754" s="4"/>
      <c r="M2754" s="4"/>
    </row>
    <row r="2755" spans="1:13" ht="15" customHeight="1" x14ac:dyDescent="0.35">
      <c r="A2755" t="str">
        <f t="shared" ref="A2755:A2818" si="43">TRIM(_xlfn.TEXTBEFORE(D2755,"-",1))</f>
        <v>P722CV00C2431</v>
      </c>
      <c r="B2755" t="str">
        <f>IFERROR(VLOOKUP($A2755,'[5]Study Budget Mapping '!$O$2:$P$532,2,0),"TBA")</f>
        <v>TBA</v>
      </c>
      <c r="D2755" s="2" t="s">
        <v>488</v>
      </c>
      <c r="E2755" s="2" t="s">
        <v>23</v>
      </c>
      <c r="F2755" s="3">
        <v>110000</v>
      </c>
      <c r="G2755" s="3">
        <v>110000</v>
      </c>
      <c r="H2755" s="4"/>
      <c r="I2755" s="4"/>
      <c r="J2755" s="4"/>
      <c r="K2755" s="4"/>
      <c r="L2755" s="4"/>
      <c r="M2755" s="4"/>
    </row>
    <row r="2756" spans="1:13" ht="15" customHeight="1" x14ac:dyDescent="0.35">
      <c r="A2756" t="str">
        <f t="shared" si="43"/>
        <v>P722CV00C2431</v>
      </c>
      <c r="B2756" t="str">
        <f>IFERROR(VLOOKUP($A2756,'[5]Study Budget Mapping '!$O$2:$P$532,2,0),"TBA")</f>
        <v>TBA</v>
      </c>
      <c r="D2756" s="2" t="s">
        <v>488</v>
      </c>
      <c r="E2756" s="2" t="s">
        <v>24</v>
      </c>
      <c r="F2756" s="3">
        <v>220000</v>
      </c>
      <c r="G2756" s="3">
        <v>220000</v>
      </c>
      <c r="H2756" s="4"/>
      <c r="I2756" s="4"/>
      <c r="J2756" s="4"/>
      <c r="K2756" s="4"/>
      <c r="L2756" s="4"/>
      <c r="M2756" s="4"/>
    </row>
    <row r="2757" spans="1:13" ht="15" customHeight="1" x14ac:dyDescent="0.35">
      <c r="A2757" t="str">
        <f t="shared" si="43"/>
        <v>P722CV00C2432</v>
      </c>
      <c r="B2757" t="str">
        <f>IFERROR(VLOOKUP($A2757,'[5]Study Budget Mapping '!$O$2:$P$532,2,0),"TBA")</f>
        <v>TBA</v>
      </c>
      <c r="D2757" s="2" t="s">
        <v>489</v>
      </c>
      <c r="E2757" s="2" t="s">
        <v>13</v>
      </c>
      <c r="F2757" s="3">
        <v>3710000</v>
      </c>
      <c r="G2757" s="3">
        <v>3710000</v>
      </c>
      <c r="H2757" s="4"/>
      <c r="I2757" s="4"/>
      <c r="J2757" s="4"/>
      <c r="K2757" s="4"/>
      <c r="L2757" s="4"/>
      <c r="M2757" s="4"/>
    </row>
    <row r="2758" spans="1:13" ht="15" customHeight="1" x14ac:dyDescent="0.35">
      <c r="A2758" t="str">
        <f t="shared" si="43"/>
        <v>P722CV00C2432</v>
      </c>
      <c r="B2758" t="str">
        <f>IFERROR(VLOOKUP($A2758,'[5]Study Budget Mapping '!$O$2:$P$532,2,0),"TBA")</f>
        <v>TBA</v>
      </c>
      <c r="D2758" s="2" t="s">
        <v>489</v>
      </c>
      <c r="E2758" s="2" t="s">
        <v>14</v>
      </c>
      <c r="F2758" s="3">
        <v>400000</v>
      </c>
      <c r="G2758" s="3">
        <v>400000</v>
      </c>
      <c r="H2758" s="4"/>
      <c r="I2758" s="4"/>
      <c r="J2758" s="4"/>
      <c r="K2758" s="4"/>
      <c r="L2758" s="4"/>
      <c r="M2758" s="4"/>
    </row>
    <row r="2759" spans="1:13" ht="15" customHeight="1" x14ac:dyDescent="0.35">
      <c r="A2759" t="str">
        <f t="shared" si="43"/>
        <v>P722CV00C2432</v>
      </c>
      <c r="B2759" t="str">
        <f>IFERROR(VLOOKUP($A2759,'[5]Study Budget Mapping '!$O$2:$P$532,2,0),"TBA")</f>
        <v>TBA</v>
      </c>
      <c r="D2759" s="2" t="s">
        <v>489</v>
      </c>
      <c r="E2759" s="2" t="s">
        <v>19</v>
      </c>
      <c r="F2759" s="3">
        <v>410000</v>
      </c>
      <c r="G2759" s="3">
        <v>410000</v>
      </c>
      <c r="H2759" s="4"/>
      <c r="I2759" s="4"/>
      <c r="J2759" s="4"/>
      <c r="K2759" s="4"/>
      <c r="L2759" s="4"/>
      <c r="M2759" s="4"/>
    </row>
    <row r="2760" spans="1:13" ht="15" customHeight="1" x14ac:dyDescent="0.35">
      <c r="A2760" t="str">
        <f t="shared" si="43"/>
        <v>P722CV00C2432</v>
      </c>
      <c r="B2760" t="str">
        <f>IFERROR(VLOOKUP($A2760,'[5]Study Budget Mapping '!$O$2:$P$532,2,0),"TBA")</f>
        <v>TBA</v>
      </c>
      <c r="D2760" s="2" t="s">
        <v>489</v>
      </c>
      <c r="E2760" s="2" t="s">
        <v>15</v>
      </c>
      <c r="F2760" s="3">
        <v>4640000</v>
      </c>
      <c r="G2760" s="3">
        <v>4640000</v>
      </c>
      <c r="H2760" s="4"/>
      <c r="I2760" s="4"/>
      <c r="J2760" s="4"/>
      <c r="K2760" s="4"/>
      <c r="L2760" s="4"/>
      <c r="M2760" s="4"/>
    </row>
    <row r="2761" spans="1:13" ht="15" customHeight="1" x14ac:dyDescent="0.35">
      <c r="A2761" t="str">
        <f t="shared" si="43"/>
        <v>P722CV00C2432</v>
      </c>
      <c r="B2761" t="str">
        <f>IFERROR(VLOOKUP($A2761,'[5]Study Budget Mapping '!$O$2:$P$532,2,0),"TBA")</f>
        <v>TBA</v>
      </c>
      <c r="D2761" s="2" t="s">
        <v>489</v>
      </c>
      <c r="E2761" s="2" t="s">
        <v>22</v>
      </c>
      <c r="F2761" s="3">
        <v>820000</v>
      </c>
      <c r="G2761" s="3">
        <v>820000</v>
      </c>
      <c r="H2761" s="4"/>
      <c r="I2761" s="4"/>
      <c r="J2761" s="4"/>
      <c r="K2761" s="4"/>
      <c r="L2761" s="4"/>
      <c r="M2761" s="4"/>
    </row>
    <row r="2762" spans="1:13" ht="15" customHeight="1" x14ac:dyDescent="0.35">
      <c r="A2762" t="str">
        <f t="shared" si="43"/>
        <v>P722CV00C2432</v>
      </c>
      <c r="B2762" t="str">
        <f>IFERROR(VLOOKUP($A2762,'[5]Study Budget Mapping '!$O$2:$P$532,2,0),"TBA")</f>
        <v>TBA</v>
      </c>
      <c r="D2762" s="2" t="s">
        <v>489</v>
      </c>
      <c r="E2762" s="2" t="s">
        <v>16</v>
      </c>
      <c r="F2762" s="3">
        <v>1130000</v>
      </c>
      <c r="G2762" s="3">
        <v>1130000</v>
      </c>
      <c r="H2762" s="4"/>
      <c r="I2762" s="4"/>
      <c r="J2762" s="4"/>
      <c r="K2762" s="4"/>
      <c r="L2762" s="4"/>
      <c r="M2762" s="4"/>
    </row>
    <row r="2763" spans="1:13" ht="15" customHeight="1" x14ac:dyDescent="0.35">
      <c r="A2763" t="str">
        <f t="shared" si="43"/>
        <v>P722CV00C2432</v>
      </c>
      <c r="B2763" t="str">
        <f>IFERROR(VLOOKUP($A2763,'[5]Study Budget Mapping '!$O$2:$P$532,2,0),"TBA")</f>
        <v>TBA</v>
      </c>
      <c r="D2763" s="2" t="s">
        <v>489</v>
      </c>
      <c r="E2763" s="2" t="s">
        <v>17</v>
      </c>
      <c r="F2763" s="3">
        <v>250000</v>
      </c>
      <c r="G2763" s="3">
        <v>250000</v>
      </c>
      <c r="H2763" s="4"/>
      <c r="I2763" s="4"/>
      <c r="J2763" s="4"/>
      <c r="K2763" s="4"/>
      <c r="L2763" s="4"/>
      <c r="M2763" s="4"/>
    </row>
    <row r="2764" spans="1:13" ht="15" customHeight="1" x14ac:dyDescent="0.35">
      <c r="A2764" t="str">
        <f t="shared" si="43"/>
        <v>P722CV00C2432</v>
      </c>
      <c r="B2764" t="str">
        <f>IFERROR(VLOOKUP($A2764,'[5]Study Budget Mapping '!$O$2:$P$532,2,0),"TBA")</f>
        <v>TBA</v>
      </c>
      <c r="D2764" s="2" t="s">
        <v>489</v>
      </c>
      <c r="E2764" s="2" t="s">
        <v>23</v>
      </c>
      <c r="F2764" s="3">
        <v>1030000</v>
      </c>
      <c r="G2764" s="3">
        <v>1030000</v>
      </c>
      <c r="H2764" s="4"/>
      <c r="I2764" s="4"/>
      <c r="J2764" s="4"/>
      <c r="K2764" s="4"/>
      <c r="L2764" s="4"/>
      <c r="M2764" s="4"/>
    </row>
    <row r="2765" spans="1:13" ht="15" customHeight="1" x14ac:dyDescent="0.35">
      <c r="A2765" t="str">
        <f t="shared" si="43"/>
        <v>P722CV00C2432</v>
      </c>
      <c r="B2765" t="str">
        <f>IFERROR(VLOOKUP($A2765,'[5]Study Budget Mapping '!$O$2:$P$532,2,0),"TBA")</f>
        <v>TBA</v>
      </c>
      <c r="D2765" s="2" t="s">
        <v>489</v>
      </c>
      <c r="E2765" s="2" t="s">
        <v>24</v>
      </c>
      <c r="F2765" s="3">
        <v>400000</v>
      </c>
      <c r="G2765" s="3">
        <v>400000</v>
      </c>
      <c r="H2765" s="4"/>
      <c r="I2765" s="4"/>
      <c r="J2765" s="4"/>
      <c r="K2765" s="4"/>
      <c r="L2765" s="4"/>
      <c r="M2765" s="4"/>
    </row>
    <row r="2766" spans="1:13" ht="15" customHeight="1" x14ac:dyDescent="0.35">
      <c r="A2766" t="str">
        <f t="shared" si="43"/>
        <v>P723ID01C0311</v>
      </c>
      <c r="B2766" t="str">
        <f>IFERROR(VLOOKUP($A2766,'[5]Study Budget Mapping '!$O$2:$P$532,2,0),"TBA")</f>
        <v>TBA</v>
      </c>
      <c r="D2766" s="2" t="s">
        <v>490</v>
      </c>
      <c r="E2766" s="2" t="s">
        <v>13</v>
      </c>
      <c r="F2766" s="3">
        <v>350000</v>
      </c>
      <c r="G2766" s="3">
        <v>350000</v>
      </c>
      <c r="H2766" s="4"/>
      <c r="I2766" s="4"/>
      <c r="J2766" s="4"/>
      <c r="K2766" s="4"/>
      <c r="L2766" s="4"/>
      <c r="M2766" s="4"/>
    </row>
    <row r="2767" spans="1:13" ht="15" customHeight="1" x14ac:dyDescent="0.35">
      <c r="A2767" t="str">
        <f t="shared" si="43"/>
        <v>P723ID01C0311</v>
      </c>
      <c r="B2767" t="str">
        <f>IFERROR(VLOOKUP($A2767,'[5]Study Budget Mapping '!$O$2:$P$532,2,0),"TBA")</f>
        <v>TBA</v>
      </c>
      <c r="D2767" s="2" t="s">
        <v>490</v>
      </c>
      <c r="E2767" s="2" t="s">
        <v>14</v>
      </c>
      <c r="F2767" s="3">
        <v>60000</v>
      </c>
      <c r="G2767" s="3">
        <v>60000</v>
      </c>
      <c r="H2767" s="4"/>
      <c r="I2767" s="4"/>
      <c r="J2767" s="4"/>
      <c r="K2767" s="4"/>
      <c r="L2767" s="4"/>
      <c r="M2767" s="4"/>
    </row>
    <row r="2768" spans="1:13" ht="15" customHeight="1" x14ac:dyDescent="0.35">
      <c r="A2768" t="str">
        <f t="shared" si="43"/>
        <v>P723ID01C0311</v>
      </c>
      <c r="B2768" t="str">
        <f>IFERROR(VLOOKUP($A2768,'[5]Study Budget Mapping '!$O$2:$P$532,2,0),"TBA")</f>
        <v>TBA</v>
      </c>
      <c r="D2768" s="2" t="s">
        <v>490</v>
      </c>
      <c r="E2768" s="2" t="s">
        <v>19</v>
      </c>
      <c r="F2768" s="3">
        <v>30000</v>
      </c>
      <c r="G2768" s="3">
        <v>30000</v>
      </c>
      <c r="H2768" s="4"/>
      <c r="I2768" s="4"/>
      <c r="J2768" s="4"/>
      <c r="K2768" s="4"/>
      <c r="L2768" s="4"/>
      <c r="M2768" s="4"/>
    </row>
    <row r="2769" spans="1:13" ht="15" customHeight="1" x14ac:dyDescent="0.35">
      <c r="A2769" t="str">
        <f t="shared" si="43"/>
        <v>P723ID01C0311</v>
      </c>
      <c r="B2769" t="str">
        <f>IFERROR(VLOOKUP($A2769,'[5]Study Budget Mapping '!$O$2:$P$532,2,0),"TBA")</f>
        <v>TBA</v>
      </c>
      <c r="D2769" s="2" t="s">
        <v>490</v>
      </c>
      <c r="E2769" s="2" t="s">
        <v>22</v>
      </c>
      <c r="F2769" s="3">
        <v>2500</v>
      </c>
      <c r="G2769" s="3">
        <v>2500</v>
      </c>
      <c r="H2769" s="4"/>
      <c r="I2769" s="4"/>
      <c r="J2769" s="4"/>
      <c r="K2769" s="4"/>
      <c r="L2769" s="4"/>
      <c r="M2769" s="4"/>
    </row>
    <row r="2770" spans="1:13" ht="15" customHeight="1" x14ac:dyDescent="0.35">
      <c r="A2770" t="str">
        <f t="shared" si="43"/>
        <v>P723ID01C0311</v>
      </c>
      <c r="B2770" t="str">
        <f>IFERROR(VLOOKUP($A2770,'[5]Study Budget Mapping '!$O$2:$P$532,2,0),"TBA")</f>
        <v>TBA</v>
      </c>
      <c r="D2770" s="2" t="s">
        <v>490</v>
      </c>
      <c r="E2770" s="2" t="s">
        <v>23</v>
      </c>
      <c r="F2770" s="3">
        <v>7000</v>
      </c>
      <c r="G2770" s="3">
        <v>7000</v>
      </c>
      <c r="H2770" s="4"/>
      <c r="I2770" s="4"/>
      <c r="J2770" s="4"/>
      <c r="K2770" s="4"/>
      <c r="L2770" s="4"/>
      <c r="M2770" s="4"/>
    </row>
    <row r="2771" spans="1:13" ht="15" customHeight="1" x14ac:dyDescent="0.35">
      <c r="A2771" t="str">
        <f t="shared" si="43"/>
        <v>P723ID01C0312</v>
      </c>
      <c r="B2771" t="str">
        <f>IFERROR(VLOOKUP($A2771,'[5]Study Budget Mapping '!$O$2:$P$532,2,0),"TBA")</f>
        <v>TBA</v>
      </c>
      <c r="D2771" s="2" t="s">
        <v>491</v>
      </c>
      <c r="E2771" s="2" t="s">
        <v>13</v>
      </c>
      <c r="F2771" s="3">
        <v>1200000</v>
      </c>
      <c r="G2771" s="3">
        <v>1300000</v>
      </c>
      <c r="H2771" s="4"/>
      <c r="I2771" s="4"/>
      <c r="J2771" s="4"/>
      <c r="K2771" s="4"/>
      <c r="L2771" s="4"/>
      <c r="M2771" s="4"/>
    </row>
    <row r="2772" spans="1:13" ht="15" customHeight="1" x14ac:dyDescent="0.35">
      <c r="A2772" t="str">
        <f t="shared" si="43"/>
        <v>P723ID01C0312</v>
      </c>
      <c r="B2772" t="str">
        <f>IFERROR(VLOOKUP($A2772,'[5]Study Budget Mapping '!$O$2:$P$532,2,0),"TBA")</f>
        <v>TBA</v>
      </c>
      <c r="D2772" s="2" t="s">
        <v>491</v>
      </c>
      <c r="E2772" s="2" t="s">
        <v>14</v>
      </c>
      <c r="F2772" s="3">
        <v>435000</v>
      </c>
      <c r="G2772" s="3">
        <v>592000</v>
      </c>
      <c r="H2772" s="4"/>
      <c r="I2772" s="4"/>
      <c r="J2772" s="4"/>
      <c r="K2772" s="4"/>
      <c r="L2772" s="4"/>
      <c r="M2772" s="4"/>
    </row>
    <row r="2773" spans="1:13" ht="15" customHeight="1" x14ac:dyDescent="0.35">
      <c r="A2773" t="str">
        <f t="shared" si="43"/>
        <v>P723ID01C0312</v>
      </c>
      <c r="B2773" t="str">
        <f>IFERROR(VLOOKUP($A2773,'[5]Study Budget Mapping '!$O$2:$P$532,2,0),"TBA")</f>
        <v>TBA</v>
      </c>
      <c r="D2773" s="2" t="s">
        <v>491</v>
      </c>
      <c r="E2773" s="2" t="s">
        <v>19</v>
      </c>
      <c r="F2773" s="3">
        <v>50000</v>
      </c>
      <c r="G2773" s="3">
        <v>69000</v>
      </c>
      <c r="H2773" s="4"/>
      <c r="I2773" s="4"/>
      <c r="J2773" s="4"/>
      <c r="K2773" s="4"/>
      <c r="L2773" s="4"/>
      <c r="M2773" s="4"/>
    </row>
    <row r="2774" spans="1:13" ht="15" customHeight="1" x14ac:dyDescent="0.35">
      <c r="A2774" t="str">
        <f t="shared" si="43"/>
        <v>P723ID01C1021</v>
      </c>
      <c r="B2774" t="str">
        <f>IFERROR(VLOOKUP($A2774,'[5]Study Budget Mapping '!$O$2:$P$532,2,0),"TBA")</f>
        <v>TBA</v>
      </c>
      <c r="D2774" s="2" t="s">
        <v>492</v>
      </c>
      <c r="E2774" s="2" t="s">
        <v>13</v>
      </c>
      <c r="F2774" s="3">
        <v>1400000</v>
      </c>
      <c r="G2774" s="3">
        <v>1400000</v>
      </c>
      <c r="H2774" s="4"/>
      <c r="I2774" s="4"/>
      <c r="J2774" s="4"/>
      <c r="K2774" s="4"/>
      <c r="L2774" s="4"/>
      <c r="M2774" s="4"/>
    </row>
    <row r="2775" spans="1:13" ht="15" customHeight="1" x14ac:dyDescent="0.35">
      <c r="A2775" t="str">
        <f t="shared" si="43"/>
        <v>P723ID01C1021</v>
      </c>
      <c r="B2775" t="str">
        <f>IFERROR(VLOOKUP($A2775,'[5]Study Budget Mapping '!$O$2:$P$532,2,0),"TBA")</f>
        <v>TBA</v>
      </c>
      <c r="D2775" s="2" t="s">
        <v>492</v>
      </c>
      <c r="E2775" s="2" t="s">
        <v>14</v>
      </c>
      <c r="F2775" s="3">
        <v>625000</v>
      </c>
      <c r="G2775" s="3">
        <v>625000</v>
      </c>
      <c r="H2775" s="4"/>
      <c r="I2775" s="4"/>
      <c r="J2775" s="4"/>
      <c r="K2775" s="4"/>
      <c r="L2775" s="4"/>
      <c r="M2775" s="4"/>
    </row>
    <row r="2776" spans="1:13" ht="15" customHeight="1" x14ac:dyDescent="0.35">
      <c r="A2776" t="str">
        <f t="shared" si="43"/>
        <v>P723ID01C1021</v>
      </c>
      <c r="B2776" t="str">
        <f>IFERROR(VLOOKUP($A2776,'[5]Study Budget Mapping '!$O$2:$P$532,2,0),"TBA")</f>
        <v>TBA</v>
      </c>
      <c r="D2776" s="2" t="s">
        <v>492</v>
      </c>
      <c r="E2776" s="2" t="s">
        <v>19</v>
      </c>
      <c r="F2776" s="3">
        <v>45000</v>
      </c>
      <c r="G2776" s="3">
        <v>45000</v>
      </c>
      <c r="H2776" s="4"/>
      <c r="I2776" s="4"/>
      <c r="J2776" s="4"/>
      <c r="K2776" s="4"/>
      <c r="L2776" s="4"/>
      <c r="M2776" s="4"/>
    </row>
    <row r="2777" spans="1:13" ht="15" customHeight="1" x14ac:dyDescent="0.35">
      <c r="A2777" t="str">
        <f t="shared" si="43"/>
        <v>P723ID01C1021</v>
      </c>
      <c r="B2777" t="str">
        <f>IFERROR(VLOOKUP($A2777,'[5]Study Budget Mapping '!$O$2:$P$532,2,0),"TBA")</f>
        <v>TBA</v>
      </c>
      <c r="D2777" s="2" t="s">
        <v>492</v>
      </c>
      <c r="E2777" s="2" t="s">
        <v>15</v>
      </c>
      <c r="F2777" s="3">
        <v>420000</v>
      </c>
      <c r="G2777" s="3">
        <v>420000</v>
      </c>
      <c r="H2777" s="4"/>
      <c r="I2777" s="4"/>
      <c r="J2777" s="4"/>
      <c r="K2777" s="4"/>
      <c r="L2777" s="4"/>
      <c r="M2777" s="4"/>
    </row>
    <row r="2778" spans="1:13" ht="15" customHeight="1" x14ac:dyDescent="0.35">
      <c r="A2778" t="str">
        <f t="shared" si="43"/>
        <v>P723ID01C1021</v>
      </c>
      <c r="B2778" t="str">
        <f>IFERROR(VLOOKUP($A2778,'[5]Study Budget Mapping '!$O$2:$P$532,2,0),"TBA")</f>
        <v>TBA</v>
      </c>
      <c r="D2778" s="2" t="s">
        <v>492</v>
      </c>
      <c r="E2778" s="2" t="s">
        <v>17</v>
      </c>
      <c r="F2778" s="3">
        <v>270000</v>
      </c>
      <c r="G2778" s="3">
        <v>270000</v>
      </c>
      <c r="H2778" s="4"/>
      <c r="I2778" s="4"/>
      <c r="J2778" s="4"/>
      <c r="K2778" s="4"/>
      <c r="L2778" s="4"/>
      <c r="M2778" s="4"/>
    </row>
    <row r="2779" spans="1:13" ht="15" customHeight="1" x14ac:dyDescent="0.35">
      <c r="A2779" t="str">
        <f t="shared" si="43"/>
        <v>P723ID01C1021</v>
      </c>
      <c r="B2779" t="str">
        <f>IFERROR(VLOOKUP($A2779,'[5]Study Budget Mapping '!$O$2:$P$532,2,0),"TBA")</f>
        <v>TBA</v>
      </c>
      <c r="D2779" s="2" t="s">
        <v>492</v>
      </c>
      <c r="E2779" s="2" t="s">
        <v>24</v>
      </c>
      <c r="F2779" s="3">
        <v>50000</v>
      </c>
      <c r="G2779" s="3">
        <v>50000</v>
      </c>
      <c r="H2779" s="4"/>
      <c r="I2779" s="4"/>
      <c r="J2779" s="4"/>
      <c r="K2779" s="4"/>
      <c r="L2779" s="4"/>
      <c r="M2779" s="4"/>
    </row>
    <row r="2780" spans="1:13" ht="15" customHeight="1" x14ac:dyDescent="0.35">
      <c r="A2780" t="str">
        <f t="shared" si="43"/>
        <v>P723ID01C3731</v>
      </c>
      <c r="B2780" t="str">
        <f>IFERROR(VLOOKUP($A2780,'[5]Study Budget Mapping '!$O$2:$P$532,2,0),"TBA")</f>
        <v>TBA</v>
      </c>
      <c r="D2780" s="2" t="s">
        <v>493</v>
      </c>
      <c r="E2780" s="2" t="s">
        <v>15</v>
      </c>
      <c r="F2780" s="3">
        <v>5000000</v>
      </c>
      <c r="G2780" s="3">
        <v>5000000</v>
      </c>
      <c r="H2780" s="4"/>
      <c r="I2780" s="4"/>
      <c r="J2780" s="4"/>
      <c r="K2780" s="4"/>
      <c r="L2780" s="4"/>
      <c r="M2780" s="4"/>
    </row>
    <row r="2781" spans="1:13" ht="15" customHeight="1" x14ac:dyDescent="0.35">
      <c r="A2781" t="str">
        <f t="shared" si="43"/>
        <v>P723ID01C3732</v>
      </c>
      <c r="B2781" t="str">
        <f>IFERROR(VLOOKUP($A2781,'[5]Study Budget Mapping '!$O$2:$P$532,2,0),"TBA")</f>
        <v>TBA</v>
      </c>
      <c r="D2781" s="2" t="s">
        <v>494</v>
      </c>
      <c r="E2781" s="2" t="s">
        <v>13</v>
      </c>
      <c r="F2781" s="3">
        <v>6000000</v>
      </c>
      <c r="G2781" s="3">
        <v>6000000</v>
      </c>
      <c r="H2781" s="4"/>
      <c r="I2781" s="4"/>
      <c r="J2781" s="4"/>
      <c r="K2781" s="4"/>
      <c r="L2781" s="4"/>
      <c r="M2781" s="4"/>
    </row>
    <row r="2782" spans="1:13" ht="15" customHeight="1" x14ac:dyDescent="0.35">
      <c r="A2782" t="str">
        <f t="shared" si="43"/>
        <v>P723ID01C3732</v>
      </c>
      <c r="B2782" t="str">
        <f>IFERROR(VLOOKUP($A2782,'[5]Study Budget Mapping '!$O$2:$P$532,2,0),"TBA")</f>
        <v>TBA</v>
      </c>
      <c r="D2782" s="2" t="s">
        <v>494</v>
      </c>
      <c r="E2782" s="2" t="s">
        <v>14</v>
      </c>
      <c r="F2782" s="3">
        <v>2000000</v>
      </c>
      <c r="G2782" s="3">
        <v>2000000</v>
      </c>
      <c r="H2782" s="4"/>
      <c r="I2782" s="4"/>
      <c r="J2782" s="4"/>
      <c r="K2782" s="4"/>
      <c r="L2782" s="4"/>
      <c r="M2782" s="4"/>
    </row>
    <row r="2783" spans="1:13" ht="15" customHeight="1" x14ac:dyDescent="0.35">
      <c r="A2783" t="str">
        <f t="shared" si="43"/>
        <v>P723ID01C3732</v>
      </c>
      <c r="B2783" t="str">
        <f>IFERROR(VLOOKUP($A2783,'[5]Study Budget Mapping '!$O$2:$P$532,2,0),"TBA")</f>
        <v>TBA</v>
      </c>
      <c r="D2783" s="2" t="s">
        <v>494</v>
      </c>
      <c r="E2783" s="2" t="s">
        <v>19</v>
      </c>
      <c r="F2783" s="3">
        <v>2442000</v>
      </c>
      <c r="G2783" s="3">
        <v>2442000</v>
      </c>
      <c r="H2783" s="4"/>
      <c r="I2783" s="4"/>
      <c r="J2783" s="4"/>
      <c r="K2783" s="4"/>
      <c r="L2783" s="4"/>
      <c r="M2783" s="4"/>
    </row>
    <row r="2784" spans="1:13" ht="15" customHeight="1" x14ac:dyDescent="0.35">
      <c r="A2784" t="str">
        <f t="shared" si="43"/>
        <v>P723ID01C3732</v>
      </c>
      <c r="B2784" t="str">
        <f>IFERROR(VLOOKUP($A2784,'[5]Study Budget Mapping '!$O$2:$P$532,2,0),"TBA")</f>
        <v>TBA</v>
      </c>
      <c r="D2784" s="2" t="s">
        <v>494</v>
      </c>
      <c r="E2784" s="2" t="s">
        <v>15</v>
      </c>
      <c r="F2784" s="3">
        <v>9000000</v>
      </c>
      <c r="G2784" s="3">
        <v>9000000</v>
      </c>
      <c r="H2784" s="4"/>
      <c r="I2784" s="4"/>
      <c r="J2784" s="4"/>
      <c r="K2784" s="4"/>
      <c r="L2784" s="4"/>
      <c r="M2784" s="4"/>
    </row>
    <row r="2785" spans="1:13" ht="15" customHeight="1" x14ac:dyDescent="0.35">
      <c r="A2785" t="str">
        <f t="shared" si="43"/>
        <v>P723ID01C3732</v>
      </c>
      <c r="B2785" t="str">
        <f>IFERROR(VLOOKUP($A2785,'[5]Study Budget Mapping '!$O$2:$P$532,2,0),"TBA")</f>
        <v>TBA</v>
      </c>
      <c r="D2785" s="2" t="s">
        <v>494</v>
      </c>
      <c r="E2785" s="2" t="s">
        <v>22</v>
      </c>
      <c r="F2785" s="3">
        <v>1325000</v>
      </c>
      <c r="G2785" s="3">
        <v>1325000</v>
      </c>
      <c r="H2785" s="4"/>
      <c r="I2785" s="4"/>
      <c r="J2785" s="4"/>
      <c r="K2785" s="4"/>
      <c r="L2785" s="4"/>
      <c r="M2785" s="4"/>
    </row>
    <row r="2786" spans="1:13" ht="15" customHeight="1" x14ac:dyDescent="0.35">
      <c r="A2786" t="str">
        <f t="shared" si="43"/>
        <v>P723ID01C3732</v>
      </c>
      <c r="B2786" t="str">
        <f>IFERROR(VLOOKUP($A2786,'[5]Study Budget Mapping '!$O$2:$P$532,2,0),"TBA")</f>
        <v>TBA</v>
      </c>
      <c r="D2786" s="2" t="s">
        <v>494</v>
      </c>
      <c r="E2786" s="2" t="s">
        <v>23</v>
      </c>
      <c r="F2786" s="3">
        <v>1969000</v>
      </c>
      <c r="G2786" s="3">
        <v>1969000</v>
      </c>
      <c r="H2786" s="4"/>
      <c r="I2786" s="4"/>
      <c r="J2786" s="4"/>
      <c r="K2786" s="4"/>
      <c r="L2786" s="4"/>
      <c r="M2786" s="4"/>
    </row>
    <row r="2787" spans="1:13" ht="15" customHeight="1" x14ac:dyDescent="0.35">
      <c r="A2787" t="str">
        <f t="shared" si="43"/>
        <v>P723ID01C3732</v>
      </c>
      <c r="B2787" t="str">
        <f>IFERROR(VLOOKUP($A2787,'[5]Study Budget Mapping '!$O$2:$P$532,2,0),"TBA")</f>
        <v>TBA</v>
      </c>
      <c r="D2787" s="2" t="s">
        <v>494</v>
      </c>
      <c r="E2787" s="2" t="s">
        <v>24</v>
      </c>
      <c r="F2787" s="3">
        <v>897000</v>
      </c>
      <c r="G2787" s="3">
        <v>897000</v>
      </c>
      <c r="H2787" s="4"/>
      <c r="I2787" s="4"/>
      <c r="J2787" s="4"/>
      <c r="K2787" s="4"/>
      <c r="L2787" s="4"/>
      <c r="M2787" s="4"/>
    </row>
    <row r="2788" spans="1:13" ht="15" customHeight="1" x14ac:dyDescent="0.35">
      <c r="A2788" t="str">
        <f t="shared" si="43"/>
        <v>P723ID01C3732</v>
      </c>
      <c r="B2788" t="str">
        <f>IFERROR(VLOOKUP($A2788,'[5]Study Budget Mapping '!$O$2:$P$532,2,0),"TBA")</f>
        <v>TBA</v>
      </c>
      <c r="D2788" s="2" t="s">
        <v>494</v>
      </c>
      <c r="E2788" s="2" t="s">
        <v>32</v>
      </c>
      <c r="F2788" s="3">
        <v>161000</v>
      </c>
      <c r="G2788" s="3">
        <v>161000</v>
      </c>
      <c r="H2788" s="4"/>
      <c r="I2788" s="4"/>
      <c r="J2788" s="4"/>
      <c r="K2788" s="4"/>
      <c r="L2788" s="4"/>
      <c r="M2788" s="4"/>
    </row>
    <row r="2789" spans="1:13" ht="15" customHeight="1" x14ac:dyDescent="0.35">
      <c r="A2789" t="str">
        <f t="shared" si="43"/>
        <v>P724ST04C1011</v>
      </c>
      <c r="B2789" t="str">
        <f>IFERROR(VLOOKUP($A2789,'[5]Study Budget Mapping '!$O$2:$P$532,2,0),"TBA")</f>
        <v>TBA</v>
      </c>
      <c r="D2789" s="2" t="s">
        <v>495</v>
      </c>
      <c r="E2789" s="2" t="s">
        <v>13</v>
      </c>
      <c r="F2789" s="3">
        <v>25720000</v>
      </c>
      <c r="G2789" s="3">
        <v>25720000</v>
      </c>
      <c r="H2789" s="4"/>
      <c r="I2789" s="4"/>
      <c r="J2789" s="4"/>
      <c r="K2789" s="4"/>
      <c r="L2789" s="4"/>
      <c r="M2789" s="4"/>
    </row>
    <row r="2790" spans="1:13" ht="15" customHeight="1" x14ac:dyDescent="0.35">
      <c r="A2790" t="str">
        <f t="shared" si="43"/>
        <v>P724ST04C1011</v>
      </c>
      <c r="B2790" t="str">
        <f>IFERROR(VLOOKUP($A2790,'[5]Study Budget Mapping '!$O$2:$P$532,2,0),"TBA")</f>
        <v>TBA</v>
      </c>
      <c r="D2790" s="2" t="s">
        <v>495</v>
      </c>
      <c r="E2790" s="2" t="s">
        <v>14</v>
      </c>
      <c r="F2790" s="3">
        <v>4220000</v>
      </c>
      <c r="G2790" s="3">
        <v>4220000</v>
      </c>
      <c r="H2790" s="4"/>
      <c r="I2790" s="4"/>
      <c r="J2790" s="4"/>
      <c r="K2790" s="4"/>
      <c r="L2790" s="4"/>
      <c r="M2790" s="4"/>
    </row>
    <row r="2791" spans="1:13" ht="15" customHeight="1" x14ac:dyDescent="0.35">
      <c r="A2791" t="str">
        <f t="shared" si="43"/>
        <v>P724ST04C1011</v>
      </c>
      <c r="B2791" t="str">
        <f>IFERROR(VLOOKUP($A2791,'[5]Study Budget Mapping '!$O$2:$P$532,2,0),"TBA")</f>
        <v>TBA</v>
      </c>
      <c r="D2791" s="2" t="s">
        <v>495</v>
      </c>
      <c r="E2791" s="2" t="s">
        <v>19</v>
      </c>
      <c r="F2791" s="3">
        <v>780000</v>
      </c>
      <c r="G2791" s="3">
        <v>780000</v>
      </c>
      <c r="H2791" s="4"/>
      <c r="I2791" s="4"/>
      <c r="J2791" s="4"/>
      <c r="K2791" s="4"/>
      <c r="L2791" s="4"/>
      <c r="M2791" s="4"/>
    </row>
    <row r="2792" spans="1:13" ht="15" customHeight="1" x14ac:dyDescent="0.35">
      <c r="A2792" t="str">
        <f t="shared" si="43"/>
        <v>P724ST04C1011</v>
      </c>
      <c r="B2792" t="str">
        <f>IFERROR(VLOOKUP($A2792,'[5]Study Budget Mapping '!$O$2:$P$532,2,0),"TBA")</f>
        <v>TBA</v>
      </c>
      <c r="D2792" s="2" t="s">
        <v>495</v>
      </c>
      <c r="E2792" s="2" t="s">
        <v>15</v>
      </c>
      <c r="F2792" s="3">
        <v>10000000</v>
      </c>
      <c r="G2792" s="3">
        <v>10000000</v>
      </c>
      <c r="H2792" s="4"/>
      <c r="I2792" s="4"/>
      <c r="J2792" s="4"/>
      <c r="K2792" s="4"/>
      <c r="L2792" s="4"/>
      <c r="M2792" s="4"/>
    </row>
    <row r="2793" spans="1:13" ht="15" customHeight="1" x14ac:dyDescent="0.35">
      <c r="A2793" t="str">
        <f t="shared" si="43"/>
        <v>P724ST04C1011</v>
      </c>
      <c r="B2793" t="str">
        <f>IFERROR(VLOOKUP($A2793,'[5]Study Budget Mapping '!$O$2:$P$532,2,0),"TBA")</f>
        <v>TBA</v>
      </c>
      <c r="D2793" s="2" t="s">
        <v>495</v>
      </c>
      <c r="E2793" s="2" t="s">
        <v>23</v>
      </c>
      <c r="F2793" s="3">
        <v>650000</v>
      </c>
      <c r="G2793" s="3">
        <v>650000</v>
      </c>
      <c r="H2793" s="4"/>
      <c r="I2793" s="4"/>
      <c r="J2793" s="4"/>
      <c r="K2793" s="4"/>
      <c r="L2793" s="4"/>
      <c r="M2793" s="4"/>
    </row>
    <row r="2794" spans="1:13" ht="15" customHeight="1" x14ac:dyDescent="0.35">
      <c r="A2794" t="str">
        <f t="shared" si="43"/>
        <v>P724ST04C1011</v>
      </c>
      <c r="B2794" t="str">
        <f>IFERROR(VLOOKUP($A2794,'[5]Study Budget Mapping '!$O$2:$P$532,2,0),"TBA")</f>
        <v>TBA</v>
      </c>
      <c r="D2794" s="2" t="s">
        <v>495</v>
      </c>
      <c r="E2794" s="2" t="s">
        <v>32</v>
      </c>
      <c r="F2794" s="3">
        <v>450000</v>
      </c>
      <c r="G2794" s="3">
        <v>450000</v>
      </c>
      <c r="H2794" s="4"/>
      <c r="I2794" s="4"/>
      <c r="J2794" s="4"/>
      <c r="K2794" s="4"/>
      <c r="L2794" s="4"/>
      <c r="M2794" s="4"/>
    </row>
    <row r="2795" spans="1:13" ht="15" customHeight="1" x14ac:dyDescent="0.35">
      <c r="A2795" t="str">
        <f t="shared" si="43"/>
        <v>P725NS04C1231</v>
      </c>
      <c r="B2795" t="str">
        <f>IFERROR(VLOOKUP($A2795,'[5]Study Budget Mapping '!$O$2:$P$532,2,0),"TBA")</f>
        <v>TBA</v>
      </c>
      <c r="D2795" s="2" t="s">
        <v>496</v>
      </c>
      <c r="E2795" s="2" t="s">
        <v>13</v>
      </c>
      <c r="F2795" s="3">
        <v>5700000</v>
      </c>
      <c r="G2795" s="3">
        <v>4800000</v>
      </c>
      <c r="H2795" s="4"/>
      <c r="I2795" s="4"/>
      <c r="J2795" s="4"/>
      <c r="K2795" s="4"/>
      <c r="L2795" s="4"/>
      <c r="M2795" s="4"/>
    </row>
    <row r="2796" spans="1:13" ht="15" customHeight="1" x14ac:dyDescent="0.35">
      <c r="A2796" t="str">
        <f t="shared" si="43"/>
        <v>P725NS04C1231</v>
      </c>
      <c r="B2796" t="str">
        <f>IFERROR(VLOOKUP($A2796,'[5]Study Budget Mapping '!$O$2:$P$532,2,0),"TBA")</f>
        <v>TBA</v>
      </c>
      <c r="D2796" s="2" t="s">
        <v>496</v>
      </c>
      <c r="E2796" s="2" t="s">
        <v>14</v>
      </c>
      <c r="F2796" s="3">
        <v>3210000</v>
      </c>
      <c r="G2796" s="3">
        <v>4720000</v>
      </c>
      <c r="H2796" s="4"/>
      <c r="I2796" s="4"/>
      <c r="J2796" s="4"/>
      <c r="K2796" s="4"/>
      <c r="L2796" s="4"/>
      <c r="M2796" s="4"/>
    </row>
    <row r="2797" spans="1:13" ht="15" customHeight="1" x14ac:dyDescent="0.35">
      <c r="A2797" t="str">
        <f t="shared" si="43"/>
        <v>P725NS04C1231</v>
      </c>
      <c r="B2797" t="str">
        <f>IFERROR(VLOOKUP($A2797,'[5]Study Budget Mapping '!$O$2:$P$532,2,0),"TBA")</f>
        <v>TBA</v>
      </c>
      <c r="D2797" s="2" t="s">
        <v>496</v>
      </c>
      <c r="E2797" s="2" t="s">
        <v>19</v>
      </c>
      <c r="F2797" s="3">
        <v>4320000</v>
      </c>
      <c r="G2797" s="3">
        <v>4830000</v>
      </c>
      <c r="H2797" s="4"/>
      <c r="I2797" s="4"/>
      <c r="J2797" s="4"/>
      <c r="K2797" s="4"/>
      <c r="L2797" s="4"/>
      <c r="M2797" s="4"/>
    </row>
    <row r="2798" spans="1:13" ht="15" customHeight="1" x14ac:dyDescent="0.35">
      <c r="A2798" t="str">
        <f t="shared" si="43"/>
        <v>P725NS04C1231</v>
      </c>
      <c r="B2798" t="str">
        <f>IFERROR(VLOOKUP($A2798,'[5]Study Budget Mapping '!$O$2:$P$532,2,0),"TBA")</f>
        <v>TBA</v>
      </c>
      <c r="D2798" s="2" t="s">
        <v>496</v>
      </c>
      <c r="E2798" s="2" t="s">
        <v>20</v>
      </c>
      <c r="F2798" s="3">
        <v>270000</v>
      </c>
      <c r="G2798" s="3">
        <v>0</v>
      </c>
      <c r="H2798" s="4"/>
      <c r="I2798" s="4"/>
      <c r="J2798" s="4"/>
      <c r="K2798" s="4"/>
      <c r="L2798" s="4"/>
      <c r="M2798" s="4"/>
    </row>
    <row r="2799" spans="1:13" ht="15" customHeight="1" x14ac:dyDescent="0.35">
      <c r="A2799" t="str">
        <f t="shared" si="43"/>
        <v>P725NS04C1231</v>
      </c>
      <c r="B2799" t="str">
        <f>IFERROR(VLOOKUP($A2799,'[5]Study Budget Mapping '!$O$2:$P$532,2,0),"TBA")</f>
        <v>TBA</v>
      </c>
      <c r="D2799" s="2" t="s">
        <v>496</v>
      </c>
      <c r="E2799" s="2" t="s">
        <v>31</v>
      </c>
      <c r="F2799" s="3">
        <v>1145000</v>
      </c>
      <c r="G2799" s="3">
        <v>0</v>
      </c>
      <c r="H2799" s="4"/>
      <c r="I2799" s="4"/>
      <c r="J2799" s="4"/>
      <c r="K2799" s="4"/>
      <c r="L2799" s="4"/>
      <c r="M2799" s="4"/>
    </row>
    <row r="2800" spans="1:13" ht="15" customHeight="1" x14ac:dyDescent="0.35">
      <c r="A2800" t="str">
        <f t="shared" si="43"/>
        <v>P725NS04C1231</v>
      </c>
      <c r="B2800" t="str">
        <f>IFERROR(VLOOKUP($A2800,'[5]Study Budget Mapping '!$O$2:$P$532,2,0),"TBA")</f>
        <v>TBA</v>
      </c>
      <c r="D2800" s="2" t="s">
        <v>496</v>
      </c>
      <c r="E2800" s="2" t="s">
        <v>15</v>
      </c>
      <c r="F2800" s="3">
        <v>9970000</v>
      </c>
      <c r="G2800" s="3">
        <v>10480000</v>
      </c>
      <c r="H2800" s="4"/>
      <c r="I2800" s="4"/>
      <c r="J2800" s="4"/>
      <c r="K2800" s="4"/>
      <c r="L2800" s="4"/>
      <c r="M2800" s="4"/>
    </row>
    <row r="2801" spans="1:13" ht="15" customHeight="1" x14ac:dyDescent="0.35">
      <c r="A2801" t="str">
        <f t="shared" si="43"/>
        <v>P725NS04C1231</v>
      </c>
      <c r="B2801" t="str">
        <f>IFERROR(VLOOKUP($A2801,'[5]Study Budget Mapping '!$O$2:$P$532,2,0),"TBA")</f>
        <v>TBA</v>
      </c>
      <c r="D2801" s="2" t="s">
        <v>496</v>
      </c>
      <c r="E2801" s="2" t="s">
        <v>22</v>
      </c>
      <c r="F2801" s="3">
        <v>2090000</v>
      </c>
      <c r="G2801" s="3">
        <v>1240000</v>
      </c>
      <c r="H2801" s="4"/>
      <c r="I2801" s="4"/>
      <c r="J2801" s="4"/>
      <c r="K2801" s="4"/>
      <c r="L2801" s="4"/>
      <c r="M2801" s="4"/>
    </row>
    <row r="2802" spans="1:13" ht="15" customHeight="1" x14ac:dyDescent="0.35">
      <c r="A2802" t="str">
        <f t="shared" si="43"/>
        <v>P725NS04C1231</v>
      </c>
      <c r="B2802" t="str">
        <f>IFERROR(VLOOKUP($A2802,'[5]Study Budget Mapping '!$O$2:$P$532,2,0),"TBA")</f>
        <v>TBA</v>
      </c>
      <c r="D2802" s="2" t="s">
        <v>496</v>
      </c>
      <c r="E2802" s="2" t="s">
        <v>16</v>
      </c>
      <c r="F2802" s="3">
        <v>2070000</v>
      </c>
      <c r="G2802" s="3">
        <v>2690000</v>
      </c>
      <c r="H2802" s="4"/>
      <c r="I2802" s="4"/>
      <c r="J2802" s="4"/>
      <c r="K2802" s="4"/>
      <c r="L2802" s="4"/>
      <c r="M2802" s="4"/>
    </row>
    <row r="2803" spans="1:13" ht="15" customHeight="1" x14ac:dyDescent="0.35">
      <c r="A2803" t="str">
        <f t="shared" si="43"/>
        <v>P725NS04C1231</v>
      </c>
      <c r="B2803" t="str">
        <f>IFERROR(VLOOKUP($A2803,'[5]Study Budget Mapping '!$O$2:$P$532,2,0),"TBA")</f>
        <v>TBA</v>
      </c>
      <c r="D2803" s="2" t="s">
        <v>496</v>
      </c>
      <c r="E2803" s="2" t="s">
        <v>17</v>
      </c>
      <c r="F2803" s="3">
        <v>400000</v>
      </c>
      <c r="G2803" s="3">
        <v>430000</v>
      </c>
      <c r="H2803" s="4"/>
      <c r="I2803" s="4"/>
      <c r="J2803" s="4"/>
      <c r="K2803" s="4"/>
      <c r="L2803" s="4"/>
      <c r="M2803" s="4"/>
    </row>
    <row r="2804" spans="1:13" ht="15" customHeight="1" x14ac:dyDescent="0.35">
      <c r="A2804" t="str">
        <f t="shared" si="43"/>
        <v>P725NS04C1231</v>
      </c>
      <c r="B2804" t="str">
        <f>IFERROR(VLOOKUP($A2804,'[5]Study Budget Mapping '!$O$2:$P$532,2,0),"TBA")</f>
        <v>TBA</v>
      </c>
      <c r="D2804" s="2" t="s">
        <v>496</v>
      </c>
      <c r="E2804" s="2" t="s">
        <v>23</v>
      </c>
      <c r="F2804" s="3">
        <v>620000</v>
      </c>
      <c r="G2804" s="3">
        <v>490000</v>
      </c>
      <c r="H2804" s="4"/>
      <c r="I2804" s="4"/>
      <c r="J2804" s="4"/>
      <c r="K2804" s="4"/>
      <c r="L2804" s="4"/>
      <c r="M2804" s="4"/>
    </row>
    <row r="2805" spans="1:13" ht="15" customHeight="1" x14ac:dyDescent="0.35">
      <c r="A2805" t="str">
        <f t="shared" si="43"/>
        <v>P725NS04C1231</v>
      </c>
      <c r="B2805" t="str">
        <f>IFERROR(VLOOKUP($A2805,'[5]Study Budget Mapping '!$O$2:$P$532,2,0),"TBA")</f>
        <v>TBA</v>
      </c>
      <c r="D2805" s="2" t="s">
        <v>496</v>
      </c>
      <c r="E2805" s="2" t="s">
        <v>24</v>
      </c>
      <c r="F2805" s="3">
        <v>1740000</v>
      </c>
      <c r="G2805" s="3">
        <v>1380000</v>
      </c>
      <c r="H2805" s="4"/>
      <c r="I2805" s="4"/>
      <c r="J2805" s="4"/>
      <c r="K2805" s="4"/>
      <c r="L2805" s="4"/>
      <c r="M2805" s="4"/>
    </row>
    <row r="2806" spans="1:13" ht="15" customHeight="1" x14ac:dyDescent="0.35">
      <c r="A2806" t="str">
        <f t="shared" si="43"/>
        <v>P727IM09C1021</v>
      </c>
      <c r="B2806" t="str">
        <f>IFERROR(VLOOKUP($A2806,'[5]Study Budget Mapping '!$O$2:$P$532,2,0),"TBA")</f>
        <v>TBA</v>
      </c>
      <c r="D2806" s="2" t="s">
        <v>497</v>
      </c>
      <c r="E2806" s="2" t="s">
        <v>13</v>
      </c>
      <c r="F2806" s="3">
        <v>1800000</v>
      </c>
      <c r="G2806" s="3">
        <v>1800000</v>
      </c>
      <c r="H2806" s="4"/>
      <c r="I2806" s="4"/>
      <c r="J2806" s="4"/>
      <c r="K2806" s="4"/>
      <c r="L2806" s="4"/>
      <c r="M2806" s="4"/>
    </row>
    <row r="2807" spans="1:13" ht="15" customHeight="1" x14ac:dyDescent="0.35">
      <c r="A2807" t="str">
        <f t="shared" si="43"/>
        <v>P727IM09C1021</v>
      </c>
      <c r="B2807" t="str">
        <f>IFERROR(VLOOKUP($A2807,'[5]Study Budget Mapping '!$O$2:$P$532,2,0),"TBA")</f>
        <v>TBA</v>
      </c>
      <c r="D2807" s="2" t="s">
        <v>497</v>
      </c>
      <c r="E2807" s="2" t="s">
        <v>14</v>
      </c>
      <c r="F2807" s="3">
        <v>350000</v>
      </c>
      <c r="G2807" s="3">
        <v>550000</v>
      </c>
      <c r="H2807" s="4"/>
      <c r="I2807" s="4"/>
      <c r="J2807" s="4"/>
      <c r="K2807" s="4"/>
      <c r="L2807" s="4"/>
      <c r="M2807" s="4"/>
    </row>
    <row r="2808" spans="1:13" ht="15" customHeight="1" x14ac:dyDescent="0.35">
      <c r="A2808" t="str">
        <f t="shared" si="43"/>
        <v>P727IM09C1021</v>
      </c>
      <c r="B2808" t="str">
        <f>IFERROR(VLOOKUP($A2808,'[5]Study Budget Mapping '!$O$2:$P$532,2,0),"TBA")</f>
        <v>TBA</v>
      </c>
      <c r="D2808" s="2" t="s">
        <v>497</v>
      </c>
      <c r="E2808" s="2" t="s">
        <v>19</v>
      </c>
      <c r="F2808" s="3">
        <v>70000</v>
      </c>
      <c r="G2808" s="3">
        <v>0</v>
      </c>
      <c r="H2808" s="4"/>
      <c r="I2808" s="4"/>
      <c r="J2808" s="4"/>
      <c r="K2808" s="4"/>
      <c r="L2808" s="4"/>
      <c r="M2808" s="4"/>
    </row>
    <row r="2809" spans="1:13" ht="15" customHeight="1" x14ac:dyDescent="0.35">
      <c r="A2809" t="str">
        <f t="shared" si="43"/>
        <v>P727IM09C1021</v>
      </c>
      <c r="B2809" t="str">
        <f>IFERROR(VLOOKUP($A2809,'[5]Study Budget Mapping '!$O$2:$P$532,2,0),"TBA")</f>
        <v>TBA</v>
      </c>
      <c r="D2809" s="2" t="s">
        <v>497</v>
      </c>
      <c r="E2809" s="2" t="s">
        <v>20</v>
      </c>
      <c r="F2809" s="3">
        <v>150000</v>
      </c>
      <c r="G2809" s="3">
        <v>160000</v>
      </c>
      <c r="H2809" s="4"/>
      <c r="I2809" s="4"/>
      <c r="J2809" s="4"/>
      <c r="K2809" s="4"/>
      <c r="L2809" s="4"/>
      <c r="M2809" s="4"/>
    </row>
    <row r="2810" spans="1:13" ht="15" customHeight="1" x14ac:dyDescent="0.35">
      <c r="A2810" t="str">
        <f t="shared" si="43"/>
        <v>P727IM09C1021</v>
      </c>
      <c r="B2810" t="str">
        <f>IFERROR(VLOOKUP($A2810,'[5]Study Budget Mapping '!$O$2:$P$532,2,0),"TBA")</f>
        <v>TBA</v>
      </c>
      <c r="D2810" s="2" t="s">
        <v>497</v>
      </c>
      <c r="E2810" s="2" t="s">
        <v>15</v>
      </c>
      <c r="F2810" s="3">
        <v>300000</v>
      </c>
      <c r="G2810" s="3">
        <v>470000</v>
      </c>
      <c r="H2810" s="4"/>
      <c r="I2810" s="4"/>
      <c r="J2810" s="4"/>
      <c r="K2810" s="4"/>
      <c r="L2810" s="4"/>
      <c r="M2810" s="4"/>
    </row>
    <row r="2811" spans="1:13" ht="15" customHeight="1" x14ac:dyDescent="0.35">
      <c r="A2811" t="str">
        <f t="shared" si="43"/>
        <v>P727IM09C1021</v>
      </c>
      <c r="B2811" t="str">
        <f>IFERROR(VLOOKUP($A2811,'[5]Study Budget Mapping '!$O$2:$P$532,2,0),"TBA")</f>
        <v>TBA</v>
      </c>
      <c r="D2811" s="2" t="s">
        <v>497</v>
      </c>
      <c r="E2811" s="2" t="s">
        <v>22</v>
      </c>
      <c r="F2811" s="3">
        <v>490000</v>
      </c>
      <c r="G2811" s="3">
        <v>1100000</v>
      </c>
      <c r="H2811" s="4"/>
      <c r="I2811" s="4"/>
      <c r="J2811" s="4"/>
      <c r="K2811" s="4"/>
      <c r="L2811" s="4"/>
      <c r="M2811" s="4"/>
    </row>
    <row r="2812" spans="1:13" ht="15" customHeight="1" x14ac:dyDescent="0.35">
      <c r="A2812" t="str">
        <f t="shared" si="43"/>
        <v>P727IM09C1021</v>
      </c>
      <c r="B2812" t="str">
        <f>IFERROR(VLOOKUP($A2812,'[5]Study Budget Mapping '!$O$2:$P$532,2,0),"TBA")</f>
        <v>TBA</v>
      </c>
      <c r="D2812" s="2" t="s">
        <v>497</v>
      </c>
      <c r="E2812" s="2" t="s">
        <v>16</v>
      </c>
      <c r="F2812" s="3">
        <v>30000</v>
      </c>
      <c r="G2812" s="3">
        <v>90000</v>
      </c>
      <c r="H2812" s="4"/>
      <c r="I2812" s="4"/>
      <c r="J2812" s="4"/>
      <c r="K2812" s="4"/>
      <c r="L2812" s="4"/>
      <c r="M2812" s="4"/>
    </row>
    <row r="2813" spans="1:13" ht="15" customHeight="1" x14ac:dyDescent="0.35">
      <c r="A2813" t="str">
        <f t="shared" si="43"/>
        <v>P727IM09C1021</v>
      </c>
      <c r="B2813" t="str">
        <f>IFERROR(VLOOKUP($A2813,'[5]Study Budget Mapping '!$O$2:$P$532,2,0),"TBA")</f>
        <v>TBA</v>
      </c>
      <c r="D2813" s="2" t="s">
        <v>497</v>
      </c>
      <c r="E2813" s="2" t="s">
        <v>17</v>
      </c>
      <c r="F2813" s="3">
        <v>170000</v>
      </c>
      <c r="G2813" s="3">
        <v>230000</v>
      </c>
      <c r="H2813" s="4"/>
      <c r="I2813" s="4"/>
      <c r="J2813" s="4"/>
      <c r="K2813" s="4"/>
      <c r="L2813" s="4"/>
      <c r="M2813" s="4"/>
    </row>
    <row r="2814" spans="1:13" ht="15" customHeight="1" x14ac:dyDescent="0.35">
      <c r="A2814" t="str">
        <f t="shared" si="43"/>
        <v>P727IM09C1021</v>
      </c>
      <c r="B2814" t="str">
        <f>IFERROR(VLOOKUP($A2814,'[5]Study Budget Mapping '!$O$2:$P$532,2,0),"TBA")</f>
        <v>TBA</v>
      </c>
      <c r="D2814" s="2" t="s">
        <v>497</v>
      </c>
      <c r="E2814" s="2" t="s">
        <v>24</v>
      </c>
      <c r="F2814" s="3">
        <v>20000</v>
      </c>
      <c r="G2814" s="3">
        <v>90000</v>
      </c>
      <c r="H2814" s="4"/>
      <c r="I2814" s="4"/>
      <c r="J2814" s="4"/>
      <c r="K2814" s="4"/>
      <c r="L2814" s="4"/>
      <c r="M2814" s="4"/>
    </row>
    <row r="2815" spans="1:13" ht="15" customHeight="1" x14ac:dyDescent="0.35">
      <c r="A2815" t="str">
        <f t="shared" si="43"/>
        <v>P727IM09C2411</v>
      </c>
      <c r="B2815" t="str">
        <f>IFERROR(VLOOKUP($A2815,'[5]Study Budget Mapping '!$O$2:$P$532,2,0),"TBA")</f>
        <v>TBA</v>
      </c>
      <c r="D2815" s="2" t="s">
        <v>498</v>
      </c>
      <c r="E2815" s="2" t="s">
        <v>13</v>
      </c>
      <c r="F2815" s="3">
        <v>10200000</v>
      </c>
      <c r="G2815" s="3">
        <v>10200000</v>
      </c>
      <c r="H2815" s="4"/>
      <c r="I2815" s="4"/>
      <c r="J2815" s="4"/>
      <c r="K2815" s="4"/>
      <c r="L2815" s="4"/>
      <c r="M2815" s="4"/>
    </row>
    <row r="2816" spans="1:13" ht="15" customHeight="1" x14ac:dyDescent="0.35">
      <c r="A2816" t="str">
        <f t="shared" si="43"/>
        <v>P727IM09C2411</v>
      </c>
      <c r="B2816" t="str">
        <f>IFERROR(VLOOKUP($A2816,'[5]Study Budget Mapping '!$O$2:$P$532,2,0),"TBA")</f>
        <v>TBA</v>
      </c>
      <c r="D2816" s="2" t="s">
        <v>498</v>
      </c>
      <c r="E2816" s="2" t="s">
        <v>14</v>
      </c>
      <c r="F2816" s="3">
        <v>1140000</v>
      </c>
      <c r="G2816" s="3">
        <v>1140000</v>
      </c>
      <c r="H2816" s="4"/>
      <c r="I2816" s="4"/>
      <c r="J2816" s="4"/>
      <c r="K2816" s="4"/>
      <c r="L2816" s="4"/>
      <c r="M2816" s="4"/>
    </row>
    <row r="2817" spans="1:13" ht="15" customHeight="1" x14ac:dyDescent="0.35">
      <c r="A2817" t="str">
        <f t="shared" si="43"/>
        <v>P727IM09C2411</v>
      </c>
      <c r="B2817" t="str">
        <f>IFERROR(VLOOKUP($A2817,'[5]Study Budget Mapping '!$O$2:$P$532,2,0),"TBA")</f>
        <v>TBA</v>
      </c>
      <c r="D2817" s="2" t="s">
        <v>498</v>
      </c>
      <c r="E2817" s="2" t="s">
        <v>19</v>
      </c>
      <c r="F2817" s="3">
        <v>540000</v>
      </c>
      <c r="G2817" s="3">
        <v>540000</v>
      </c>
      <c r="H2817" s="4"/>
      <c r="I2817" s="4"/>
      <c r="J2817" s="4"/>
      <c r="K2817" s="4"/>
      <c r="L2817" s="4"/>
      <c r="M2817" s="4"/>
    </row>
    <row r="2818" spans="1:13" ht="15" customHeight="1" x14ac:dyDescent="0.35">
      <c r="A2818" t="str">
        <f t="shared" si="43"/>
        <v>P727IM09C2411</v>
      </c>
      <c r="B2818" t="str">
        <f>IFERROR(VLOOKUP($A2818,'[5]Study Budget Mapping '!$O$2:$P$532,2,0),"TBA")</f>
        <v>TBA</v>
      </c>
      <c r="D2818" s="2" t="s">
        <v>498</v>
      </c>
      <c r="E2818" s="2" t="s">
        <v>15</v>
      </c>
      <c r="F2818" s="3">
        <v>5970000</v>
      </c>
      <c r="G2818" s="3">
        <v>5970000</v>
      </c>
      <c r="H2818" s="4"/>
      <c r="I2818" s="4"/>
      <c r="J2818" s="4"/>
      <c r="K2818" s="4"/>
      <c r="L2818" s="4"/>
      <c r="M2818" s="4"/>
    </row>
    <row r="2819" spans="1:13" ht="15" customHeight="1" x14ac:dyDescent="0.35">
      <c r="A2819" t="str">
        <f t="shared" ref="A2819:A2882" si="44">TRIM(_xlfn.TEXTBEFORE(D2819,"-",1))</f>
        <v>P727IM09C2411</v>
      </c>
      <c r="B2819" t="str">
        <f>IFERROR(VLOOKUP($A2819,'[5]Study Budget Mapping '!$O$2:$P$532,2,0),"TBA")</f>
        <v>TBA</v>
      </c>
      <c r="D2819" s="2" t="s">
        <v>498</v>
      </c>
      <c r="E2819" s="2" t="s">
        <v>22</v>
      </c>
      <c r="F2819" s="3">
        <v>750000</v>
      </c>
      <c r="G2819" s="3">
        <v>750000</v>
      </c>
      <c r="H2819" s="4"/>
      <c r="I2819" s="4"/>
      <c r="J2819" s="4"/>
      <c r="K2819" s="4"/>
      <c r="L2819" s="4"/>
      <c r="M2819" s="4"/>
    </row>
    <row r="2820" spans="1:13" ht="15" customHeight="1" x14ac:dyDescent="0.35">
      <c r="A2820" t="str">
        <f t="shared" si="44"/>
        <v>P727IM09C2411</v>
      </c>
      <c r="B2820" t="str">
        <f>IFERROR(VLOOKUP($A2820,'[5]Study Budget Mapping '!$O$2:$P$532,2,0),"TBA")</f>
        <v>TBA</v>
      </c>
      <c r="D2820" s="2" t="s">
        <v>498</v>
      </c>
      <c r="E2820" s="2" t="s">
        <v>16</v>
      </c>
      <c r="F2820" s="3">
        <v>1020000</v>
      </c>
      <c r="G2820" s="3">
        <v>1020000</v>
      </c>
      <c r="H2820" s="4"/>
      <c r="I2820" s="4"/>
      <c r="J2820" s="4"/>
      <c r="K2820" s="4"/>
      <c r="L2820" s="4"/>
      <c r="M2820" s="4"/>
    </row>
    <row r="2821" spans="1:13" ht="15" customHeight="1" x14ac:dyDescent="0.35">
      <c r="A2821" t="str">
        <f t="shared" si="44"/>
        <v>P727IM09C2411</v>
      </c>
      <c r="B2821" t="str">
        <f>IFERROR(VLOOKUP($A2821,'[5]Study Budget Mapping '!$O$2:$P$532,2,0),"TBA")</f>
        <v>TBA</v>
      </c>
      <c r="D2821" s="2" t="s">
        <v>498</v>
      </c>
      <c r="E2821" s="2" t="s">
        <v>17</v>
      </c>
      <c r="F2821" s="3">
        <v>370000</v>
      </c>
      <c r="G2821" s="3">
        <v>370000</v>
      </c>
      <c r="H2821" s="4"/>
      <c r="I2821" s="4"/>
      <c r="J2821" s="4"/>
      <c r="K2821" s="4"/>
      <c r="L2821" s="4"/>
      <c r="M2821" s="4"/>
    </row>
    <row r="2822" spans="1:13" ht="15" customHeight="1" x14ac:dyDescent="0.35">
      <c r="A2822" t="str">
        <f t="shared" si="44"/>
        <v>P727IM09C2411</v>
      </c>
      <c r="B2822" t="str">
        <f>IFERROR(VLOOKUP($A2822,'[5]Study Budget Mapping '!$O$2:$P$532,2,0),"TBA")</f>
        <v>TBA</v>
      </c>
      <c r="D2822" s="2" t="s">
        <v>498</v>
      </c>
      <c r="E2822" s="2" t="s">
        <v>23</v>
      </c>
      <c r="F2822" s="3">
        <v>90000</v>
      </c>
      <c r="G2822" s="3">
        <v>90000</v>
      </c>
      <c r="H2822" s="4"/>
      <c r="I2822" s="4"/>
      <c r="J2822" s="4"/>
      <c r="K2822" s="4"/>
      <c r="L2822" s="4"/>
      <c r="M2822" s="4"/>
    </row>
    <row r="2823" spans="1:13" ht="15" customHeight="1" x14ac:dyDescent="0.35">
      <c r="A2823" t="str">
        <f t="shared" si="44"/>
        <v>P727IM09C2411</v>
      </c>
      <c r="B2823" t="str">
        <f>IFERROR(VLOOKUP($A2823,'[5]Study Budget Mapping '!$O$2:$P$532,2,0),"TBA")</f>
        <v>TBA</v>
      </c>
      <c r="D2823" s="2" t="s">
        <v>498</v>
      </c>
      <c r="E2823" s="2" t="s">
        <v>24</v>
      </c>
      <c r="F2823" s="3">
        <v>700000</v>
      </c>
      <c r="G2823" s="3">
        <v>700000</v>
      </c>
      <c r="H2823" s="4"/>
      <c r="I2823" s="4"/>
      <c r="J2823" s="4"/>
      <c r="K2823" s="4"/>
      <c r="L2823" s="4"/>
      <c r="M2823" s="4"/>
    </row>
    <row r="2824" spans="1:13" ht="15" customHeight="1" x14ac:dyDescent="0.35">
      <c r="A2824" t="str">
        <f t="shared" si="44"/>
        <v>P728CV00C1121</v>
      </c>
      <c r="B2824" t="str">
        <f>IFERROR(VLOOKUP($A2824,'[5]Study Budget Mapping '!$O$2:$P$532,2,0),"TBA")</f>
        <v>TBA</v>
      </c>
      <c r="D2824" s="2" t="s">
        <v>499</v>
      </c>
      <c r="E2824" s="2" t="s">
        <v>13</v>
      </c>
      <c r="F2824" s="3">
        <v>1455000</v>
      </c>
      <c r="G2824" s="3">
        <v>1455000</v>
      </c>
      <c r="H2824" s="4"/>
      <c r="I2824" s="4"/>
      <c r="J2824" s="4"/>
      <c r="K2824" s="4"/>
      <c r="L2824" s="4"/>
      <c r="M2824" s="4"/>
    </row>
    <row r="2825" spans="1:13" ht="15" customHeight="1" x14ac:dyDescent="0.35">
      <c r="A2825" t="str">
        <f t="shared" si="44"/>
        <v>P728CV00C1121</v>
      </c>
      <c r="B2825" t="str">
        <f>IFERROR(VLOOKUP($A2825,'[5]Study Budget Mapping '!$O$2:$P$532,2,0),"TBA")</f>
        <v>TBA</v>
      </c>
      <c r="D2825" s="2" t="s">
        <v>499</v>
      </c>
      <c r="E2825" s="2" t="s">
        <v>14</v>
      </c>
      <c r="F2825" s="3">
        <v>130000</v>
      </c>
      <c r="G2825" s="3">
        <v>130000</v>
      </c>
      <c r="H2825" s="4"/>
      <c r="I2825" s="4"/>
      <c r="J2825" s="4"/>
      <c r="K2825" s="4"/>
      <c r="L2825" s="4"/>
      <c r="M2825" s="4"/>
    </row>
    <row r="2826" spans="1:13" ht="15" customHeight="1" x14ac:dyDescent="0.35">
      <c r="A2826" t="str">
        <f t="shared" si="44"/>
        <v>P728CV00C1121</v>
      </c>
      <c r="B2826" t="str">
        <f>IFERROR(VLOOKUP($A2826,'[5]Study Budget Mapping '!$O$2:$P$532,2,0),"TBA")</f>
        <v>TBA</v>
      </c>
      <c r="D2826" s="2" t="s">
        <v>499</v>
      </c>
      <c r="E2826" s="2" t="s">
        <v>19</v>
      </c>
      <c r="F2826" s="3">
        <v>30000</v>
      </c>
      <c r="G2826" s="3">
        <v>30000</v>
      </c>
      <c r="H2826" s="4"/>
      <c r="I2826" s="4"/>
      <c r="J2826" s="4"/>
      <c r="K2826" s="4"/>
      <c r="L2826" s="4"/>
      <c r="M2826" s="4"/>
    </row>
    <row r="2827" spans="1:13" ht="15" customHeight="1" x14ac:dyDescent="0.35">
      <c r="A2827" t="str">
        <f t="shared" si="44"/>
        <v>P728CV00C1121</v>
      </c>
      <c r="B2827" t="str">
        <f>IFERROR(VLOOKUP($A2827,'[5]Study Budget Mapping '!$O$2:$P$532,2,0),"TBA")</f>
        <v>TBA</v>
      </c>
      <c r="D2827" s="2" t="s">
        <v>499</v>
      </c>
      <c r="E2827" s="2" t="s">
        <v>15</v>
      </c>
      <c r="F2827" s="3">
        <v>320000</v>
      </c>
      <c r="G2827" s="3">
        <v>320000</v>
      </c>
      <c r="H2827" s="4"/>
      <c r="I2827" s="4"/>
      <c r="J2827" s="4"/>
      <c r="K2827" s="4"/>
      <c r="L2827" s="4"/>
      <c r="M2827" s="4"/>
    </row>
    <row r="2828" spans="1:13" ht="15" customHeight="1" x14ac:dyDescent="0.35">
      <c r="A2828" t="str">
        <f t="shared" si="44"/>
        <v>P728CV00C1121</v>
      </c>
      <c r="B2828" t="str">
        <f>IFERROR(VLOOKUP($A2828,'[5]Study Budget Mapping '!$O$2:$P$532,2,0),"TBA")</f>
        <v>TBA</v>
      </c>
      <c r="D2828" s="2" t="s">
        <v>499</v>
      </c>
      <c r="E2828" s="2" t="s">
        <v>22</v>
      </c>
      <c r="F2828" s="3">
        <v>644692</v>
      </c>
      <c r="G2828" s="3">
        <v>644692</v>
      </c>
      <c r="H2828" s="4"/>
      <c r="I2828" s="4"/>
      <c r="J2828" s="4"/>
      <c r="K2828" s="4"/>
      <c r="L2828" s="4"/>
      <c r="M2828" s="4"/>
    </row>
    <row r="2829" spans="1:13" ht="15" customHeight="1" x14ac:dyDescent="0.35">
      <c r="A2829" t="str">
        <f t="shared" si="44"/>
        <v>P728CV00C1121</v>
      </c>
      <c r="B2829" t="str">
        <f>IFERROR(VLOOKUP($A2829,'[5]Study Budget Mapping '!$O$2:$P$532,2,0),"TBA")</f>
        <v>TBA</v>
      </c>
      <c r="D2829" s="2" t="s">
        <v>499</v>
      </c>
      <c r="E2829" s="2" t="s">
        <v>17</v>
      </c>
      <c r="F2829" s="3">
        <v>170000</v>
      </c>
      <c r="G2829" s="3">
        <v>170000</v>
      </c>
      <c r="H2829" s="4"/>
      <c r="I2829" s="4"/>
      <c r="J2829" s="4"/>
      <c r="K2829" s="4"/>
      <c r="L2829" s="4"/>
      <c r="M2829" s="4"/>
    </row>
    <row r="2830" spans="1:13" ht="15" customHeight="1" x14ac:dyDescent="0.35">
      <c r="A2830" t="str">
        <f t="shared" si="44"/>
        <v>P728CV00C1121</v>
      </c>
      <c r="B2830" t="str">
        <f>IFERROR(VLOOKUP($A2830,'[5]Study Budget Mapping '!$O$2:$P$532,2,0),"TBA")</f>
        <v>TBA</v>
      </c>
      <c r="D2830" s="2" t="s">
        <v>499</v>
      </c>
      <c r="E2830" s="2" t="s">
        <v>24</v>
      </c>
      <c r="F2830" s="3">
        <v>40000</v>
      </c>
      <c r="G2830" s="3">
        <v>40000</v>
      </c>
      <c r="H2830" s="4"/>
      <c r="I2830" s="4"/>
      <c r="J2830" s="4"/>
      <c r="K2830" s="4"/>
      <c r="L2830" s="4"/>
      <c r="M2830" s="4"/>
    </row>
    <row r="2831" spans="1:13" ht="15" customHeight="1" x14ac:dyDescent="0.35">
      <c r="A2831" t="str">
        <f t="shared" si="44"/>
        <v>P728CV00C6231</v>
      </c>
      <c r="B2831" t="str">
        <f>IFERROR(VLOOKUP($A2831,'[5]Study Budget Mapping '!$O$2:$P$532,2,0),"TBA")</f>
        <v>TBA</v>
      </c>
      <c r="D2831" s="2" t="s">
        <v>500</v>
      </c>
      <c r="E2831" s="2" t="s">
        <v>13</v>
      </c>
      <c r="F2831" s="3">
        <v>850000</v>
      </c>
      <c r="G2831" s="3">
        <v>850000</v>
      </c>
      <c r="H2831" s="4"/>
      <c r="I2831" s="4"/>
      <c r="J2831" s="4"/>
      <c r="K2831" s="4"/>
      <c r="L2831" s="4"/>
      <c r="M2831" s="4"/>
    </row>
    <row r="2832" spans="1:13" ht="15" customHeight="1" x14ac:dyDescent="0.35">
      <c r="A2832" t="str">
        <f t="shared" si="44"/>
        <v>P728CV00C6231</v>
      </c>
      <c r="B2832" t="str">
        <f>IFERROR(VLOOKUP($A2832,'[5]Study Budget Mapping '!$O$2:$P$532,2,0),"TBA")</f>
        <v>TBA</v>
      </c>
      <c r="D2832" s="2" t="s">
        <v>500</v>
      </c>
      <c r="E2832" s="2" t="s">
        <v>14</v>
      </c>
      <c r="F2832" s="3">
        <v>30000</v>
      </c>
      <c r="G2832" s="3">
        <v>30000</v>
      </c>
      <c r="H2832" s="4"/>
      <c r="I2832" s="4"/>
      <c r="J2832" s="4"/>
      <c r="K2832" s="4"/>
      <c r="L2832" s="4"/>
      <c r="M2832" s="4"/>
    </row>
    <row r="2833" spans="1:13" ht="15" customHeight="1" x14ac:dyDescent="0.35">
      <c r="A2833" t="str">
        <f t="shared" si="44"/>
        <v>P728CV00C6231</v>
      </c>
      <c r="B2833" t="str">
        <f>IFERROR(VLOOKUP($A2833,'[5]Study Budget Mapping '!$O$2:$P$532,2,0),"TBA")</f>
        <v>TBA</v>
      </c>
      <c r="D2833" s="2" t="s">
        <v>500</v>
      </c>
      <c r="E2833" s="2" t="s">
        <v>19</v>
      </c>
      <c r="F2833" s="3">
        <v>65000</v>
      </c>
      <c r="G2833" s="3">
        <v>65000</v>
      </c>
      <c r="H2833" s="4"/>
      <c r="I2833" s="4"/>
      <c r="J2833" s="4"/>
      <c r="K2833" s="4"/>
      <c r="L2833" s="4"/>
      <c r="M2833" s="4"/>
    </row>
    <row r="2834" spans="1:13" ht="15" customHeight="1" x14ac:dyDescent="0.35">
      <c r="A2834" t="str">
        <f t="shared" si="44"/>
        <v>P728CV00C6231</v>
      </c>
      <c r="B2834" t="str">
        <f>IFERROR(VLOOKUP($A2834,'[5]Study Budget Mapping '!$O$2:$P$532,2,0),"TBA")</f>
        <v>TBA</v>
      </c>
      <c r="D2834" s="2" t="s">
        <v>500</v>
      </c>
      <c r="E2834" s="2" t="s">
        <v>31</v>
      </c>
      <c r="F2834" s="3">
        <v>730000</v>
      </c>
      <c r="G2834" s="3">
        <v>730000</v>
      </c>
      <c r="H2834" s="4"/>
      <c r="I2834" s="4"/>
      <c r="J2834" s="4"/>
      <c r="K2834" s="4"/>
      <c r="L2834" s="4"/>
      <c r="M2834" s="4"/>
    </row>
    <row r="2835" spans="1:13" ht="15" customHeight="1" x14ac:dyDescent="0.35">
      <c r="A2835" t="str">
        <f t="shared" si="44"/>
        <v>P728CV00C6231</v>
      </c>
      <c r="B2835" t="str">
        <f>IFERROR(VLOOKUP($A2835,'[5]Study Budget Mapping '!$O$2:$P$532,2,0),"TBA")</f>
        <v>TBA</v>
      </c>
      <c r="D2835" s="2" t="s">
        <v>500</v>
      </c>
      <c r="E2835" s="2" t="s">
        <v>22</v>
      </c>
      <c r="F2835" s="3">
        <v>845000</v>
      </c>
      <c r="G2835" s="3">
        <v>845000</v>
      </c>
      <c r="H2835" s="4"/>
      <c r="I2835" s="4"/>
      <c r="J2835" s="4"/>
      <c r="K2835" s="4"/>
      <c r="L2835" s="4"/>
      <c r="M2835" s="4"/>
    </row>
    <row r="2836" spans="1:13" ht="15" customHeight="1" x14ac:dyDescent="0.35">
      <c r="A2836" t="str">
        <f t="shared" si="44"/>
        <v>P728CV00C6231</v>
      </c>
      <c r="B2836" t="str">
        <f>IFERROR(VLOOKUP($A2836,'[5]Study Budget Mapping '!$O$2:$P$532,2,0),"TBA")</f>
        <v>TBA</v>
      </c>
      <c r="D2836" s="2" t="s">
        <v>500</v>
      </c>
      <c r="E2836" s="2" t="s">
        <v>23</v>
      </c>
      <c r="F2836" s="3">
        <v>80000</v>
      </c>
      <c r="G2836" s="3">
        <v>80000</v>
      </c>
      <c r="H2836" s="4"/>
      <c r="I2836" s="4"/>
      <c r="J2836" s="4"/>
      <c r="K2836" s="4"/>
      <c r="L2836" s="4"/>
      <c r="M2836" s="4"/>
    </row>
    <row r="2837" spans="1:13" ht="15" customHeight="1" x14ac:dyDescent="0.35">
      <c r="A2837" t="str">
        <f t="shared" si="44"/>
        <v>P728CV00C2431</v>
      </c>
      <c r="B2837" t="str">
        <f>IFERROR(VLOOKUP($A2837,'[5]Study Budget Mapping '!$O$2:$P$532,2,0),"TBA")</f>
        <v>TBA</v>
      </c>
      <c r="D2837" s="2" t="s">
        <v>501</v>
      </c>
      <c r="E2837" s="2" t="s">
        <v>13</v>
      </c>
      <c r="F2837" s="3">
        <v>14000000</v>
      </c>
      <c r="G2837" s="3">
        <v>14000000</v>
      </c>
      <c r="H2837" s="4"/>
      <c r="I2837" s="4"/>
      <c r="J2837" s="4"/>
      <c r="K2837" s="4"/>
      <c r="L2837" s="4"/>
      <c r="M2837" s="4"/>
    </row>
    <row r="2838" spans="1:13" ht="15" customHeight="1" x14ac:dyDescent="0.35">
      <c r="A2838" t="str">
        <f t="shared" si="44"/>
        <v>P728CV00C2431</v>
      </c>
      <c r="B2838" t="str">
        <f>IFERROR(VLOOKUP($A2838,'[5]Study Budget Mapping '!$O$2:$P$532,2,0),"TBA")</f>
        <v>TBA</v>
      </c>
      <c r="D2838" s="2" t="s">
        <v>501</v>
      </c>
      <c r="E2838" s="2" t="s">
        <v>14</v>
      </c>
      <c r="F2838" s="3">
        <v>1230000</v>
      </c>
      <c r="G2838" s="3">
        <v>1230000</v>
      </c>
      <c r="H2838" s="4"/>
      <c r="I2838" s="4"/>
      <c r="J2838" s="4"/>
      <c r="K2838" s="4"/>
      <c r="L2838" s="4"/>
      <c r="M2838" s="4"/>
    </row>
    <row r="2839" spans="1:13" ht="15" customHeight="1" x14ac:dyDescent="0.35">
      <c r="A2839" t="str">
        <f t="shared" si="44"/>
        <v>P728CV00C2431</v>
      </c>
      <c r="B2839" t="str">
        <f>IFERROR(VLOOKUP($A2839,'[5]Study Budget Mapping '!$O$2:$P$532,2,0),"TBA")</f>
        <v>TBA</v>
      </c>
      <c r="D2839" s="2" t="s">
        <v>501</v>
      </c>
      <c r="E2839" s="2" t="s">
        <v>19</v>
      </c>
      <c r="F2839" s="3">
        <v>4030000</v>
      </c>
      <c r="G2839" s="3">
        <v>4030000</v>
      </c>
      <c r="H2839" s="4"/>
      <c r="I2839" s="4"/>
      <c r="J2839" s="4"/>
      <c r="K2839" s="4"/>
      <c r="L2839" s="4"/>
      <c r="M2839" s="4"/>
    </row>
    <row r="2840" spans="1:13" ht="15" customHeight="1" x14ac:dyDescent="0.35">
      <c r="A2840" t="str">
        <f t="shared" si="44"/>
        <v>P728CV00C2431</v>
      </c>
      <c r="B2840" t="str">
        <f>IFERROR(VLOOKUP($A2840,'[5]Study Budget Mapping '!$O$2:$P$532,2,0),"TBA")</f>
        <v>TBA</v>
      </c>
      <c r="D2840" s="2" t="s">
        <v>501</v>
      </c>
      <c r="E2840" s="2" t="s">
        <v>20</v>
      </c>
      <c r="F2840" s="3">
        <v>1110000</v>
      </c>
      <c r="G2840" s="3">
        <v>1110000</v>
      </c>
      <c r="H2840" s="4"/>
      <c r="I2840" s="4"/>
      <c r="J2840" s="4"/>
      <c r="K2840" s="4"/>
      <c r="L2840" s="4"/>
      <c r="M2840" s="4"/>
    </row>
    <row r="2841" spans="1:13" ht="15" customHeight="1" x14ac:dyDescent="0.35">
      <c r="A2841" t="str">
        <f t="shared" si="44"/>
        <v>P728CV00C2431</v>
      </c>
      <c r="B2841" t="str">
        <f>IFERROR(VLOOKUP($A2841,'[5]Study Budget Mapping '!$O$2:$P$532,2,0),"TBA")</f>
        <v>TBA</v>
      </c>
      <c r="D2841" s="2" t="s">
        <v>501</v>
      </c>
      <c r="E2841" s="2" t="s">
        <v>31</v>
      </c>
      <c r="F2841" s="3">
        <v>180000</v>
      </c>
      <c r="G2841" s="3">
        <v>180000</v>
      </c>
      <c r="H2841" s="4"/>
      <c r="I2841" s="4"/>
      <c r="J2841" s="4"/>
      <c r="K2841" s="4"/>
      <c r="L2841" s="4"/>
      <c r="M2841" s="4"/>
    </row>
    <row r="2842" spans="1:13" ht="15" customHeight="1" x14ac:dyDescent="0.35">
      <c r="A2842" t="str">
        <f t="shared" si="44"/>
        <v>P728CV00C2431</v>
      </c>
      <c r="B2842" t="str">
        <f>IFERROR(VLOOKUP($A2842,'[5]Study Budget Mapping '!$O$2:$P$532,2,0),"TBA")</f>
        <v>TBA</v>
      </c>
      <c r="D2842" s="2" t="s">
        <v>501</v>
      </c>
      <c r="E2842" s="2" t="s">
        <v>15</v>
      </c>
      <c r="F2842" s="3">
        <v>10350000</v>
      </c>
      <c r="G2842" s="3">
        <v>10350000</v>
      </c>
      <c r="H2842" s="4"/>
      <c r="I2842" s="4"/>
      <c r="J2842" s="4"/>
      <c r="K2842" s="4"/>
      <c r="L2842" s="4"/>
      <c r="M2842" s="4"/>
    </row>
    <row r="2843" spans="1:13" ht="15" customHeight="1" x14ac:dyDescent="0.35">
      <c r="A2843" t="str">
        <f t="shared" si="44"/>
        <v>P728CV00C2431</v>
      </c>
      <c r="B2843" t="str">
        <f>IFERROR(VLOOKUP($A2843,'[5]Study Budget Mapping '!$O$2:$P$532,2,0),"TBA")</f>
        <v>TBA</v>
      </c>
      <c r="D2843" s="2" t="s">
        <v>501</v>
      </c>
      <c r="E2843" s="2" t="s">
        <v>22</v>
      </c>
      <c r="F2843" s="3">
        <v>1430000</v>
      </c>
      <c r="G2843" s="3">
        <v>1430000</v>
      </c>
      <c r="H2843" s="4"/>
      <c r="I2843" s="4"/>
      <c r="J2843" s="4"/>
      <c r="K2843" s="4"/>
      <c r="L2843" s="4"/>
      <c r="M2843" s="4"/>
    </row>
    <row r="2844" spans="1:13" ht="15" customHeight="1" x14ac:dyDescent="0.35">
      <c r="A2844" t="str">
        <f t="shared" si="44"/>
        <v>P728CV00C2431</v>
      </c>
      <c r="B2844" t="str">
        <f>IFERROR(VLOOKUP($A2844,'[5]Study Budget Mapping '!$O$2:$P$532,2,0),"TBA")</f>
        <v>TBA</v>
      </c>
      <c r="D2844" s="2" t="s">
        <v>501</v>
      </c>
      <c r="E2844" s="2" t="s">
        <v>16</v>
      </c>
      <c r="F2844" s="3">
        <v>1720000</v>
      </c>
      <c r="G2844" s="3">
        <v>1720000</v>
      </c>
      <c r="H2844" s="4"/>
      <c r="I2844" s="4"/>
      <c r="J2844" s="4"/>
      <c r="K2844" s="4"/>
      <c r="L2844" s="4"/>
      <c r="M2844" s="4"/>
    </row>
    <row r="2845" spans="1:13" ht="15" customHeight="1" x14ac:dyDescent="0.35">
      <c r="A2845" t="str">
        <f t="shared" si="44"/>
        <v>P728CV00C2431</v>
      </c>
      <c r="B2845" t="str">
        <f>IFERROR(VLOOKUP($A2845,'[5]Study Budget Mapping '!$O$2:$P$532,2,0),"TBA")</f>
        <v>TBA</v>
      </c>
      <c r="D2845" s="2" t="s">
        <v>501</v>
      </c>
      <c r="E2845" s="2" t="s">
        <v>17</v>
      </c>
      <c r="F2845" s="3">
        <v>390000</v>
      </c>
      <c r="G2845" s="3">
        <v>390000</v>
      </c>
      <c r="H2845" s="4"/>
      <c r="I2845" s="4"/>
      <c r="J2845" s="4"/>
      <c r="K2845" s="4"/>
      <c r="L2845" s="4"/>
      <c r="M2845" s="4"/>
    </row>
    <row r="2846" spans="1:13" ht="15" customHeight="1" x14ac:dyDescent="0.35">
      <c r="A2846" t="str">
        <f t="shared" si="44"/>
        <v>P728CV00C2431</v>
      </c>
      <c r="B2846" t="str">
        <f>IFERROR(VLOOKUP($A2846,'[5]Study Budget Mapping '!$O$2:$P$532,2,0),"TBA")</f>
        <v>TBA</v>
      </c>
      <c r="D2846" s="2" t="s">
        <v>501</v>
      </c>
      <c r="E2846" s="2" t="s">
        <v>23</v>
      </c>
      <c r="F2846" s="3">
        <v>210000</v>
      </c>
      <c r="G2846" s="3">
        <v>210000</v>
      </c>
      <c r="H2846" s="4"/>
      <c r="I2846" s="4"/>
      <c r="J2846" s="4"/>
      <c r="K2846" s="4"/>
      <c r="L2846" s="4"/>
      <c r="M2846" s="4"/>
    </row>
    <row r="2847" spans="1:13" ht="15" customHeight="1" x14ac:dyDescent="0.35">
      <c r="A2847" t="str">
        <f t="shared" si="44"/>
        <v>P728CV00C2431</v>
      </c>
      <c r="B2847" t="str">
        <f>IFERROR(VLOOKUP($A2847,'[5]Study Budget Mapping '!$O$2:$P$532,2,0),"TBA")</f>
        <v>TBA</v>
      </c>
      <c r="D2847" s="2" t="s">
        <v>501</v>
      </c>
      <c r="E2847" s="2" t="s">
        <v>24</v>
      </c>
      <c r="F2847" s="3">
        <v>1230000</v>
      </c>
      <c r="G2847" s="3">
        <v>1230000</v>
      </c>
      <c r="H2847" s="4"/>
      <c r="I2847" s="4"/>
      <c r="J2847" s="4"/>
      <c r="K2847" s="4"/>
      <c r="L2847" s="4"/>
      <c r="M2847" s="4"/>
    </row>
    <row r="2848" spans="1:13" ht="15" customHeight="1" x14ac:dyDescent="0.35">
      <c r="A2848" t="str">
        <f t="shared" si="44"/>
        <v>P728CV00C2431</v>
      </c>
      <c r="B2848" t="str">
        <f>IFERROR(VLOOKUP($A2848,'[5]Study Budget Mapping '!$O$2:$P$532,2,0),"TBA")</f>
        <v>TBA</v>
      </c>
      <c r="D2848" s="2" t="s">
        <v>501</v>
      </c>
      <c r="E2848" s="2" t="s">
        <v>32</v>
      </c>
      <c r="F2848" s="3">
        <v>50000</v>
      </c>
      <c r="G2848" s="3">
        <v>50000</v>
      </c>
      <c r="H2848" s="4"/>
      <c r="I2848" s="4"/>
      <c r="J2848" s="4"/>
      <c r="K2848" s="4"/>
      <c r="L2848" s="4"/>
      <c r="M2848" s="4"/>
    </row>
    <row r="2849" spans="1:13" ht="15" customHeight="1" x14ac:dyDescent="0.35">
      <c r="A2849" t="str">
        <f t="shared" si="44"/>
        <v>P730ST15C2231</v>
      </c>
      <c r="B2849" t="str">
        <f>IFERROR(VLOOKUP($A2849,'[5]Study Budget Mapping '!$O$2:$P$532,2,0),"TBA")</f>
        <v>TBA</v>
      </c>
      <c r="D2849" s="2" t="s">
        <v>502</v>
      </c>
      <c r="E2849" s="2" t="s">
        <v>13</v>
      </c>
      <c r="F2849" s="3">
        <v>30400000</v>
      </c>
      <c r="G2849" s="3">
        <v>30400000</v>
      </c>
      <c r="H2849" s="4"/>
      <c r="I2849" s="4"/>
      <c r="J2849" s="4"/>
      <c r="K2849" s="4"/>
      <c r="L2849" s="4"/>
      <c r="M2849" s="4"/>
    </row>
    <row r="2850" spans="1:13" ht="15" customHeight="1" x14ac:dyDescent="0.35">
      <c r="A2850" t="str">
        <f t="shared" si="44"/>
        <v>P730ST15C2231</v>
      </c>
      <c r="B2850" t="str">
        <f>IFERROR(VLOOKUP($A2850,'[5]Study Budget Mapping '!$O$2:$P$532,2,0),"TBA")</f>
        <v>TBA</v>
      </c>
      <c r="D2850" s="2" t="s">
        <v>502</v>
      </c>
      <c r="E2850" s="2" t="s">
        <v>14</v>
      </c>
      <c r="F2850" s="3">
        <v>2365000</v>
      </c>
      <c r="G2850" s="3">
        <v>2365000</v>
      </c>
      <c r="H2850" s="4"/>
      <c r="I2850" s="4"/>
      <c r="J2850" s="4"/>
      <c r="K2850" s="4"/>
      <c r="L2850" s="4"/>
      <c r="M2850" s="4"/>
    </row>
    <row r="2851" spans="1:13" ht="15" customHeight="1" x14ac:dyDescent="0.35">
      <c r="A2851" t="str">
        <f t="shared" si="44"/>
        <v>P730ST15C2231</v>
      </c>
      <c r="B2851" t="str">
        <f>IFERROR(VLOOKUP($A2851,'[5]Study Budget Mapping '!$O$2:$P$532,2,0),"TBA")</f>
        <v>TBA</v>
      </c>
      <c r="D2851" s="2" t="s">
        <v>502</v>
      </c>
      <c r="E2851" s="2" t="s">
        <v>144</v>
      </c>
      <c r="F2851" s="3">
        <v>665000</v>
      </c>
      <c r="G2851" s="3">
        <v>665000</v>
      </c>
      <c r="H2851" s="4"/>
      <c r="I2851" s="4"/>
      <c r="J2851" s="4"/>
      <c r="K2851" s="4"/>
      <c r="L2851" s="4"/>
      <c r="M2851" s="4"/>
    </row>
    <row r="2852" spans="1:13" ht="15" customHeight="1" x14ac:dyDescent="0.35">
      <c r="A2852" t="str">
        <f t="shared" si="44"/>
        <v>P730ST15C2231</v>
      </c>
      <c r="B2852" t="str">
        <f>IFERROR(VLOOKUP($A2852,'[5]Study Budget Mapping '!$O$2:$P$532,2,0),"TBA")</f>
        <v>TBA</v>
      </c>
      <c r="D2852" s="2" t="s">
        <v>502</v>
      </c>
      <c r="E2852" s="2" t="s">
        <v>20</v>
      </c>
      <c r="F2852" s="3">
        <v>725000</v>
      </c>
      <c r="G2852" s="3">
        <v>725000</v>
      </c>
      <c r="H2852" s="4"/>
      <c r="I2852" s="4"/>
      <c r="J2852" s="4"/>
      <c r="K2852" s="4"/>
      <c r="L2852" s="4"/>
      <c r="M2852" s="4"/>
    </row>
    <row r="2853" spans="1:13" ht="15" customHeight="1" x14ac:dyDescent="0.35">
      <c r="A2853" t="str">
        <f t="shared" si="44"/>
        <v>P730ST15C2231</v>
      </c>
      <c r="B2853" t="str">
        <f>IFERROR(VLOOKUP($A2853,'[5]Study Budget Mapping '!$O$2:$P$532,2,0),"TBA")</f>
        <v>TBA</v>
      </c>
      <c r="D2853" s="2" t="s">
        <v>502</v>
      </c>
      <c r="E2853" s="2" t="s">
        <v>15</v>
      </c>
      <c r="F2853" s="3">
        <v>6430000</v>
      </c>
      <c r="G2853" s="3">
        <v>6430000</v>
      </c>
      <c r="H2853" s="4"/>
      <c r="I2853" s="4"/>
      <c r="J2853" s="4"/>
      <c r="K2853" s="4"/>
      <c r="L2853" s="4"/>
      <c r="M2853" s="4"/>
    </row>
    <row r="2854" spans="1:13" ht="15" customHeight="1" x14ac:dyDescent="0.35">
      <c r="A2854" t="str">
        <f t="shared" si="44"/>
        <v>P730ST15C2231</v>
      </c>
      <c r="B2854" t="str">
        <f>IFERROR(VLOOKUP($A2854,'[5]Study Budget Mapping '!$O$2:$P$532,2,0),"TBA")</f>
        <v>TBA</v>
      </c>
      <c r="D2854" s="2" t="s">
        <v>502</v>
      </c>
      <c r="E2854" s="2" t="s">
        <v>22</v>
      </c>
      <c r="F2854" s="3">
        <v>1770000</v>
      </c>
      <c r="G2854" s="3">
        <v>1770000</v>
      </c>
      <c r="H2854" s="4"/>
      <c r="I2854" s="4"/>
      <c r="J2854" s="4"/>
      <c r="K2854" s="4"/>
      <c r="L2854" s="4"/>
      <c r="M2854" s="4"/>
    </row>
    <row r="2855" spans="1:13" ht="15" customHeight="1" x14ac:dyDescent="0.35">
      <c r="A2855" t="str">
        <f t="shared" si="44"/>
        <v>P730ST15C2231</v>
      </c>
      <c r="B2855" t="str">
        <f>IFERROR(VLOOKUP($A2855,'[5]Study Budget Mapping '!$O$2:$P$532,2,0),"TBA")</f>
        <v>TBA</v>
      </c>
      <c r="D2855" s="2" t="s">
        <v>502</v>
      </c>
      <c r="E2855" s="2" t="s">
        <v>16</v>
      </c>
      <c r="F2855" s="3">
        <v>1740000</v>
      </c>
      <c r="G2855" s="3">
        <v>1740000</v>
      </c>
      <c r="H2855" s="4"/>
      <c r="I2855" s="4"/>
      <c r="J2855" s="4"/>
      <c r="K2855" s="4"/>
      <c r="L2855" s="4"/>
      <c r="M2855" s="4"/>
    </row>
    <row r="2856" spans="1:13" ht="15" customHeight="1" x14ac:dyDescent="0.35">
      <c r="A2856" t="str">
        <f t="shared" si="44"/>
        <v>P730ST15C2231</v>
      </c>
      <c r="B2856" t="str">
        <f>IFERROR(VLOOKUP($A2856,'[5]Study Budget Mapping '!$O$2:$P$532,2,0),"TBA")</f>
        <v>TBA</v>
      </c>
      <c r="D2856" s="2" t="s">
        <v>502</v>
      </c>
      <c r="E2856" s="2" t="s">
        <v>17</v>
      </c>
      <c r="F2856" s="3">
        <v>475000</v>
      </c>
      <c r="G2856" s="3">
        <v>475000</v>
      </c>
      <c r="H2856" s="4"/>
      <c r="I2856" s="4"/>
      <c r="J2856" s="4"/>
      <c r="K2856" s="4"/>
      <c r="L2856" s="4"/>
      <c r="M2856" s="4"/>
    </row>
    <row r="2857" spans="1:13" ht="15" customHeight="1" x14ac:dyDescent="0.35">
      <c r="A2857" t="str">
        <f t="shared" si="44"/>
        <v>P730ST15C2231</v>
      </c>
      <c r="B2857" t="str">
        <f>IFERROR(VLOOKUP($A2857,'[5]Study Budget Mapping '!$O$2:$P$532,2,0),"TBA")</f>
        <v>TBA</v>
      </c>
      <c r="D2857" s="2" t="s">
        <v>502</v>
      </c>
      <c r="E2857" s="2" t="s">
        <v>23</v>
      </c>
      <c r="F2857" s="3">
        <v>1045000</v>
      </c>
      <c r="G2857" s="3">
        <v>1045000</v>
      </c>
      <c r="H2857" s="4"/>
      <c r="I2857" s="4"/>
      <c r="J2857" s="4"/>
      <c r="K2857" s="4"/>
      <c r="L2857" s="4"/>
      <c r="M2857" s="4"/>
    </row>
    <row r="2858" spans="1:13" ht="15" customHeight="1" x14ac:dyDescent="0.35">
      <c r="A2858" t="str">
        <f t="shared" si="44"/>
        <v>P730ST15C2231</v>
      </c>
      <c r="B2858" t="str">
        <f>IFERROR(VLOOKUP($A2858,'[5]Study Budget Mapping '!$O$2:$P$532,2,0),"TBA")</f>
        <v>TBA</v>
      </c>
      <c r="D2858" s="2" t="s">
        <v>502</v>
      </c>
      <c r="E2858" s="2" t="s">
        <v>24</v>
      </c>
      <c r="F2858" s="3">
        <v>620000</v>
      </c>
      <c r="G2858" s="3">
        <v>620000</v>
      </c>
      <c r="H2858" s="4"/>
      <c r="I2858" s="4"/>
      <c r="J2858" s="4"/>
      <c r="K2858" s="4"/>
      <c r="L2858" s="4"/>
      <c r="M2858" s="4"/>
    </row>
    <row r="2859" spans="1:13" ht="15" customHeight="1" x14ac:dyDescent="0.35">
      <c r="A2859" t="str">
        <f t="shared" si="44"/>
        <v>P730ST15C2231</v>
      </c>
      <c r="B2859" t="str">
        <f>IFERROR(VLOOKUP($A2859,'[5]Study Budget Mapping '!$O$2:$P$532,2,0),"TBA")</f>
        <v>TBA</v>
      </c>
      <c r="D2859" s="2" t="s">
        <v>502</v>
      </c>
      <c r="E2859" s="2" t="s">
        <v>32</v>
      </c>
      <c r="F2859" s="3">
        <v>420000</v>
      </c>
      <c r="G2859" s="3">
        <v>420000</v>
      </c>
      <c r="H2859" s="4"/>
      <c r="I2859" s="4"/>
      <c r="J2859" s="4"/>
      <c r="K2859" s="4"/>
      <c r="L2859" s="4"/>
      <c r="M2859" s="4"/>
    </row>
    <row r="2860" spans="1:13" ht="15" customHeight="1" x14ac:dyDescent="0.35">
      <c r="A2860" t="str">
        <f t="shared" si="44"/>
        <v>P731ID01C1021</v>
      </c>
      <c r="B2860" t="str">
        <f>IFERROR(VLOOKUP($A2860,'[5]Study Budget Mapping '!$O$2:$P$532,2,0),"TBA")</f>
        <v>TBA</v>
      </c>
      <c r="D2860" s="2" t="s">
        <v>503</v>
      </c>
      <c r="E2860" s="2" t="s">
        <v>13</v>
      </c>
      <c r="F2860" s="3">
        <v>1350000</v>
      </c>
      <c r="G2860" s="3">
        <v>1350000</v>
      </c>
      <c r="H2860" s="4"/>
      <c r="I2860" s="4"/>
      <c r="J2860" s="4"/>
      <c r="K2860" s="4"/>
      <c r="L2860" s="4"/>
      <c r="M2860" s="4"/>
    </row>
    <row r="2861" spans="1:13" ht="15" customHeight="1" x14ac:dyDescent="0.35">
      <c r="A2861" t="str">
        <f t="shared" si="44"/>
        <v>P731ID01C1021</v>
      </c>
      <c r="B2861" t="str">
        <f>IFERROR(VLOOKUP($A2861,'[5]Study Budget Mapping '!$O$2:$P$532,2,0),"TBA")</f>
        <v>TBA</v>
      </c>
      <c r="D2861" s="2" t="s">
        <v>503</v>
      </c>
      <c r="E2861" s="2" t="s">
        <v>14</v>
      </c>
      <c r="F2861" s="3">
        <v>445000</v>
      </c>
      <c r="G2861" s="3">
        <v>445000</v>
      </c>
      <c r="H2861" s="4"/>
      <c r="I2861" s="4"/>
      <c r="J2861" s="4"/>
      <c r="K2861" s="4"/>
      <c r="L2861" s="4"/>
      <c r="M2861" s="4"/>
    </row>
    <row r="2862" spans="1:13" ht="15" customHeight="1" x14ac:dyDescent="0.35">
      <c r="A2862" t="str">
        <f t="shared" si="44"/>
        <v>P731ID01C1021</v>
      </c>
      <c r="B2862" t="str">
        <f>IFERROR(VLOOKUP($A2862,'[5]Study Budget Mapping '!$O$2:$P$532,2,0),"TBA")</f>
        <v>TBA</v>
      </c>
      <c r="D2862" s="2" t="s">
        <v>503</v>
      </c>
      <c r="E2862" s="2" t="s">
        <v>19</v>
      </c>
      <c r="F2862" s="3">
        <v>395000</v>
      </c>
      <c r="G2862" s="3">
        <v>395000</v>
      </c>
      <c r="H2862" s="4"/>
      <c r="I2862" s="4"/>
      <c r="J2862" s="4"/>
      <c r="K2862" s="4"/>
      <c r="L2862" s="4"/>
      <c r="M2862" s="4"/>
    </row>
    <row r="2863" spans="1:13" ht="15" customHeight="1" x14ac:dyDescent="0.35">
      <c r="A2863" t="str">
        <f t="shared" si="44"/>
        <v>P731ID01C1021</v>
      </c>
      <c r="B2863" t="str">
        <f>IFERROR(VLOOKUP($A2863,'[5]Study Budget Mapping '!$O$2:$P$532,2,0),"TBA")</f>
        <v>TBA</v>
      </c>
      <c r="D2863" s="2" t="s">
        <v>503</v>
      </c>
      <c r="E2863" s="2" t="s">
        <v>15</v>
      </c>
      <c r="F2863" s="3">
        <v>420000</v>
      </c>
      <c r="G2863" s="3">
        <v>420000</v>
      </c>
      <c r="H2863" s="4"/>
      <c r="I2863" s="4"/>
      <c r="J2863" s="4"/>
      <c r="K2863" s="4"/>
      <c r="L2863" s="4"/>
      <c r="M2863" s="4"/>
    </row>
    <row r="2864" spans="1:13" ht="15" customHeight="1" x14ac:dyDescent="0.35">
      <c r="A2864" t="str">
        <f t="shared" si="44"/>
        <v>P731ID01C1021</v>
      </c>
      <c r="B2864" t="str">
        <f>IFERROR(VLOOKUP($A2864,'[5]Study Budget Mapping '!$O$2:$P$532,2,0),"TBA")</f>
        <v>TBA</v>
      </c>
      <c r="D2864" s="2" t="s">
        <v>503</v>
      </c>
      <c r="E2864" s="2" t="s">
        <v>22</v>
      </c>
      <c r="F2864" s="3">
        <v>510000</v>
      </c>
      <c r="G2864" s="3">
        <v>510000</v>
      </c>
      <c r="H2864" s="4"/>
      <c r="I2864" s="4"/>
      <c r="J2864" s="4"/>
      <c r="K2864" s="4"/>
      <c r="L2864" s="4"/>
      <c r="M2864" s="4"/>
    </row>
    <row r="2865" spans="1:13" ht="15" customHeight="1" x14ac:dyDescent="0.35">
      <c r="A2865" t="str">
        <f t="shared" si="44"/>
        <v>P731ID01C6011</v>
      </c>
      <c r="B2865" t="str">
        <f>IFERROR(VLOOKUP($A2865,'[5]Study Budget Mapping '!$O$2:$P$532,2,0),"TBA")</f>
        <v>TBA</v>
      </c>
      <c r="D2865" s="2" t="s">
        <v>504</v>
      </c>
      <c r="E2865" s="2" t="s">
        <v>19</v>
      </c>
      <c r="F2865" s="3">
        <v>225000</v>
      </c>
      <c r="G2865" s="3">
        <v>225000</v>
      </c>
      <c r="H2865" s="4"/>
      <c r="I2865" s="4"/>
      <c r="J2865" s="4"/>
      <c r="K2865" s="4"/>
      <c r="L2865" s="4"/>
      <c r="M2865" s="4"/>
    </row>
    <row r="2866" spans="1:13" ht="15" customHeight="1" x14ac:dyDescent="0.35">
      <c r="A2866" t="str">
        <f t="shared" si="44"/>
        <v>P733HE08C1021</v>
      </c>
      <c r="B2866" t="str">
        <f>IFERROR(VLOOKUP($A2866,'[5]Study Budget Mapping '!$O$2:$P$532,2,0),"TBA")</f>
        <v>TBA</v>
      </c>
      <c r="D2866" s="2" t="s">
        <v>505</v>
      </c>
      <c r="E2866" s="2" t="s">
        <v>13</v>
      </c>
      <c r="F2866" s="3">
        <v>1400000</v>
      </c>
      <c r="G2866" s="3">
        <v>1400000</v>
      </c>
      <c r="H2866" s="4"/>
      <c r="I2866" s="4"/>
      <c r="J2866" s="4"/>
      <c r="K2866" s="4"/>
      <c r="L2866" s="4"/>
      <c r="M2866" s="4"/>
    </row>
    <row r="2867" spans="1:13" ht="15" customHeight="1" x14ac:dyDescent="0.35">
      <c r="A2867" t="str">
        <f t="shared" si="44"/>
        <v>P733HE08C1021</v>
      </c>
      <c r="B2867" t="str">
        <f>IFERROR(VLOOKUP($A2867,'[5]Study Budget Mapping '!$O$2:$P$532,2,0),"TBA")</f>
        <v>TBA</v>
      </c>
      <c r="D2867" s="2" t="s">
        <v>505</v>
      </c>
      <c r="E2867" s="2" t="s">
        <v>14</v>
      </c>
      <c r="F2867" s="3">
        <v>500000</v>
      </c>
      <c r="G2867" s="3">
        <v>500000</v>
      </c>
      <c r="H2867" s="4"/>
      <c r="I2867" s="4"/>
      <c r="J2867" s="4"/>
      <c r="K2867" s="4"/>
      <c r="L2867" s="4"/>
      <c r="M2867" s="4"/>
    </row>
    <row r="2868" spans="1:13" ht="15" customHeight="1" x14ac:dyDescent="0.35">
      <c r="A2868" t="str">
        <f t="shared" si="44"/>
        <v>P733HE08C1021</v>
      </c>
      <c r="B2868" t="str">
        <f>IFERROR(VLOOKUP($A2868,'[5]Study Budget Mapping '!$O$2:$P$532,2,0),"TBA")</f>
        <v>TBA</v>
      </c>
      <c r="D2868" s="2" t="s">
        <v>505</v>
      </c>
      <c r="E2868" s="2" t="s">
        <v>19</v>
      </c>
      <c r="F2868" s="3">
        <v>10000</v>
      </c>
      <c r="G2868" s="3">
        <v>10000</v>
      </c>
      <c r="H2868" s="4"/>
      <c r="I2868" s="4"/>
      <c r="J2868" s="4"/>
      <c r="K2868" s="4"/>
      <c r="L2868" s="4"/>
      <c r="M2868" s="4"/>
    </row>
    <row r="2869" spans="1:13" ht="15" customHeight="1" x14ac:dyDescent="0.35">
      <c r="A2869" t="str">
        <f t="shared" si="44"/>
        <v>P733HE08C1021</v>
      </c>
      <c r="B2869" t="str">
        <f>IFERROR(VLOOKUP($A2869,'[5]Study Budget Mapping '!$O$2:$P$532,2,0),"TBA")</f>
        <v>TBA</v>
      </c>
      <c r="D2869" s="2" t="s">
        <v>505</v>
      </c>
      <c r="E2869" s="2" t="s">
        <v>22</v>
      </c>
      <c r="F2869" s="3">
        <v>570000</v>
      </c>
      <c r="G2869" s="3">
        <v>570000</v>
      </c>
      <c r="H2869" s="4"/>
      <c r="I2869" s="4"/>
      <c r="J2869" s="4"/>
      <c r="K2869" s="4"/>
      <c r="L2869" s="4"/>
      <c r="M2869" s="4"/>
    </row>
    <row r="2870" spans="1:13" ht="15" customHeight="1" x14ac:dyDescent="0.35">
      <c r="A2870" t="str">
        <f t="shared" si="44"/>
        <v>P733HE08C1021</v>
      </c>
      <c r="B2870" t="str">
        <f>IFERROR(VLOOKUP($A2870,'[5]Study Budget Mapping '!$O$2:$P$532,2,0),"TBA")</f>
        <v>TBA</v>
      </c>
      <c r="D2870" s="2" t="s">
        <v>505</v>
      </c>
      <c r="E2870" s="2" t="s">
        <v>17</v>
      </c>
      <c r="F2870" s="3">
        <v>140000</v>
      </c>
      <c r="G2870" s="3">
        <v>140000</v>
      </c>
      <c r="H2870" s="4"/>
      <c r="I2870" s="4"/>
      <c r="J2870" s="4"/>
      <c r="K2870" s="4"/>
      <c r="L2870" s="4"/>
      <c r="M2870" s="4"/>
    </row>
    <row r="2871" spans="1:13" ht="15" customHeight="1" x14ac:dyDescent="0.35">
      <c r="A2871" t="str">
        <f t="shared" si="44"/>
        <v>P733HE08C1021</v>
      </c>
      <c r="B2871" t="str">
        <f>IFERROR(VLOOKUP($A2871,'[5]Study Budget Mapping '!$O$2:$P$532,2,0),"TBA")</f>
        <v>TBA</v>
      </c>
      <c r="D2871" s="2" t="s">
        <v>505</v>
      </c>
      <c r="E2871" s="2" t="s">
        <v>24</v>
      </c>
      <c r="F2871" s="3">
        <v>30000</v>
      </c>
      <c r="G2871" s="3">
        <v>30000</v>
      </c>
      <c r="H2871" s="4"/>
      <c r="I2871" s="4"/>
      <c r="J2871" s="4"/>
      <c r="K2871" s="4"/>
      <c r="L2871" s="4"/>
      <c r="M2871" s="4"/>
    </row>
    <row r="2872" spans="1:13" ht="15" customHeight="1" x14ac:dyDescent="0.35">
      <c r="A2872" t="str">
        <f t="shared" si="44"/>
        <v>P733HE08C1021</v>
      </c>
      <c r="B2872" t="str">
        <f>IFERROR(VLOOKUP($A2872,'[5]Study Budget Mapping '!$O$2:$P$532,2,0),"TBA")</f>
        <v>TBA</v>
      </c>
      <c r="D2872" s="2" t="s">
        <v>505</v>
      </c>
      <c r="E2872" s="2" t="s">
        <v>32</v>
      </c>
      <c r="F2872" s="3">
        <v>580000</v>
      </c>
      <c r="G2872" s="3">
        <v>580000</v>
      </c>
      <c r="H2872" s="4"/>
      <c r="I2872" s="4"/>
      <c r="J2872" s="4"/>
      <c r="K2872" s="4"/>
      <c r="L2872" s="4"/>
      <c r="M2872" s="4"/>
    </row>
    <row r="2873" spans="1:13" ht="15" customHeight="1" x14ac:dyDescent="0.35">
      <c r="A2873" t="str">
        <f t="shared" si="44"/>
        <v>P734HE08C1021</v>
      </c>
      <c r="B2873" t="str">
        <f>IFERROR(VLOOKUP($A2873,'[5]Study Budget Mapping '!$O$2:$P$532,2,0),"TBA")</f>
        <v>TBA</v>
      </c>
      <c r="D2873" s="2" t="s">
        <v>506</v>
      </c>
      <c r="E2873" s="2" t="s">
        <v>13</v>
      </c>
      <c r="F2873" s="3">
        <v>1100000</v>
      </c>
      <c r="G2873" s="3">
        <v>1100000</v>
      </c>
      <c r="H2873" s="4"/>
      <c r="I2873" s="4"/>
      <c r="J2873" s="4"/>
      <c r="K2873" s="4"/>
      <c r="L2873" s="4"/>
      <c r="M2873" s="4"/>
    </row>
    <row r="2874" spans="1:13" ht="15" customHeight="1" x14ac:dyDescent="0.35">
      <c r="A2874" t="str">
        <f t="shared" si="44"/>
        <v>P734HE08C1021</v>
      </c>
      <c r="B2874" t="str">
        <f>IFERROR(VLOOKUP($A2874,'[5]Study Budget Mapping '!$O$2:$P$532,2,0),"TBA")</f>
        <v>TBA</v>
      </c>
      <c r="D2874" s="2" t="s">
        <v>506</v>
      </c>
      <c r="E2874" s="2" t="s">
        <v>14</v>
      </c>
      <c r="F2874" s="3">
        <v>450000</v>
      </c>
      <c r="G2874" s="3">
        <v>450000</v>
      </c>
      <c r="H2874" s="4"/>
      <c r="I2874" s="4"/>
      <c r="J2874" s="4"/>
      <c r="K2874" s="4"/>
      <c r="L2874" s="4"/>
      <c r="M2874" s="4"/>
    </row>
    <row r="2875" spans="1:13" ht="15" customHeight="1" x14ac:dyDescent="0.35">
      <c r="A2875" t="str">
        <f t="shared" si="44"/>
        <v>P734HE08C1021</v>
      </c>
      <c r="B2875" t="str">
        <f>IFERROR(VLOOKUP($A2875,'[5]Study Budget Mapping '!$O$2:$P$532,2,0),"TBA")</f>
        <v>TBA</v>
      </c>
      <c r="D2875" s="2" t="s">
        <v>506</v>
      </c>
      <c r="E2875" s="2" t="s">
        <v>19</v>
      </c>
      <c r="F2875" s="3">
        <v>10000</v>
      </c>
      <c r="G2875" s="3">
        <v>10000</v>
      </c>
      <c r="H2875" s="4"/>
      <c r="I2875" s="4"/>
      <c r="J2875" s="4"/>
      <c r="K2875" s="4"/>
      <c r="L2875" s="4"/>
      <c r="M2875" s="4"/>
    </row>
    <row r="2876" spans="1:13" ht="15" customHeight="1" x14ac:dyDescent="0.35">
      <c r="A2876" t="str">
        <f t="shared" si="44"/>
        <v>P734HE08C1021</v>
      </c>
      <c r="B2876" t="str">
        <f>IFERROR(VLOOKUP($A2876,'[5]Study Budget Mapping '!$O$2:$P$532,2,0),"TBA")</f>
        <v>TBA</v>
      </c>
      <c r="D2876" s="2" t="s">
        <v>506</v>
      </c>
      <c r="E2876" s="2" t="s">
        <v>22</v>
      </c>
      <c r="F2876" s="3">
        <v>610000</v>
      </c>
      <c r="G2876" s="3">
        <v>610000</v>
      </c>
      <c r="H2876" s="4"/>
      <c r="I2876" s="4"/>
      <c r="J2876" s="4"/>
      <c r="K2876" s="4"/>
      <c r="L2876" s="4"/>
      <c r="M2876" s="4"/>
    </row>
    <row r="2877" spans="1:13" ht="15" customHeight="1" x14ac:dyDescent="0.35">
      <c r="A2877" t="str">
        <f t="shared" si="44"/>
        <v>P734HE08C1021</v>
      </c>
      <c r="B2877" t="str">
        <f>IFERROR(VLOOKUP($A2877,'[5]Study Budget Mapping '!$O$2:$P$532,2,0),"TBA")</f>
        <v>TBA</v>
      </c>
      <c r="D2877" s="2" t="s">
        <v>506</v>
      </c>
      <c r="E2877" s="2" t="s">
        <v>17</v>
      </c>
      <c r="F2877" s="3">
        <v>150000</v>
      </c>
      <c r="G2877" s="3">
        <v>150000</v>
      </c>
      <c r="H2877" s="4"/>
      <c r="I2877" s="4"/>
      <c r="J2877" s="4"/>
      <c r="K2877" s="4"/>
      <c r="L2877" s="4"/>
      <c r="M2877" s="4"/>
    </row>
    <row r="2878" spans="1:13" ht="15" customHeight="1" x14ac:dyDescent="0.35">
      <c r="A2878" t="str">
        <f t="shared" si="44"/>
        <v>P734HE08C1021</v>
      </c>
      <c r="B2878" t="str">
        <f>IFERROR(VLOOKUP($A2878,'[5]Study Budget Mapping '!$O$2:$P$532,2,0),"TBA")</f>
        <v>TBA</v>
      </c>
      <c r="D2878" s="2" t="s">
        <v>506</v>
      </c>
      <c r="E2878" s="2" t="s">
        <v>24</v>
      </c>
      <c r="F2878" s="3">
        <v>50000</v>
      </c>
      <c r="G2878" s="3">
        <v>50000</v>
      </c>
      <c r="H2878" s="4"/>
      <c r="I2878" s="4"/>
      <c r="J2878" s="4"/>
      <c r="K2878" s="4"/>
      <c r="L2878" s="4"/>
      <c r="M2878" s="4"/>
    </row>
    <row r="2879" spans="1:13" ht="15" customHeight="1" x14ac:dyDescent="0.35">
      <c r="A2879" t="str">
        <f t="shared" si="44"/>
        <v>P734HE08C1021</v>
      </c>
      <c r="B2879" t="str">
        <f>IFERROR(VLOOKUP($A2879,'[5]Study Budget Mapping '!$O$2:$P$532,2,0),"TBA")</f>
        <v>TBA</v>
      </c>
      <c r="D2879" s="2" t="s">
        <v>506</v>
      </c>
      <c r="E2879" s="2" t="s">
        <v>32</v>
      </c>
      <c r="F2879" s="3">
        <v>260000</v>
      </c>
      <c r="G2879" s="3">
        <v>260000</v>
      </c>
      <c r="H2879" s="4"/>
      <c r="I2879" s="4"/>
      <c r="J2879" s="4"/>
      <c r="K2879" s="4"/>
      <c r="L2879" s="4"/>
      <c r="M2879" s="4"/>
    </row>
    <row r="2880" spans="1:13" ht="15" customHeight="1" x14ac:dyDescent="0.35">
      <c r="A2880" t="str">
        <f t="shared" si="44"/>
        <v>P736ST00C2602</v>
      </c>
      <c r="B2880" t="str">
        <f>IFERROR(VLOOKUP($A2880,'[5]Study Budget Mapping '!$O$2:$P$532,2,0),"TBA")</f>
        <v>TBA</v>
      </c>
      <c r="D2880" s="2" t="s">
        <v>507</v>
      </c>
      <c r="E2880" s="2" t="s">
        <v>13</v>
      </c>
      <c r="F2880" s="3">
        <v>18200000</v>
      </c>
      <c r="G2880" s="3">
        <v>18200000</v>
      </c>
      <c r="H2880" s="4"/>
      <c r="I2880" s="4"/>
      <c r="J2880" s="4"/>
      <c r="K2880" s="4"/>
      <c r="L2880" s="4"/>
      <c r="M2880" s="4"/>
    </row>
    <row r="2881" spans="1:13" ht="15" customHeight="1" x14ac:dyDescent="0.35">
      <c r="A2881" t="str">
        <f t="shared" si="44"/>
        <v>P736ST00C2602</v>
      </c>
      <c r="B2881" t="str">
        <f>IFERROR(VLOOKUP($A2881,'[5]Study Budget Mapping '!$O$2:$P$532,2,0),"TBA")</f>
        <v>TBA</v>
      </c>
      <c r="D2881" s="2" t="s">
        <v>507</v>
      </c>
      <c r="E2881" s="2" t="s">
        <v>14</v>
      </c>
      <c r="F2881" s="3">
        <v>3650000</v>
      </c>
      <c r="G2881" s="3">
        <v>3650000</v>
      </c>
      <c r="H2881" s="4"/>
      <c r="I2881" s="4"/>
      <c r="J2881" s="4"/>
      <c r="K2881" s="4"/>
      <c r="L2881" s="4"/>
      <c r="M2881" s="4"/>
    </row>
    <row r="2882" spans="1:13" ht="15" customHeight="1" x14ac:dyDescent="0.35">
      <c r="A2882" t="str">
        <f t="shared" si="44"/>
        <v>P736ST00C2602</v>
      </c>
      <c r="B2882" t="str">
        <f>IFERROR(VLOOKUP($A2882,'[5]Study Budget Mapping '!$O$2:$P$532,2,0),"TBA")</f>
        <v>TBA</v>
      </c>
      <c r="D2882" s="2" t="s">
        <v>507</v>
      </c>
      <c r="E2882" s="2" t="s">
        <v>19</v>
      </c>
      <c r="F2882" s="3">
        <v>1900000</v>
      </c>
      <c r="G2882" s="3">
        <v>1900000</v>
      </c>
      <c r="H2882" s="4"/>
      <c r="I2882" s="4"/>
      <c r="J2882" s="4"/>
      <c r="K2882" s="4"/>
      <c r="L2882" s="4"/>
      <c r="M2882" s="4"/>
    </row>
    <row r="2883" spans="1:13" ht="15" customHeight="1" x14ac:dyDescent="0.35">
      <c r="A2883" t="str">
        <f t="shared" ref="A2883:A2946" si="45">TRIM(_xlfn.TEXTBEFORE(D2883,"-",1))</f>
        <v>P736ST00C2602</v>
      </c>
      <c r="B2883" t="str">
        <f>IFERROR(VLOOKUP($A2883,'[5]Study Budget Mapping '!$O$2:$P$532,2,0),"TBA")</f>
        <v>TBA</v>
      </c>
      <c r="D2883" s="2" t="s">
        <v>507</v>
      </c>
      <c r="E2883" s="2" t="s">
        <v>15</v>
      </c>
      <c r="F2883" s="3">
        <v>12250000</v>
      </c>
      <c r="G2883" s="3">
        <v>12250000</v>
      </c>
      <c r="H2883" s="4"/>
      <c r="I2883" s="4"/>
      <c r="J2883" s="4"/>
      <c r="K2883" s="4"/>
      <c r="L2883" s="4"/>
      <c r="M2883" s="4"/>
    </row>
    <row r="2884" spans="1:13" ht="15" customHeight="1" x14ac:dyDescent="0.35">
      <c r="A2884" t="str">
        <f t="shared" si="45"/>
        <v>P736ST00C2602</v>
      </c>
      <c r="B2884" t="str">
        <f>IFERROR(VLOOKUP($A2884,'[5]Study Budget Mapping '!$O$2:$P$532,2,0),"TBA")</f>
        <v>TBA</v>
      </c>
      <c r="D2884" s="2" t="s">
        <v>507</v>
      </c>
      <c r="E2884" s="2" t="s">
        <v>16</v>
      </c>
      <c r="F2884" s="3">
        <v>450000</v>
      </c>
      <c r="G2884" s="3">
        <v>450000</v>
      </c>
      <c r="H2884" s="4"/>
      <c r="I2884" s="4"/>
      <c r="J2884" s="4"/>
      <c r="K2884" s="4"/>
      <c r="L2884" s="4"/>
      <c r="M2884" s="4"/>
    </row>
    <row r="2885" spans="1:13" ht="15" customHeight="1" x14ac:dyDescent="0.35">
      <c r="A2885" t="str">
        <f t="shared" si="45"/>
        <v>P736ST00C2602</v>
      </c>
      <c r="B2885" t="str">
        <f>IFERROR(VLOOKUP($A2885,'[5]Study Budget Mapping '!$O$2:$P$532,2,0),"TBA")</f>
        <v>TBA</v>
      </c>
      <c r="D2885" s="2" t="s">
        <v>507</v>
      </c>
      <c r="E2885" s="2" t="s">
        <v>17</v>
      </c>
      <c r="F2885" s="3">
        <v>280000</v>
      </c>
      <c r="G2885" s="3">
        <v>280000</v>
      </c>
      <c r="H2885" s="4"/>
      <c r="I2885" s="4"/>
      <c r="J2885" s="4"/>
      <c r="K2885" s="4"/>
      <c r="L2885" s="4"/>
      <c r="M2885" s="4"/>
    </row>
    <row r="2886" spans="1:13" ht="15" customHeight="1" x14ac:dyDescent="0.35">
      <c r="A2886" t="str">
        <f t="shared" si="45"/>
        <v>P736ST00C2602</v>
      </c>
      <c r="B2886" t="str">
        <f>IFERROR(VLOOKUP($A2886,'[5]Study Budget Mapping '!$O$2:$P$532,2,0),"TBA")</f>
        <v>TBA</v>
      </c>
      <c r="D2886" s="2" t="s">
        <v>507</v>
      </c>
      <c r="E2886" s="2" t="s">
        <v>28</v>
      </c>
      <c r="F2886" s="3">
        <v>500000</v>
      </c>
      <c r="G2886" s="3">
        <v>500000</v>
      </c>
      <c r="H2886" s="4"/>
      <c r="I2886" s="4"/>
      <c r="J2886" s="4"/>
      <c r="K2886" s="4"/>
      <c r="L2886" s="4"/>
      <c r="M2886" s="4"/>
    </row>
    <row r="2887" spans="1:13" ht="15" customHeight="1" x14ac:dyDescent="0.35">
      <c r="A2887" t="str">
        <f t="shared" si="45"/>
        <v>P736ST00C2602</v>
      </c>
      <c r="B2887" t="str">
        <f>IFERROR(VLOOKUP($A2887,'[5]Study Budget Mapping '!$O$2:$P$532,2,0),"TBA")</f>
        <v>TBA</v>
      </c>
      <c r="D2887" s="2" t="s">
        <v>507</v>
      </c>
      <c r="E2887" s="2" t="s">
        <v>23</v>
      </c>
      <c r="F2887" s="3">
        <v>3930000</v>
      </c>
      <c r="G2887" s="3">
        <v>3930000</v>
      </c>
      <c r="H2887" s="4"/>
      <c r="I2887" s="4"/>
      <c r="J2887" s="4"/>
      <c r="K2887" s="4"/>
      <c r="L2887" s="4"/>
      <c r="M2887" s="4"/>
    </row>
    <row r="2888" spans="1:13" ht="15" customHeight="1" x14ac:dyDescent="0.35">
      <c r="A2888" t="str">
        <f t="shared" si="45"/>
        <v>P736ST00C2602</v>
      </c>
      <c r="B2888" t="str">
        <f>IFERROR(VLOOKUP($A2888,'[5]Study Budget Mapping '!$O$2:$P$532,2,0),"TBA")</f>
        <v>TBA</v>
      </c>
      <c r="D2888" s="2" t="s">
        <v>507</v>
      </c>
      <c r="E2888" s="2" t="s">
        <v>24</v>
      </c>
      <c r="F2888" s="3">
        <v>350000</v>
      </c>
      <c r="G2888" s="3">
        <v>350000</v>
      </c>
      <c r="H2888" s="4"/>
      <c r="I2888" s="4"/>
      <c r="J2888" s="4"/>
      <c r="K2888" s="4"/>
      <c r="L2888" s="4"/>
      <c r="M2888" s="4"/>
    </row>
    <row r="2889" spans="1:13" ht="15" customHeight="1" x14ac:dyDescent="0.35">
      <c r="A2889" t="str">
        <f t="shared" si="45"/>
        <v>P736ST13C2731</v>
      </c>
      <c r="B2889" t="str">
        <f>IFERROR(VLOOKUP($A2889,'[5]Study Budget Mapping '!$O$2:$P$532,2,0),"TBA")</f>
        <v>TBA</v>
      </c>
      <c r="D2889" s="2" t="s">
        <v>508</v>
      </c>
      <c r="E2889" s="2" t="s">
        <v>15</v>
      </c>
      <c r="F2889" s="3">
        <v>6000000</v>
      </c>
      <c r="G2889" s="3">
        <v>6000000</v>
      </c>
      <c r="H2889" s="4"/>
      <c r="I2889" s="4"/>
      <c r="J2889" s="4"/>
      <c r="K2889" s="4"/>
      <c r="L2889" s="4"/>
      <c r="M2889" s="4"/>
    </row>
    <row r="2890" spans="1:13" ht="15" customHeight="1" x14ac:dyDescent="0.35">
      <c r="A2890" t="str">
        <f t="shared" si="45"/>
        <v>P740ID01C1021</v>
      </c>
      <c r="B2890" t="str">
        <f>IFERROR(VLOOKUP($A2890,'[5]Study Budget Mapping '!$O$2:$P$532,2,0),"TBA")</f>
        <v>TBA</v>
      </c>
      <c r="D2890" s="2" t="s">
        <v>509</v>
      </c>
      <c r="E2890" s="2" t="s">
        <v>13</v>
      </c>
      <c r="F2890" s="3">
        <v>2000000</v>
      </c>
      <c r="G2890" s="3">
        <v>2000000</v>
      </c>
      <c r="H2890" s="4"/>
      <c r="I2890" s="4"/>
      <c r="J2890" s="4"/>
      <c r="K2890" s="4"/>
      <c r="L2890" s="4"/>
      <c r="M2890" s="4"/>
    </row>
    <row r="2891" spans="1:13" ht="15" customHeight="1" x14ac:dyDescent="0.35">
      <c r="A2891" t="str">
        <f t="shared" si="45"/>
        <v>P740ID01C1021</v>
      </c>
      <c r="B2891" t="str">
        <f>IFERROR(VLOOKUP($A2891,'[5]Study Budget Mapping '!$O$2:$P$532,2,0),"TBA")</f>
        <v>TBA</v>
      </c>
      <c r="D2891" s="2" t="s">
        <v>509</v>
      </c>
      <c r="E2891" s="2" t="s">
        <v>14</v>
      </c>
      <c r="F2891" s="3">
        <v>370000</v>
      </c>
      <c r="G2891" s="3">
        <v>370000</v>
      </c>
      <c r="H2891" s="4"/>
      <c r="I2891" s="4"/>
      <c r="J2891" s="4"/>
      <c r="K2891" s="4"/>
      <c r="L2891" s="4"/>
      <c r="M2891" s="4"/>
    </row>
    <row r="2892" spans="1:13" ht="15" customHeight="1" x14ac:dyDescent="0.35">
      <c r="A2892" t="str">
        <f t="shared" si="45"/>
        <v>P740ID01C1021</v>
      </c>
      <c r="B2892" t="str">
        <f>IFERROR(VLOOKUP($A2892,'[5]Study Budget Mapping '!$O$2:$P$532,2,0),"TBA")</f>
        <v>TBA</v>
      </c>
      <c r="D2892" s="2" t="s">
        <v>509</v>
      </c>
      <c r="E2892" s="2" t="s">
        <v>19</v>
      </c>
      <c r="F2892" s="3">
        <v>20000</v>
      </c>
      <c r="G2892" s="3">
        <v>20000</v>
      </c>
      <c r="H2892" s="4"/>
      <c r="I2892" s="4"/>
      <c r="J2892" s="4"/>
      <c r="K2892" s="4"/>
      <c r="L2892" s="4"/>
      <c r="M2892" s="4"/>
    </row>
    <row r="2893" spans="1:13" ht="15" customHeight="1" x14ac:dyDescent="0.35">
      <c r="A2893" t="str">
        <f t="shared" si="45"/>
        <v>P740ID01C1021</v>
      </c>
      <c r="B2893" t="str">
        <f>IFERROR(VLOOKUP($A2893,'[5]Study Budget Mapping '!$O$2:$P$532,2,0),"TBA")</f>
        <v>TBA</v>
      </c>
      <c r="D2893" s="2" t="s">
        <v>509</v>
      </c>
      <c r="E2893" s="2" t="s">
        <v>15</v>
      </c>
      <c r="F2893" s="3">
        <v>640000</v>
      </c>
      <c r="G2893" s="3">
        <v>640000</v>
      </c>
      <c r="H2893" s="4"/>
      <c r="I2893" s="4"/>
      <c r="J2893" s="4"/>
      <c r="K2893" s="4"/>
      <c r="L2893" s="4"/>
      <c r="M2893" s="4"/>
    </row>
    <row r="2894" spans="1:13" ht="15" customHeight="1" x14ac:dyDescent="0.35">
      <c r="A2894" t="str">
        <f t="shared" si="45"/>
        <v>P740ID01C1021</v>
      </c>
      <c r="B2894" t="str">
        <f>IFERROR(VLOOKUP($A2894,'[5]Study Budget Mapping '!$O$2:$P$532,2,0),"TBA")</f>
        <v>TBA</v>
      </c>
      <c r="D2894" s="2" t="s">
        <v>509</v>
      </c>
      <c r="E2894" s="2" t="s">
        <v>22</v>
      </c>
      <c r="F2894" s="3">
        <v>1080000</v>
      </c>
      <c r="G2894" s="3">
        <v>1080000</v>
      </c>
      <c r="H2894" s="4"/>
      <c r="I2894" s="4"/>
      <c r="J2894" s="4"/>
      <c r="K2894" s="4"/>
      <c r="L2894" s="4"/>
      <c r="M2894" s="4"/>
    </row>
    <row r="2895" spans="1:13" ht="15" customHeight="1" x14ac:dyDescent="0.35">
      <c r="A2895" t="str">
        <f t="shared" si="45"/>
        <v>P740ID01C1021</v>
      </c>
      <c r="B2895" t="str">
        <f>IFERROR(VLOOKUP($A2895,'[5]Study Budget Mapping '!$O$2:$P$532,2,0),"TBA")</f>
        <v>TBA</v>
      </c>
      <c r="D2895" s="2" t="s">
        <v>509</v>
      </c>
      <c r="E2895" s="2" t="s">
        <v>17</v>
      </c>
      <c r="F2895" s="3">
        <v>320000</v>
      </c>
      <c r="G2895" s="3">
        <v>320000</v>
      </c>
      <c r="H2895" s="4"/>
      <c r="I2895" s="4"/>
      <c r="J2895" s="4"/>
      <c r="K2895" s="4"/>
      <c r="L2895" s="4"/>
      <c r="M2895" s="4"/>
    </row>
    <row r="2896" spans="1:13" ht="15" customHeight="1" x14ac:dyDescent="0.35">
      <c r="A2896" t="str">
        <f t="shared" si="45"/>
        <v>P740ID01C1021</v>
      </c>
      <c r="B2896" t="str">
        <f>IFERROR(VLOOKUP($A2896,'[5]Study Budget Mapping '!$O$2:$P$532,2,0),"TBA")</f>
        <v>TBA</v>
      </c>
      <c r="D2896" s="2" t="s">
        <v>509</v>
      </c>
      <c r="E2896" s="2" t="s">
        <v>24</v>
      </c>
      <c r="F2896" s="3">
        <v>70000</v>
      </c>
      <c r="G2896" s="3">
        <v>70000</v>
      </c>
      <c r="H2896" s="4"/>
      <c r="I2896" s="4"/>
      <c r="J2896" s="4"/>
      <c r="K2896" s="4"/>
      <c r="L2896" s="4"/>
      <c r="M2896" s="4"/>
    </row>
    <row r="2897" spans="1:13" ht="15" customHeight="1" x14ac:dyDescent="0.35">
      <c r="A2897" t="str">
        <f t="shared" si="45"/>
        <v>P740ID01C3731</v>
      </c>
      <c r="B2897" t="str">
        <f>IFERROR(VLOOKUP($A2897,'[5]Study Budget Mapping '!$O$2:$P$532,2,0),"TBA")</f>
        <v>TBA</v>
      </c>
      <c r="D2897" s="2" t="s">
        <v>510</v>
      </c>
      <c r="E2897" s="2" t="s">
        <v>13</v>
      </c>
      <c r="F2897" s="3">
        <v>57650000</v>
      </c>
      <c r="G2897" s="3">
        <v>57650000</v>
      </c>
      <c r="H2897" s="4"/>
      <c r="I2897" s="4"/>
      <c r="J2897" s="4"/>
      <c r="K2897" s="4"/>
      <c r="L2897" s="4"/>
      <c r="M2897" s="4"/>
    </row>
    <row r="2898" spans="1:13" ht="15" customHeight="1" x14ac:dyDescent="0.35">
      <c r="A2898" t="str">
        <f t="shared" si="45"/>
        <v>P740ID01C3731</v>
      </c>
      <c r="B2898" t="str">
        <f>IFERROR(VLOOKUP($A2898,'[5]Study Budget Mapping '!$O$2:$P$532,2,0),"TBA")</f>
        <v>TBA</v>
      </c>
      <c r="D2898" s="2" t="s">
        <v>510</v>
      </c>
      <c r="E2898" s="2" t="s">
        <v>14</v>
      </c>
      <c r="F2898" s="3">
        <v>13400000</v>
      </c>
      <c r="G2898" s="3">
        <v>13400000</v>
      </c>
      <c r="H2898" s="4"/>
      <c r="I2898" s="4"/>
      <c r="J2898" s="4"/>
      <c r="K2898" s="4"/>
      <c r="L2898" s="4"/>
      <c r="M2898" s="4"/>
    </row>
    <row r="2899" spans="1:13" ht="15" customHeight="1" x14ac:dyDescent="0.35">
      <c r="A2899" t="str">
        <f t="shared" si="45"/>
        <v>P740ID01C3731</v>
      </c>
      <c r="B2899" t="str">
        <f>IFERROR(VLOOKUP($A2899,'[5]Study Budget Mapping '!$O$2:$P$532,2,0),"TBA")</f>
        <v>TBA</v>
      </c>
      <c r="D2899" s="2" t="s">
        <v>510</v>
      </c>
      <c r="E2899" s="2" t="s">
        <v>19</v>
      </c>
      <c r="F2899" s="3">
        <v>2390000</v>
      </c>
      <c r="G2899" s="3">
        <v>2390000</v>
      </c>
      <c r="H2899" s="4"/>
      <c r="I2899" s="4"/>
      <c r="J2899" s="4"/>
      <c r="K2899" s="4"/>
      <c r="L2899" s="4"/>
      <c r="M2899" s="4"/>
    </row>
    <row r="2900" spans="1:13" ht="15" customHeight="1" x14ac:dyDescent="0.35">
      <c r="A2900" t="str">
        <f t="shared" si="45"/>
        <v>P740ID01C3731</v>
      </c>
      <c r="B2900" t="str">
        <f>IFERROR(VLOOKUP($A2900,'[5]Study Budget Mapping '!$O$2:$P$532,2,0),"TBA")</f>
        <v>TBA</v>
      </c>
      <c r="D2900" s="2" t="s">
        <v>510</v>
      </c>
      <c r="E2900" s="2" t="s">
        <v>31</v>
      </c>
      <c r="F2900" s="3">
        <v>3450000</v>
      </c>
      <c r="G2900" s="3">
        <v>3450000</v>
      </c>
      <c r="H2900" s="4"/>
      <c r="I2900" s="4"/>
      <c r="J2900" s="4"/>
      <c r="K2900" s="4"/>
      <c r="L2900" s="4"/>
      <c r="M2900" s="4"/>
    </row>
    <row r="2901" spans="1:13" ht="15" customHeight="1" x14ac:dyDescent="0.35">
      <c r="A2901" t="str">
        <f t="shared" si="45"/>
        <v>P740ID01C3731</v>
      </c>
      <c r="B2901" t="str">
        <f>IFERROR(VLOOKUP($A2901,'[5]Study Budget Mapping '!$O$2:$P$532,2,0),"TBA")</f>
        <v>TBA</v>
      </c>
      <c r="D2901" s="2" t="s">
        <v>510</v>
      </c>
      <c r="E2901" s="2" t="s">
        <v>15</v>
      </c>
      <c r="F2901" s="3">
        <v>24870000</v>
      </c>
      <c r="G2901" s="3">
        <v>24870000</v>
      </c>
      <c r="H2901" s="4"/>
      <c r="I2901" s="4"/>
      <c r="J2901" s="4"/>
      <c r="K2901" s="4"/>
      <c r="L2901" s="4"/>
      <c r="M2901" s="4"/>
    </row>
    <row r="2902" spans="1:13" ht="15" customHeight="1" x14ac:dyDescent="0.35">
      <c r="A2902" t="str">
        <f t="shared" si="45"/>
        <v>P740ID01C3731</v>
      </c>
      <c r="B2902" t="str">
        <f>IFERROR(VLOOKUP($A2902,'[5]Study Budget Mapping '!$O$2:$P$532,2,0),"TBA")</f>
        <v>TBA</v>
      </c>
      <c r="D2902" s="2" t="s">
        <v>510</v>
      </c>
      <c r="E2902" s="2" t="s">
        <v>22</v>
      </c>
      <c r="F2902" s="3">
        <v>1310000</v>
      </c>
      <c r="G2902" s="3">
        <v>1310000</v>
      </c>
      <c r="H2902" s="4"/>
      <c r="I2902" s="4"/>
      <c r="J2902" s="4"/>
      <c r="K2902" s="4"/>
      <c r="L2902" s="4"/>
      <c r="M2902" s="4"/>
    </row>
    <row r="2903" spans="1:13" ht="15" customHeight="1" x14ac:dyDescent="0.35">
      <c r="A2903" t="str">
        <f t="shared" si="45"/>
        <v>P740ID01C3731</v>
      </c>
      <c r="B2903" t="str">
        <f>IFERROR(VLOOKUP($A2903,'[5]Study Budget Mapping '!$O$2:$P$532,2,0),"TBA")</f>
        <v>TBA</v>
      </c>
      <c r="D2903" s="2" t="s">
        <v>510</v>
      </c>
      <c r="E2903" s="2" t="s">
        <v>16</v>
      </c>
      <c r="F2903" s="3">
        <v>14460000</v>
      </c>
      <c r="G2903" s="3">
        <v>14460000</v>
      </c>
      <c r="H2903" s="4"/>
      <c r="I2903" s="4"/>
      <c r="J2903" s="4"/>
      <c r="K2903" s="4"/>
      <c r="L2903" s="4"/>
      <c r="M2903" s="4"/>
    </row>
    <row r="2904" spans="1:13" ht="15" customHeight="1" x14ac:dyDescent="0.35">
      <c r="A2904" t="str">
        <f t="shared" si="45"/>
        <v>P740ID01C3731</v>
      </c>
      <c r="B2904" t="str">
        <f>IFERROR(VLOOKUP($A2904,'[5]Study Budget Mapping '!$O$2:$P$532,2,0),"TBA")</f>
        <v>TBA</v>
      </c>
      <c r="D2904" s="2" t="s">
        <v>510</v>
      </c>
      <c r="E2904" s="2" t="s">
        <v>17</v>
      </c>
      <c r="F2904" s="3">
        <v>420000</v>
      </c>
      <c r="G2904" s="3">
        <v>420000</v>
      </c>
      <c r="H2904" s="4"/>
      <c r="I2904" s="4"/>
      <c r="J2904" s="4"/>
      <c r="K2904" s="4"/>
      <c r="L2904" s="4"/>
      <c r="M2904" s="4"/>
    </row>
    <row r="2905" spans="1:13" ht="15" customHeight="1" x14ac:dyDescent="0.35">
      <c r="A2905" t="str">
        <f t="shared" si="45"/>
        <v>P740ID01C3731</v>
      </c>
      <c r="B2905" t="str">
        <f>IFERROR(VLOOKUP($A2905,'[5]Study Budget Mapping '!$O$2:$P$532,2,0),"TBA")</f>
        <v>TBA</v>
      </c>
      <c r="D2905" s="2" t="s">
        <v>510</v>
      </c>
      <c r="E2905" s="2" t="s">
        <v>23</v>
      </c>
      <c r="F2905" s="3">
        <v>2315000</v>
      </c>
      <c r="G2905" s="3">
        <v>2315000</v>
      </c>
      <c r="H2905" s="4"/>
      <c r="I2905" s="4"/>
      <c r="J2905" s="4"/>
      <c r="K2905" s="4"/>
      <c r="L2905" s="4"/>
      <c r="M2905" s="4"/>
    </row>
    <row r="2906" spans="1:13" ht="15" customHeight="1" x14ac:dyDescent="0.35">
      <c r="A2906" t="str">
        <f t="shared" si="45"/>
        <v>P740ID01C3731</v>
      </c>
      <c r="B2906" t="str">
        <f>IFERROR(VLOOKUP($A2906,'[5]Study Budget Mapping '!$O$2:$P$532,2,0),"TBA")</f>
        <v>TBA</v>
      </c>
      <c r="D2906" s="2" t="s">
        <v>510</v>
      </c>
      <c r="E2906" s="2" t="s">
        <v>24</v>
      </c>
      <c r="F2906" s="3">
        <v>1450000</v>
      </c>
      <c r="G2906" s="3">
        <v>1450000</v>
      </c>
      <c r="H2906" s="4"/>
      <c r="I2906" s="4"/>
      <c r="J2906" s="4"/>
      <c r="K2906" s="4"/>
      <c r="L2906" s="4"/>
      <c r="M2906" s="4"/>
    </row>
    <row r="2907" spans="1:13" ht="15" customHeight="1" x14ac:dyDescent="0.35">
      <c r="A2907" t="str">
        <f t="shared" si="45"/>
        <v>P740ID01C3732</v>
      </c>
      <c r="B2907" t="str">
        <f>IFERROR(VLOOKUP($A2907,'[5]Study Budget Mapping '!$O$2:$P$532,2,0),"TBA")</f>
        <v>TBA</v>
      </c>
      <c r="D2907" s="2" t="s">
        <v>511</v>
      </c>
      <c r="E2907" s="2" t="s">
        <v>15</v>
      </c>
      <c r="F2907" s="3">
        <v>10000000</v>
      </c>
      <c r="G2907" s="3">
        <v>10000000</v>
      </c>
      <c r="H2907" s="4"/>
      <c r="I2907" s="4"/>
      <c r="J2907" s="4"/>
      <c r="K2907" s="4"/>
      <c r="L2907" s="4"/>
      <c r="M2907" s="4"/>
    </row>
    <row r="2908" spans="1:13" ht="15" customHeight="1" x14ac:dyDescent="0.35">
      <c r="A2908" t="str">
        <f t="shared" si="45"/>
        <v>P742HE06C2231</v>
      </c>
      <c r="B2908" t="str">
        <f>IFERROR(VLOOKUP($A2908,'[5]Study Budget Mapping '!$O$2:$P$532,2,0),"TBA")</f>
        <v>TBA</v>
      </c>
      <c r="D2908" s="2" t="s">
        <v>512</v>
      </c>
      <c r="E2908" s="2" t="s">
        <v>13</v>
      </c>
      <c r="F2908" s="3">
        <v>3500000</v>
      </c>
      <c r="G2908" s="3">
        <v>3500000</v>
      </c>
      <c r="H2908" s="4"/>
      <c r="I2908" s="4"/>
      <c r="J2908" s="4"/>
      <c r="K2908" s="4"/>
      <c r="L2908" s="4"/>
      <c r="M2908" s="4"/>
    </row>
    <row r="2909" spans="1:13" ht="15" customHeight="1" x14ac:dyDescent="0.35">
      <c r="A2909" t="str">
        <f t="shared" si="45"/>
        <v>P742HE06C2231</v>
      </c>
      <c r="B2909" t="str">
        <f>IFERROR(VLOOKUP($A2909,'[5]Study Budget Mapping '!$O$2:$P$532,2,0),"TBA")</f>
        <v>TBA</v>
      </c>
      <c r="D2909" s="2" t="s">
        <v>512</v>
      </c>
      <c r="E2909" s="2" t="s">
        <v>14</v>
      </c>
      <c r="F2909" s="3">
        <v>1600000</v>
      </c>
      <c r="G2909" s="3">
        <v>1600000</v>
      </c>
      <c r="H2909" s="4"/>
      <c r="I2909" s="4"/>
      <c r="J2909" s="4"/>
      <c r="K2909" s="4"/>
      <c r="L2909" s="4"/>
      <c r="M2909" s="4"/>
    </row>
    <row r="2910" spans="1:13" ht="15" customHeight="1" x14ac:dyDescent="0.35">
      <c r="A2910" t="str">
        <f t="shared" si="45"/>
        <v>P742HE06C2231</v>
      </c>
      <c r="B2910" t="str">
        <f>IFERROR(VLOOKUP($A2910,'[5]Study Budget Mapping '!$O$2:$P$532,2,0),"TBA")</f>
        <v>TBA</v>
      </c>
      <c r="D2910" s="2" t="s">
        <v>512</v>
      </c>
      <c r="E2910" s="2" t="s">
        <v>19</v>
      </c>
      <c r="F2910" s="3">
        <v>590000</v>
      </c>
      <c r="G2910" s="3">
        <v>590000</v>
      </c>
      <c r="H2910" s="4"/>
      <c r="I2910" s="4"/>
      <c r="J2910" s="4"/>
      <c r="K2910" s="4"/>
      <c r="L2910" s="4"/>
      <c r="M2910" s="4"/>
    </row>
    <row r="2911" spans="1:13" ht="15" customHeight="1" x14ac:dyDescent="0.35">
      <c r="A2911" t="str">
        <f t="shared" si="45"/>
        <v>P742HE06C2231</v>
      </c>
      <c r="B2911" t="str">
        <f>IFERROR(VLOOKUP($A2911,'[5]Study Budget Mapping '!$O$2:$P$532,2,0),"TBA")</f>
        <v>TBA</v>
      </c>
      <c r="D2911" s="2" t="s">
        <v>512</v>
      </c>
      <c r="E2911" s="2" t="s">
        <v>20</v>
      </c>
      <c r="F2911" s="3">
        <v>300000</v>
      </c>
      <c r="G2911" s="3">
        <v>300000</v>
      </c>
      <c r="H2911" s="4"/>
      <c r="I2911" s="4"/>
      <c r="J2911" s="4"/>
      <c r="K2911" s="4"/>
      <c r="L2911" s="4"/>
      <c r="M2911" s="4"/>
    </row>
    <row r="2912" spans="1:13" ht="15" customHeight="1" x14ac:dyDescent="0.35">
      <c r="A2912" t="str">
        <f t="shared" si="45"/>
        <v>P742HE06C2231</v>
      </c>
      <c r="B2912" t="str">
        <f>IFERROR(VLOOKUP($A2912,'[5]Study Budget Mapping '!$O$2:$P$532,2,0),"TBA")</f>
        <v>TBA</v>
      </c>
      <c r="D2912" s="2" t="s">
        <v>512</v>
      </c>
      <c r="E2912" s="2" t="s">
        <v>15</v>
      </c>
      <c r="F2912" s="3">
        <v>3470000</v>
      </c>
      <c r="G2912" s="3">
        <v>3470000</v>
      </c>
      <c r="H2912" s="4"/>
      <c r="I2912" s="4"/>
      <c r="J2912" s="4"/>
      <c r="K2912" s="4"/>
      <c r="L2912" s="4"/>
      <c r="M2912" s="4"/>
    </row>
    <row r="2913" spans="1:13" ht="15" customHeight="1" x14ac:dyDescent="0.35">
      <c r="A2913" t="str">
        <f t="shared" si="45"/>
        <v>P742HE06C2231</v>
      </c>
      <c r="B2913" t="str">
        <f>IFERROR(VLOOKUP($A2913,'[5]Study Budget Mapping '!$O$2:$P$532,2,0),"TBA")</f>
        <v>TBA</v>
      </c>
      <c r="D2913" s="2" t="s">
        <v>512</v>
      </c>
      <c r="E2913" s="2" t="s">
        <v>22</v>
      </c>
      <c r="F2913" s="3">
        <v>810000</v>
      </c>
      <c r="G2913" s="3">
        <v>810000</v>
      </c>
      <c r="H2913" s="4"/>
      <c r="I2913" s="4"/>
      <c r="J2913" s="4"/>
      <c r="K2913" s="4"/>
      <c r="L2913" s="4"/>
      <c r="M2913" s="4"/>
    </row>
    <row r="2914" spans="1:13" ht="15" customHeight="1" x14ac:dyDescent="0.35">
      <c r="A2914" t="str">
        <f t="shared" si="45"/>
        <v>P742HE06C2231</v>
      </c>
      <c r="B2914" t="str">
        <f>IFERROR(VLOOKUP($A2914,'[5]Study Budget Mapping '!$O$2:$P$532,2,0),"TBA")</f>
        <v>TBA</v>
      </c>
      <c r="D2914" s="2" t="s">
        <v>512</v>
      </c>
      <c r="E2914" s="2" t="s">
        <v>16</v>
      </c>
      <c r="F2914" s="3">
        <v>190000</v>
      </c>
      <c r="G2914" s="3">
        <v>190000</v>
      </c>
      <c r="H2914" s="4"/>
      <c r="I2914" s="4"/>
      <c r="J2914" s="4"/>
      <c r="K2914" s="4"/>
      <c r="L2914" s="4"/>
      <c r="M2914" s="4"/>
    </row>
    <row r="2915" spans="1:13" ht="15" customHeight="1" x14ac:dyDescent="0.35">
      <c r="A2915" t="str">
        <f t="shared" si="45"/>
        <v>P742HE06C2231</v>
      </c>
      <c r="B2915" t="str">
        <f>IFERROR(VLOOKUP($A2915,'[5]Study Budget Mapping '!$O$2:$P$532,2,0),"TBA")</f>
        <v>TBA</v>
      </c>
      <c r="D2915" s="2" t="s">
        <v>512</v>
      </c>
      <c r="E2915" s="2" t="s">
        <v>17</v>
      </c>
      <c r="F2915" s="3">
        <v>450000</v>
      </c>
      <c r="G2915" s="3">
        <v>450000</v>
      </c>
      <c r="H2915" s="4"/>
      <c r="I2915" s="4"/>
      <c r="J2915" s="4"/>
      <c r="K2915" s="4"/>
      <c r="L2915" s="4"/>
      <c r="M2915" s="4"/>
    </row>
    <row r="2916" spans="1:13" ht="15" customHeight="1" x14ac:dyDescent="0.35">
      <c r="A2916" t="str">
        <f t="shared" si="45"/>
        <v>P742HE06C2231</v>
      </c>
      <c r="B2916" t="str">
        <f>IFERROR(VLOOKUP($A2916,'[5]Study Budget Mapping '!$O$2:$P$532,2,0),"TBA")</f>
        <v>TBA</v>
      </c>
      <c r="D2916" s="2" t="s">
        <v>512</v>
      </c>
      <c r="E2916" s="2" t="s">
        <v>23</v>
      </c>
      <c r="F2916" s="3">
        <v>50000</v>
      </c>
      <c r="G2916" s="3">
        <v>50000</v>
      </c>
      <c r="H2916" s="4"/>
      <c r="I2916" s="4"/>
      <c r="J2916" s="4"/>
      <c r="K2916" s="4"/>
      <c r="L2916" s="4"/>
      <c r="M2916" s="4"/>
    </row>
    <row r="2917" spans="1:13" ht="15" customHeight="1" x14ac:dyDescent="0.35">
      <c r="A2917" t="str">
        <f t="shared" si="45"/>
        <v>P742HE06C2231</v>
      </c>
      <c r="B2917" t="str">
        <f>IFERROR(VLOOKUP($A2917,'[5]Study Budget Mapping '!$O$2:$P$532,2,0),"TBA")</f>
        <v>TBA</v>
      </c>
      <c r="D2917" s="2" t="s">
        <v>512</v>
      </c>
      <c r="E2917" s="2" t="s">
        <v>24</v>
      </c>
      <c r="F2917" s="3">
        <v>350000</v>
      </c>
      <c r="G2917" s="3">
        <v>350000</v>
      </c>
      <c r="H2917" s="4"/>
      <c r="I2917" s="4"/>
      <c r="J2917" s="4"/>
      <c r="K2917" s="4"/>
      <c r="L2917" s="4"/>
      <c r="M2917" s="4"/>
    </row>
    <row r="2918" spans="1:13" ht="15" customHeight="1" x14ac:dyDescent="0.35">
      <c r="A2918" t="str">
        <f t="shared" si="45"/>
        <v>P743MD04C1331</v>
      </c>
      <c r="B2918" t="str">
        <f>IFERROR(VLOOKUP($A2918,'[5]Study Budget Mapping '!$O$2:$P$532,2,0),"TBA")</f>
        <v>TBA</v>
      </c>
      <c r="D2918" s="2" t="s">
        <v>513</v>
      </c>
      <c r="E2918" s="2" t="s">
        <v>13</v>
      </c>
      <c r="F2918" s="3">
        <v>8490000</v>
      </c>
      <c r="G2918" s="3">
        <v>8490000</v>
      </c>
      <c r="H2918" s="4"/>
      <c r="I2918" s="4"/>
      <c r="J2918" s="4"/>
      <c r="K2918" s="4"/>
      <c r="L2918" s="4"/>
      <c r="M2918" s="4"/>
    </row>
    <row r="2919" spans="1:13" ht="15" customHeight="1" x14ac:dyDescent="0.35">
      <c r="A2919" t="str">
        <f t="shared" si="45"/>
        <v>P743MD04C1331</v>
      </c>
      <c r="B2919" t="str">
        <f>IFERROR(VLOOKUP($A2919,'[5]Study Budget Mapping '!$O$2:$P$532,2,0),"TBA")</f>
        <v>TBA</v>
      </c>
      <c r="D2919" s="2" t="s">
        <v>513</v>
      </c>
      <c r="E2919" s="2" t="s">
        <v>14</v>
      </c>
      <c r="F2919" s="3">
        <v>1850000</v>
      </c>
      <c r="G2919" s="3">
        <v>1850000</v>
      </c>
      <c r="H2919" s="4"/>
      <c r="I2919" s="4"/>
      <c r="J2919" s="4"/>
      <c r="K2919" s="4"/>
      <c r="L2919" s="4"/>
      <c r="M2919" s="4"/>
    </row>
    <row r="2920" spans="1:13" ht="15" customHeight="1" x14ac:dyDescent="0.35">
      <c r="A2920" t="str">
        <f t="shared" si="45"/>
        <v>P743MD04C1331</v>
      </c>
      <c r="B2920" t="str">
        <f>IFERROR(VLOOKUP($A2920,'[5]Study Budget Mapping '!$O$2:$P$532,2,0),"TBA")</f>
        <v>TBA</v>
      </c>
      <c r="D2920" s="2" t="s">
        <v>513</v>
      </c>
      <c r="E2920" s="2" t="s">
        <v>20</v>
      </c>
      <c r="F2920" s="3">
        <v>730000</v>
      </c>
      <c r="G2920" s="3">
        <v>730000</v>
      </c>
      <c r="H2920" s="4"/>
      <c r="I2920" s="4"/>
      <c r="J2920" s="4"/>
      <c r="K2920" s="4"/>
      <c r="L2920" s="4"/>
      <c r="M2920" s="4"/>
    </row>
    <row r="2921" spans="1:13" ht="15" customHeight="1" x14ac:dyDescent="0.35">
      <c r="A2921" t="str">
        <f t="shared" si="45"/>
        <v>P743MD04C1331</v>
      </c>
      <c r="B2921" t="str">
        <f>IFERROR(VLOOKUP($A2921,'[5]Study Budget Mapping '!$O$2:$P$532,2,0),"TBA")</f>
        <v>TBA</v>
      </c>
      <c r="D2921" s="2" t="s">
        <v>513</v>
      </c>
      <c r="E2921" s="2" t="s">
        <v>22</v>
      </c>
      <c r="F2921" s="3">
        <v>1170000</v>
      </c>
      <c r="G2921" s="3">
        <v>1170000</v>
      </c>
      <c r="H2921" s="4"/>
      <c r="I2921" s="4"/>
      <c r="J2921" s="4"/>
      <c r="K2921" s="4"/>
      <c r="L2921" s="4"/>
      <c r="M2921" s="4"/>
    </row>
    <row r="2922" spans="1:13" ht="15" customHeight="1" x14ac:dyDescent="0.35">
      <c r="A2922" t="str">
        <f t="shared" si="45"/>
        <v>P743MD04C1331</v>
      </c>
      <c r="B2922" t="str">
        <f>IFERROR(VLOOKUP($A2922,'[5]Study Budget Mapping '!$O$2:$P$532,2,0),"TBA")</f>
        <v>TBA</v>
      </c>
      <c r="D2922" s="2" t="s">
        <v>513</v>
      </c>
      <c r="E2922" s="2" t="s">
        <v>17</v>
      </c>
      <c r="F2922" s="3">
        <v>250000</v>
      </c>
      <c r="G2922" s="3">
        <v>250000</v>
      </c>
      <c r="H2922" s="4"/>
      <c r="I2922" s="4"/>
      <c r="J2922" s="4"/>
      <c r="K2922" s="4"/>
      <c r="L2922" s="4"/>
      <c r="M2922" s="4"/>
    </row>
    <row r="2923" spans="1:13" ht="15" customHeight="1" x14ac:dyDescent="0.35">
      <c r="A2923" t="str">
        <f t="shared" si="45"/>
        <v>P743MD04C1331</v>
      </c>
      <c r="B2923" t="str">
        <f>IFERROR(VLOOKUP($A2923,'[5]Study Budget Mapping '!$O$2:$P$532,2,0),"TBA")</f>
        <v>TBA</v>
      </c>
      <c r="D2923" s="2" t="s">
        <v>513</v>
      </c>
      <c r="E2923" s="2" t="s">
        <v>24</v>
      </c>
      <c r="F2923" s="3">
        <v>170000</v>
      </c>
      <c r="G2923" s="3">
        <v>170000</v>
      </c>
      <c r="H2923" s="4"/>
      <c r="I2923" s="4"/>
      <c r="J2923" s="4"/>
      <c r="K2923" s="4"/>
      <c r="L2923" s="4"/>
      <c r="M2923" s="4"/>
    </row>
    <row r="2924" spans="1:13" ht="15" customHeight="1" x14ac:dyDescent="0.35">
      <c r="A2924" t="str">
        <f t="shared" si="45"/>
        <v>P746NS02C1021</v>
      </c>
      <c r="B2924" t="str">
        <f>IFERROR(VLOOKUP($A2924,'[5]Study Budget Mapping '!$O$2:$P$532,2,0),"TBA")</f>
        <v>TBA</v>
      </c>
      <c r="D2924" s="2" t="s">
        <v>514</v>
      </c>
      <c r="E2924" s="2" t="s">
        <v>13</v>
      </c>
      <c r="F2924" s="3">
        <v>2600000</v>
      </c>
      <c r="G2924" s="3">
        <v>2600000</v>
      </c>
      <c r="H2924" s="4"/>
      <c r="I2924" s="4"/>
      <c r="J2924" s="4"/>
      <c r="K2924" s="4"/>
      <c r="L2924" s="4"/>
      <c r="M2924" s="4"/>
    </row>
    <row r="2925" spans="1:13" ht="15" customHeight="1" x14ac:dyDescent="0.35">
      <c r="A2925" t="str">
        <f t="shared" si="45"/>
        <v>P746NS02C1021</v>
      </c>
      <c r="B2925" t="str">
        <f>IFERROR(VLOOKUP($A2925,'[5]Study Budget Mapping '!$O$2:$P$532,2,0),"TBA")</f>
        <v>TBA</v>
      </c>
      <c r="D2925" s="2" t="s">
        <v>514</v>
      </c>
      <c r="E2925" s="2" t="s">
        <v>14</v>
      </c>
      <c r="F2925" s="3">
        <v>370000</v>
      </c>
      <c r="G2925" s="3">
        <v>370000</v>
      </c>
      <c r="H2925" s="4"/>
      <c r="I2925" s="4"/>
      <c r="J2925" s="4"/>
      <c r="K2925" s="4"/>
      <c r="L2925" s="4"/>
      <c r="M2925" s="4"/>
    </row>
    <row r="2926" spans="1:13" ht="15" customHeight="1" x14ac:dyDescent="0.35">
      <c r="A2926" t="str">
        <f t="shared" si="45"/>
        <v>P746NS02C1021</v>
      </c>
      <c r="B2926" t="str">
        <f>IFERROR(VLOOKUP($A2926,'[5]Study Budget Mapping '!$O$2:$P$532,2,0),"TBA")</f>
        <v>TBA</v>
      </c>
      <c r="D2926" s="2" t="s">
        <v>514</v>
      </c>
      <c r="E2926" s="2" t="s">
        <v>19</v>
      </c>
      <c r="F2926" s="3">
        <v>810000</v>
      </c>
      <c r="G2926" s="3">
        <v>810000</v>
      </c>
      <c r="H2926" s="4"/>
      <c r="I2926" s="4"/>
      <c r="J2926" s="4"/>
      <c r="K2926" s="4"/>
      <c r="L2926" s="4"/>
      <c r="M2926" s="4"/>
    </row>
    <row r="2927" spans="1:13" ht="15" customHeight="1" x14ac:dyDescent="0.35">
      <c r="A2927" t="str">
        <f t="shared" si="45"/>
        <v>P746NS02C1021</v>
      </c>
      <c r="B2927" t="str">
        <f>IFERROR(VLOOKUP($A2927,'[5]Study Budget Mapping '!$O$2:$P$532,2,0),"TBA")</f>
        <v>TBA</v>
      </c>
      <c r="D2927" s="2" t="s">
        <v>514</v>
      </c>
      <c r="E2927" s="2" t="s">
        <v>20</v>
      </c>
      <c r="F2927" s="3">
        <v>340000</v>
      </c>
      <c r="G2927" s="3">
        <v>340000</v>
      </c>
      <c r="H2927" s="4"/>
      <c r="I2927" s="4"/>
      <c r="J2927" s="4"/>
      <c r="K2927" s="4"/>
      <c r="L2927" s="4"/>
      <c r="M2927" s="4"/>
    </row>
    <row r="2928" spans="1:13" ht="15" customHeight="1" x14ac:dyDescent="0.35">
      <c r="A2928" t="str">
        <f t="shared" si="45"/>
        <v>P746NS02C1021</v>
      </c>
      <c r="B2928" t="str">
        <f>IFERROR(VLOOKUP($A2928,'[5]Study Budget Mapping '!$O$2:$P$532,2,0),"TBA")</f>
        <v>TBA</v>
      </c>
      <c r="D2928" s="2" t="s">
        <v>514</v>
      </c>
      <c r="E2928" s="2" t="s">
        <v>15</v>
      </c>
      <c r="F2928" s="3">
        <v>520000</v>
      </c>
      <c r="G2928" s="3">
        <v>520000</v>
      </c>
      <c r="H2928" s="4"/>
      <c r="I2928" s="4"/>
      <c r="J2928" s="4"/>
      <c r="K2928" s="4"/>
      <c r="L2928" s="4"/>
      <c r="M2928" s="4"/>
    </row>
    <row r="2929" spans="1:13" ht="15" customHeight="1" x14ac:dyDescent="0.35">
      <c r="A2929" t="str">
        <f t="shared" si="45"/>
        <v>P746NS02C1021</v>
      </c>
      <c r="B2929" t="str">
        <f>IFERROR(VLOOKUP($A2929,'[5]Study Budget Mapping '!$O$2:$P$532,2,0),"TBA")</f>
        <v>TBA</v>
      </c>
      <c r="D2929" s="2" t="s">
        <v>514</v>
      </c>
      <c r="E2929" s="2" t="s">
        <v>22</v>
      </c>
      <c r="F2929" s="3">
        <v>1490000</v>
      </c>
      <c r="G2929" s="3">
        <v>1490000</v>
      </c>
      <c r="H2929" s="4"/>
      <c r="I2929" s="4"/>
      <c r="J2929" s="4"/>
      <c r="K2929" s="4"/>
      <c r="L2929" s="4"/>
      <c r="M2929" s="4"/>
    </row>
    <row r="2930" spans="1:13" ht="15" customHeight="1" x14ac:dyDescent="0.35">
      <c r="A2930" t="str">
        <f t="shared" si="45"/>
        <v>P746NS02C1021</v>
      </c>
      <c r="B2930" t="str">
        <f>IFERROR(VLOOKUP($A2930,'[5]Study Budget Mapping '!$O$2:$P$532,2,0),"TBA")</f>
        <v>TBA</v>
      </c>
      <c r="D2930" s="2" t="s">
        <v>514</v>
      </c>
      <c r="E2930" s="2" t="s">
        <v>16</v>
      </c>
      <c r="F2930" s="3">
        <v>280000</v>
      </c>
      <c r="G2930" s="3">
        <v>280000</v>
      </c>
      <c r="H2930" s="4"/>
      <c r="I2930" s="4"/>
      <c r="J2930" s="4"/>
      <c r="K2930" s="4"/>
      <c r="L2930" s="4"/>
      <c r="M2930" s="4"/>
    </row>
    <row r="2931" spans="1:13" ht="15" customHeight="1" x14ac:dyDescent="0.35">
      <c r="A2931" t="str">
        <f t="shared" si="45"/>
        <v>P746NS02C1021</v>
      </c>
      <c r="B2931" t="str">
        <f>IFERROR(VLOOKUP($A2931,'[5]Study Budget Mapping '!$O$2:$P$532,2,0),"TBA")</f>
        <v>TBA</v>
      </c>
      <c r="D2931" s="2" t="s">
        <v>514</v>
      </c>
      <c r="E2931" s="2" t="s">
        <v>17</v>
      </c>
      <c r="F2931" s="3">
        <v>380000</v>
      </c>
      <c r="G2931" s="3">
        <v>380000</v>
      </c>
      <c r="H2931" s="4"/>
      <c r="I2931" s="4"/>
      <c r="J2931" s="4"/>
      <c r="K2931" s="4"/>
      <c r="L2931" s="4"/>
      <c r="M2931" s="4"/>
    </row>
    <row r="2932" spans="1:13" ht="15" customHeight="1" x14ac:dyDescent="0.35">
      <c r="A2932" t="str">
        <f t="shared" si="45"/>
        <v>P746NS02C1021</v>
      </c>
      <c r="B2932" t="str">
        <f>IFERROR(VLOOKUP($A2932,'[5]Study Budget Mapping '!$O$2:$P$532,2,0),"TBA")</f>
        <v>TBA</v>
      </c>
      <c r="D2932" s="2" t="s">
        <v>514</v>
      </c>
      <c r="E2932" s="2" t="s">
        <v>24</v>
      </c>
      <c r="F2932" s="3">
        <v>190000</v>
      </c>
      <c r="G2932" s="3">
        <v>190000</v>
      </c>
      <c r="H2932" s="4"/>
      <c r="I2932" s="4"/>
      <c r="J2932" s="4"/>
      <c r="K2932" s="4"/>
      <c r="L2932" s="4"/>
      <c r="M2932" s="4"/>
    </row>
    <row r="2933" spans="1:13" ht="15" customHeight="1" x14ac:dyDescent="0.35">
      <c r="A2933" t="str">
        <f t="shared" si="45"/>
        <v>P746NS02C1021</v>
      </c>
      <c r="B2933" t="str">
        <f>IFERROR(VLOOKUP($A2933,'[5]Study Budget Mapping '!$O$2:$P$532,2,0),"TBA")</f>
        <v>TBA</v>
      </c>
      <c r="D2933" s="2" t="s">
        <v>514</v>
      </c>
      <c r="E2933" s="2" t="s">
        <v>32</v>
      </c>
      <c r="F2933" s="3">
        <v>900000</v>
      </c>
      <c r="G2933" s="3">
        <v>900000</v>
      </c>
      <c r="H2933" s="4"/>
      <c r="I2933" s="4"/>
      <c r="J2933" s="4"/>
      <c r="K2933" s="4"/>
      <c r="L2933" s="4"/>
      <c r="M2933" s="4"/>
    </row>
    <row r="2934" spans="1:13" ht="15" customHeight="1" x14ac:dyDescent="0.35">
      <c r="A2934" t="str">
        <f t="shared" si="45"/>
        <v>P750ST12C1031</v>
      </c>
      <c r="B2934" t="str">
        <f>IFERROR(VLOOKUP($A2934,'[5]Study Budget Mapping '!$O$2:$P$532,2,0),"TBA")</f>
        <v>TBA</v>
      </c>
      <c r="D2934" s="2" t="s">
        <v>515</v>
      </c>
      <c r="E2934" s="2" t="s">
        <v>15</v>
      </c>
      <c r="F2934" s="3">
        <v>6000000</v>
      </c>
      <c r="G2934" s="3">
        <v>6000000</v>
      </c>
      <c r="H2934" s="4"/>
      <c r="I2934" s="4"/>
      <c r="J2934" s="4"/>
      <c r="K2934" s="4"/>
      <c r="L2934" s="4"/>
      <c r="M2934" s="4"/>
    </row>
    <row r="2935" spans="1:13" ht="15" customHeight="1" x14ac:dyDescent="0.35">
      <c r="A2935" t="str">
        <f t="shared" si="45"/>
        <v>P751HE02C1031</v>
      </c>
      <c r="B2935" t="str">
        <f>IFERROR(VLOOKUP($A2935,'[5]Study Budget Mapping '!$O$2:$P$532,2,0),"TBA")</f>
        <v>TBA</v>
      </c>
      <c r="D2935" s="2" t="s">
        <v>516</v>
      </c>
      <c r="E2935" s="2" t="s">
        <v>13</v>
      </c>
      <c r="F2935" s="3">
        <v>37100000</v>
      </c>
      <c r="G2935" s="3">
        <v>37100000</v>
      </c>
      <c r="H2935" s="4"/>
      <c r="I2935" s="4"/>
      <c r="J2935" s="4"/>
      <c r="K2935" s="4"/>
      <c r="L2935" s="4"/>
      <c r="M2935" s="4"/>
    </row>
    <row r="2936" spans="1:13" ht="15" customHeight="1" x14ac:dyDescent="0.35">
      <c r="A2936" t="str">
        <f t="shared" si="45"/>
        <v>P751HE02C1031</v>
      </c>
      <c r="B2936" t="str">
        <f>IFERROR(VLOOKUP($A2936,'[5]Study Budget Mapping '!$O$2:$P$532,2,0),"TBA")</f>
        <v>TBA</v>
      </c>
      <c r="D2936" s="2" t="s">
        <v>516</v>
      </c>
      <c r="E2936" s="2" t="s">
        <v>14</v>
      </c>
      <c r="F2936" s="3">
        <v>8150000</v>
      </c>
      <c r="G2936" s="3">
        <v>8150000</v>
      </c>
      <c r="H2936" s="4"/>
      <c r="I2936" s="4"/>
      <c r="J2936" s="4"/>
      <c r="K2936" s="4"/>
      <c r="L2936" s="4"/>
      <c r="M2936" s="4"/>
    </row>
    <row r="2937" spans="1:13" ht="15" customHeight="1" x14ac:dyDescent="0.35">
      <c r="A2937" t="str">
        <f t="shared" si="45"/>
        <v>P751HE02C1031</v>
      </c>
      <c r="B2937" t="str">
        <f>IFERROR(VLOOKUP($A2937,'[5]Study Budget Mapping '!$O$2:$P$532,2,0),"TBA")</f>
        <v>TBA</v>
      </c>
      <c r="D2937" s="2" t="s">
        <v>516</v>
      </c>
      <c r="E2937" s="2" t="s">
        <v>19</v>
      </c>
      <c r="F2937" s="3">
        <v>1130000</v>
      </c>
      <c r="G2937" s="3">
        <v>1130000</v>
      </c>
      <c r="H2937" s="4"/>
      <c r="I2937" s="4"/>
      <c r="J2937" s="4"/>
      <c r="K2937" s="4"/>
      <c r="L2937" s="4"/>
      <c r="M2937" s="4"/>
    </row>
    <row r="2938" spans="1:13" ht="15" customHeight="1" x14ac:dyDescent="0.35">
      <c r="A2938" t="str">
        <f t="shared" si="45"/>
        <v>P751HE02C1031</v>
      </c>
      <c r="B2938" t="str">
        <f>IFERROR(VLOOKUP($A2938,'[5]Study Budget Mapping '!$O$2:$P$532,2,0),"TBA")</f>
        <v>TBA</v>
      </c>
      <c r="D2938" s="2" t="s">
        <v>516</v>
      </c>
      <c r="E2938" s="2" t="s">
        <v>20</v>
      </c>
      <c r="F2938" s="3">
        <v>470000</v>
      </c>
      <c r="G2938" s="3">
        <v>470000</v>
      </c>
      <c r="H2938" s="4"/>
      <c r="I2938" s="4"/>
      <c r="J2938" s="4"/>
      <c r="K2938" s="4"/>
      <c r="L2938" s="4"/>
      <c r="M2938" s="4"/>
    </row>
    <row r="2939" spans="1:13" ht="15" customHeight="1" x14ac:dyDescent="0.35">
      <c r="A2939" t="str">
        <f t="shared" si="45"/>
        <v>P751HE02C1031</v>
      </c>
      <c r="B2939" t="str">
        <f>IFERROR(VLOOKUP($A2939,'[5]Study Budget Mapping '!$O$2:$P$532,2,0),"TBA")</f>
        <v>TBA</v>
      </c>
      <c r="D2939" s="2" t="s">
        <v>516</v>
      </c>
      <c r="E2939" s="2" t="s">
        <v>15</v>
      </c>
      <c r="F2939" s="3">
        <v>9100000</v>
      </c>
      <c r="G2939" s="3">
        <v>9100000</v>
      </c>
      <c r="H2939" s="4"/>
      <c r="I2939" s="4"/>
      <c r="J2939" s="4"/>
      <c r="K2939" s="4"/>
      <c r="L2939" s="4"/>
      <c r="M2939" s="4"/>
    </row>
    <row r="2940" spans="1:13" ht="15" customHeight="1" x14ac:dyDescent="0.35">
      <c r="A2940" t="str">
        <f t="shared" si="45"/>
        <v>P751HE02C1031</v>
      </c>
      <c r="B2940" t="str">
        <f>IFERROR(VLOOKUP($A2940,'[5]Study Budget Mapping '!$O$2:$P$532,2,0),"TBA")</f>
        <v>TBA</v>
      </c>
      <c r="D2940" s="2" t="s">
        <v>516</v>
      </c>
      <c r="E2940" s="2" t="s">
        <v>22</v>
      </c>
      <c r="F2940" s="3">
        <v>3050000</v>
      </c>
      <c r="G2940" s="3">
        <v>3050000</v>
      </c>
      <c r="H2940" s="4"/>
      <c r="I2940" s="4"/>
      <c r="J2940" s="4"/>
      <c r="K2940" s="4"/>
      <c r="L2940" s="4"/>
      <c r="M2940" s="4"/>
    </row>
    <row r="2941" spans="1:13" ht="15" customHeight="1" x14ac:dyDescent="0.35">
      <c r="A2941" t="str">
        <f t="shared" si="45"/>
        <v>P751HE02C1031</v>
      </c>
      <c r="B2941" t="str">
        <f>IFERROR(VLOOKUP($A2941,'[5]Study Budget Mapping '!$O$2:$P$532,2,0),"TBA")</f>
        <v>TBA</v>
      </c>
      <c r="D2941" s="2" t="s">
        <v>516</v>
      </c>
      <c r="E2941" s="2" t="s">
        <v>16</v>
      </c>
      <c r="F2941" s="3">
        <v>2870000</v>
      </c>
      <c r="G2941" s="3">
        <v>2870000</v>
      </c>
      <c r="H2941" s="4"/>
      <c r="I2941" s="4"/>
      <c r="J2941" s="4"/>
      <c r="K2941" s="4"/>
      <c r="L2941" s="4"/>
      <c r="M2941" s="4"/>
    </row>
    <row r="2942" spans="1:13" ht="15" customHeight="1" x14ac:dyDescent="0.35">
      <c r="A2942" t="str">
        <f t="shared" si="45"/>
        <v>P751HE02C1031</v>
      </c>
      <c r="B2942" t="str">
        <f>IFERROR(VLOOKUP($A2942,'[5]Study Budget Mapping '!$O$2:$P$532,2,0),"TBA")</f>
        <v>TBA</v>
      </c>
      <c r="D2942" s="2" t="s">
        <v>516</v>
      </c>
      <c r="E2942" s="2" t="s">
        <v>17</v>
      </c>
      <c r="F2942" s="3">
        <v>930000</v>
      </c>
      <c r="G2942" s="3">
        <v>930000</v>
      </c>
      <c r="H2942" s="4"/>
      <c r="I2942" s="4"/>
      <c r="J2942" s="4"/>
      <c r="K2942" s="4"/>
      <c r="L2942" s="4"/>
      <c r="M2942" s="4"/>
    </row>
    <row r="2943" spans="1:13" ht="15" customHeight="1" x14ac:dyDescent="0.35">
      <c r="A2943" t="str">
        <f t="shared" si="45"/>
        <v>P751HE02C1031</v>
      </c>
      <c r="B2943" t="str">
        <f>IFERROR(VLOOKUP($A2943,'[5]Study Budget Mapping '!$O$2:$P$532,2,0),"TBA")</f>
        <v>TBA</v>
      </c>
      <c r="D2943" s="2" t="s">
        <v>516</v>
      </c>
      <c r="E2943" s="2" t="s">
        <v>24</v>
      </c>
      <c r="F2943" s="3">
        <v>3000000</v>
      </c>
      <c r="G2943" s="3">
        <v>3000000</v>
      </c>
      <c r="H2943" s="4"/>
      <c r="I2943" s="4"/>
      <c r="J2943" s="4"/>
      <c r="K2943" s="4"/>
      <c r="L2943" s="4"/>
      <c r="M2943" s="4"/>
    </row>
    <row r="2944" spans="1:13" ht="15" customHeight="1" x14ac:dyDescent="0.35">
      <c r="A2944" t="str">
        <f t="shared" si="45"/>
        <v>P751HE02C1031</v>
      </c>
      <c r="B2944" t="str">
        <f>IFERROR(VLOOKUP($A2944,'[5]Study Budget Mapping '!$O$2:$P$532,2,0),"TBA")</f>
        <v>TBA</v>
      </c>
      <c r="D2944" s="2" t="s">
        <v>516</v>
      </c>
      <c r="E2944" s="2" t="s">
        <v>32</v>
      </c>
      <c r="F2944" s="3">
        <v>1900000</v>
      </c>
      <c r="G2944" s="3">
        <v>1900000</v>
      </c>
      <c r="H2944" s="4"/>
      <c r="I2944" s="4"/>
      <c r="J2944" s="4"/>
      <c r="K2944" s="4"/>
      <c r="L2944" s="4"/>
      <c r="M2944" s="4"/>
    </row>
    <row r="2945" spans="1:13" ht="15" customHeight="1" x14ac:dyDescent="0.35">
      <c r="A2945" t="str">
        <f t="shared" si="45"/>
        <v>P751HE02C1031</v>
      </c>
      <c r="B2945" t="str">
        <f>IFERROR(VLOOKUP($A2945,'[5]Study Budget Mapping '!$O$2:$P$532,2,0),"TBA")</f>
        <v>TBA</v>
      </c>
      <c r="D2945" s="2" t="s">
        <v>516</v>
      </c>
      <c r="E2945" s="2" t="s">
        <v>274</v>
      </c>
      <c r="F2945" s="3">
        <v>150000</v>
      </c>
      <c r="G2945" s="3">
        <v>150000</v>
      </c>
      <c r="H2945" s="4"/>
      <c r="I2945" s="4"/>
      <c r="J2945" s="4"/>
      <c r="K2945" s="4"/>
      <c r="L2945" s="4"/>
      <c r="M2945" s="4"/>
    </row>
    <row r="2946" spans="1:13" ht="15" customHeight="1" x14ac:dyDescent="0.35">
      <c r="A2946" t="str">
        <f t="shared" si="45"/>
        <v>P752OD00C1031</v>
      </c>
      <c r="B2946" t="str">
        <f>IFERROR(VLOOKUP($A2946,'[5]Study Budget Mapping '!$O$2:$P$532,2,0),"TBA")</f>
        <v>TBA</v>
      </c>
      <c r="D2946" s="2" t="s">
        <v>517</v>
      </c>
      <c r="E2946" s="2" t="s">
        <v>13</v>
      </c>
      <c r="F2946" s="3">
        <v>6990000</v>
      </c>
      <c r="G2946" s="3">
        <v>6990000</v>
      </c>
      <c r="H2946" s="4"/>
      <c r="I2946" s="4"/>
      <c r="J2946" s="4"/>
      <c r="K2946" s="4"/>
      <c r="L2946" s="4"/>
      <c r="M2946" s="4"/>
    </row>
    <row r="2947" spans="1:13" ht="15" customHeight="1" x14ac:dyDescent="0.35">
      <c r="A2947" t="str">
        <f t="shared" ref="A2947:A2976" si="46">TRIM(_xlfn.TEXTBEFORE(D2947,"-",1))</f>
        <v>P752OD00C1031</v>
      </c>
      <c r="B2947" t="str">
        <f>IFERROR(VLOOKUP($A2947,'[5]Study Budget Mapping '!$O$2:$P$532,2,0),"TBA")</f>
        <v>TBA</v>
      </c>
      <c r="D2947" s="2" t="s">
        <v>517</v>
      </c>
      <c r="E2947" s="2" t="s">
        <v>14</v>
      </c>
      <c r="F2947" s="3">
        <v>2170000</v>
      </c>
      <c r="G2947" s="3">
        <v>2170000</v>
      </c>
      <c r="H2947" s="4"/>
      <c r="I2947" s="4"/>
      <c r="J2947" s="4"/>
      <c r="K2947" s="4"/>
      <c r="L2947" s="4"/>
      <c r="M2947" s="4"/>
    </row>
    <row r="2948" spans="1:13" ht="15" customHeight="1" x14ac:dyDescent="0.35">
      <c r="A2948" t="str">
        <f t="shared" si="46"/>
        <v>P752OD00C1031</v>
      </c>
      <c r="B2948" t="str">
        <f>IFERROR(VLOOKUP($A2948,'[5]Study Budget Mapping '!$O$2:$P$532,2,0),"TBA")</f>
        <v>TBA</v>
      </c>
      <c r="D2948" s="2" t="s">
        <v>517</v>
      </c>
      <c r="E2948" s="2" t="s">
        <v>19</v>
      </c>
      <c r="F2948" s="3">
        <v>870000</v>
      </c>
      <c r="G2948" s="3">
        <v>870000</v>
      </c>
      <c r="H2948" s="4"/>
      <c r="I2948" s="4"/>
      <c r="J2948" s="4"/>
      <c r="K2948" s="4"/>
      <c r="L2948" s="4"/>
      <c r="M2948" s="4"/>
    </row>
    <row r="2949" spans="1:13" ht="15" customHeight="1" x14ac:dyDescent="0.35">
      <c r="A2949" t="str">
        <f t="shared" si="46"/>
        <v>P752OD00C1031</v>
      </c>
      <c r="B2949" t="str">
        <f>IFERROR(VLOOKUP($A2949,'[5]Study Budget Mapping '!$O$2:$P$532,2,0),"TBA")</f>
        <v>TBA</v>
      </c>
      <c r="D2949" s="2" t="s">
        <v>517</v>
      </c>
      <c r="E2949" s="2" t="s">
        <v>20</v>
      </c>
      <c r="F2949" s="3">
        <v>600000</v>
      </c>
      <c r="G2949" s="3">
        <v>600000</v>
      </c>
      <c r="H2949" s="4"/>
      <c r="I2949" s="4"/>
      <c r="J2949" s="4"/>
      <c r="K2949" s="4"/>
      <c r="L2949" s="4"/>
      <c r="M2949" s="4"/>
    </row>
    <row r="2950" spans="1:13" ht="15" customHeight="1" x14ac:dyDescent="0.35">
      <c r="A2950" t="str">
        <f t="shared" si="46"/>
        <v>P752OD00C1031</v>
      </c>
      <c r="B2950" t="str">
        <f>IFERROR(VLOOKUP($A2950,'[5]Study Budget Mapping '!$O$2:$P$532,2,0),"TBA")</f>
        <v>TBA</v>
      </c>
      <c r="D2950" s="2" t="s">
        <v>517</v>
      </c>
      <c r="E2950" s="2" t="s">
        <v>15</v>
      </c>
      <c r="F2950" s="3">
        <v>4160000</v>
      </c>
      <c r="G2950" s="3">
        <v>4160000</v>
      </c>
      <c r="H2950" s="4"/>
      <c r="I2950" s="4"/>
      <c r="J2950" s="4"/>
      <c r="K2950" s="4"/>
      <c r="L2950" s="4"/>
      <c r="M2950" s="4"/>
    </row>
    <row r="2951" spans="1:13" ht="15" customHeight="1" x14ac:dyDescent="0.35">
      <c r="A2951" t="str">
        <f t="shared" si="46"/>
        <v>P752OD00C1031</v>
      </c>
      <c r="B2951" t="str">
        <f>IFERROR(VLOOKUP($A2951,'[5]Study Budget Mapping '!$O$2:$P$532,2,0),"TBA")</f>
        <v>TBA</v>
      </c>
      <c r="D2951" s="2" t="s">
        <v>517</v>
      </c>
      <c r="E2951" s="2" t="s">
        <v>22</v>
      </c>
      <c r="F2951" s="3">
        <v>1020000</v>
      </c>
      <c r="G2951" s="3">
        <v>1020000</v>
      </c>
      <c r="H2951" s="4"/>
      <c r="I2951" s="4"/>
      <c r="J2951" s="4"/>
      <c r="K2951" s="4"/>
      <c r="L2951" s="4"/>
      <c r="M2951" s="4"/>
    </row>
    <row r="2952" spans="1:13" ht="15" customHeight="1" x14ac:dyDescent="0.35">
      <c r="A2952" t="str">
        <f t="shared" si="46"/>
        <v>P752OD00C1031</v>
      </c>
      <c r="B2952" t="str">
        <f>IFERROR(VLOOKUP($A2952,'[5]Study Budget Mapping '!$O$2:$P$532,2,0),"TBA")</f>
        <v>TBA</v>
      </c>
      <c r="D2952" s="2" t="s">
        <v>517</v>
      </c>
      <c r="E2952" s="2" t="s">
        <v>16</v>
      </c>
      <c r="F2952" s="3">
        <v>790000</v>
      </c>
      <c r="G2952" s="3">
        <v>790000</v>
      </c>
      <c r="H2952" s="4"/>
      <c r="I2952" s="4"/>
      <c r="J2952" s="4"/>
      <c r="K2952" s="4"/>
      <c r="L2952" s="4"/>
      <c r="M2952" s="4"/>
    </row>
    <row r="2953" spans="1:13" ht="15" customHeight="1" x14ac:dyDescent="0.35">
      <c r="A2953" t="str">
        <f t="shared" si="46"/>
        <v>P752OD00C1031</v>
      </c>
      <c r="B2953" t="str">
        <f>IFERROR(VLOOKUP($A2953,'[5]Study Budget Mapping '!$O$2:$P$532,2,0),"TBA")</f>
        <v>TBA</v>
      </c>
      <c r="D2953" s="2" t="s">
        <v>517</v>
      </c>
      <c r="E2953" s="2" t="s">
        <v>17</v>
      </c>
      <c r="F2953" s="3">
        <v>320000</v>
      </c>
      <c r="G2953" s="3">
        <v>320000</v>
      </c>
      <c r="H2953" s="4"/>
      <c r="I2953" s="4"/>
      <c r="J2953" s="4"/>
      <c r="K2953" s="4"/>
      <c r="L2953" s="4"/>
      <c r="M2953" s="4"/>
    </row>
    <row r="2954" spans="1:13" ht="15" customHeight="1" x14ac:dyDescent="0.35">
      <c r="A2954" t="str">
        <f t="shared" si="46"/>
        <v>P752OD00C1031</v>
      </c>
      <c r="B2954" t="str">
        <f>IFERROR(VLOOKUP($A2954,'[5]Study Budget Mapping '!$O$2:$P$532,2,0),"TBA")</f>
        <v>TBA</v>
      </c>
      <c r="D2954" s="2" t="s">
        <v>517</v>
      </c>
      <c r="E2954" s="2" t="s">
        <v>23</v>
      </c>
      <c r="F2954" s="3">
        <v>190000</v>
      </c>
      <c r="G2954" s="3">
        <v>190000</v>
      </c>
      <c r="H2954" s="4"/>
      <c r="I2954" s="4"/>
      <c r="J2954" s="4"/>
      <c r="K2954" s="4"/>
      <c r="L2954" s="4"/>
      <c r="M2954" s="4"/>
    </row>
    <row r="2955" spans="1:13" ht="15" customHeight="1" x14ac:dyDescent="0.35">
      <c r="A2955" t="str">
        <f t="shared" si="46"/>
        <v>P752OD00C1031</v>
      </c>
      <c r="B2955" t="str">
        <f>IFERROR(VLOOKUP($A2955,'[5]Study Budget Mapping '!$O$2:$P$532,2,0),"TBA")</f>
        <v>TBA</v>
      </c>
      <c r="D2955" s="2" t="s">
        <v>517</v>
      </c>
      <c r="E2955" s="2" t="s">
        <v>24</v>
      </c>
      <c r="F2955" s="3">
        <v>480000</v>
      </c>
      <c r="G2955" s="3">
        <v>480000</v>
      </c>
      <c r="H2955" s="4"/>
      <c r="I2955" s="4"/>
      <c r="J2955" s="4"/>
      <c r="K2955" s="4"/>
      <c r="L2955" s="4"/>
      <c r="M2955" s="4"/>
    </row>
    <row r="2956" spans="1:13" ht="15" customHeight="1" x14ac:dyDescent="0.35">
      <c r="A2956" t="str">
        <f t="shared" si="46"/>
        <v>P753HE04C1021</v>
      </c>
      <c r="B2956" t="str">
        <f>IFERROR(VLOOKUP($A2956,'[5]Study Budget Mapping '!$O$2:$P$532,2,0),"TBA")</f>
        <v>TBA</v>
      </c>
      <c r="D2956" s="2" t="s">
        <v>518</v>
      </c>
      <c r="E2956" s="2" t="s">
        <v>15</v>
      </c>
      <c r="F2956" s="3">
        <v>6000000</v>
      </c>
      <c r="G2956" s="3">
        <v>6000000</v>
      </c>
      <c r="H2956" s="4"/>
      <c r="I2956" s="4"/>
      <c r="J2956" s="4"/>
      <c r="K2956" s="4"/>
      <c r="L2956" s="4"/>
      <c r="M2956" s="4"/>
    </row>
    <row r="2957" spans="1:13" ht="15" customHeight="1" x14ac:dyDescent="0.35">
      <c r="A2957" t="str">
        <f t="shared" si="46"/>
        <v>P756MD05C1011</v>
      </c>
      <c r="B2957" t="str">
        <f>IFERROR(VLOOKUP($A2957,'[5]Study Budget Mapping '!$O$2:$P$532,2,0),"TBA")</f>
        <v>TBA</v>
      </c>
      <c r="D2957" s="2" t="s">
        <v>519</v>
      </c>
      <c r="E2957" s="2" t="s">
        <v>15</v>
      </c>
      <c r="F2957" s="3">
        <v>1000000</v>
      </c>
      <c r="G2957" s="3">
        <v>1000000</v>
      </c>
      <c r="H2957" s="4"/>
      <c r="I2957" s="4"/>
      <c r="J2957" s="4"/>
      <c r="K2957" s="4"/>
      <c r="L2957" s="4"/>
      <c r="M2957" s="4"/>
    </row>
    <row r="2958" spans="1:13" ht="15" customHeight="1" x14ac:dyDescent="0.35">
      <c r="A2958" t="str">
        <f t="shared" si="46"/>
        <v>P757HE01C1231</v>
      </c>
      <c r="B2958" t="str">
        <f>IFERROR(VLOOKUP($A2958,'[5]Study Budget Mapping '!$O$2:$P$532,2,0),"TBA")</f>
        <v>TBA</v>
      </c>
      <c r="D2958" s="2" t="s">
        <v>520</v>
      </c>
      <c r="E2958" s="2" t="s">
        <v>15</v>
      </c>
      <c r="F2958" s="3">
        <v>6000000</v>
      </c>
      <c r="G2958" s="3">
        <v>6000000</v>
      </c>
      <c r="H2958" s="4"/>
      <c r="I2958" s="4"/>
      <c r="J2958" s="4"/>
      <c r="K2958" s="4"/>
      <c r="L2958" s="4"/>
      <c r="M2958" s="4"/>
    </row>
    <row r="2959" spans="1:13" ht="15" customHeight="1" x14ac:dyDescent="0.35">
      <c r="A2959" t="str">
        <f t="shared" si="46"/>
        <v>P773IM00C1031</v>
      </c>
      <c r="B2959" t="str">
        <f>IFERROR(VLOOKUP($A2959,'[5]Study Budget Mapping '!$O$2:$P$532,2,0),"TBA")</f>
        <v>TBA</v>
      </c>
      <c r="D2959" s="2" t="s">
        <v>521</v>
      </c>
      <c r="E2959" s="2" t="s">
        <v>15</v>
      </c>
      <c r="F2959" s="3">
        <v>6000000</v>
      </c>
      <c r="G2959" s="3">
        <v>6000000</v>
      </c>
      <c r="H2959" s="4"/>
      <c r="I2959" s="4"/>
      <c r="J2959" s="4"/>
      <c r="K2959" s="4"/>
      <c r="L2959" s="4"/>
      <c r="M2959" s="4"/>
    </row>
    <row r="2960" spans="1:13" ht="15" customHeight="1" x14ac:dyDescent="0.35">
      <c r="A2960" t="str">
        <f t="shared" si="46"/>
        <v>P780MD05C3731</v>
      </c>
      <c r="B2960" t="str">
        <f>IFERROR(VLOOKUP($A2960,'[5]Study Budget Mapping '!$O$2:$P$532,2,0),"TBA")</f>
        <v>TBA</v>
      </c>
      <c r="D2960" s="2" t="s">
        <v>522</v>
      </c>
      <c r="E2960" s="2" t="s">
        <v>15</v>
      </c>
      <c r="F2960" s="3">
        <v>10000000</v>
      </c>
      <c r="G2960" s="3">
        <v>10000000</v>
      </c>
      <c r="H2960" s="4"/>
      <c r="I2960" s="4"/>
      <c r="J2960" s="4"/>
      <c r="K2960" s="4"/>
      <c r="L2960" s="4"/>
      <c r="M2960" s="4"/>
    </row>
    <row r="2961" spans="1:13" ht="15" customHeight="1" x14ac:dyDescent="0.35">
      <c r="A2961" t="str">
        <f t="shared" si="46"/>
        <v>P780MD05C1211</v>
      </c>
      <c r="B2961" t="str">
        <f>IFERROR(VLOOKUP($A2961,'[5]Study Budget Mapping '!$O$2:$P$532,2,0),"TBA")</f>
        <v>TBA</v>
      </c>
      <c r="D2961" s="2" t="s">
        <v>523</v>
      </c>
      <c r="E2961" s="2" t="s">
        <v>13</v>
      </c>
      <c r="F2961" s="3">
        <v>5400000</v>
      </c>
      <c r="G2961" s="3">
        <v>5400000</v>
      </c>
      <c r="H2961" s="4"/>
      <c r="I2961" s="4"/>
      <c r="J2961" s="4"/>
      <c r="K2961" s="4"/>
      <c r="L2961" s="4"/>
      <c r="M2961" s="4"/>
    </row>
    <row r="2962" spans="1:13" ht="15" customHeight="1" x14ac:dyDescent="0.35">
      <c r="A2962" t="str">
        <f t="shared" si="46"/>
        <v>P780MD05C1211</v>
      </c>
      <c r="B2962" t="str">
        <f>IFERROR(VLOOKUP($A2962,'[5]Study Budget Mapping '!$O$2:$P$532,2,0),"TBA")</f>
        <v>TBA</v>
      </c>
      <c r="D2962" s="2" t="s">
        <v>523</v>
      </c>
      <c r="E2962" s="2" t="s">
        <v>14</v>
      </c>
      <c r="F2962" s="3">
        <v>720000</v>
      </c>
      <c r="G2962" s="3">
        <v>720000</v>
      </c>
      <c r="H2962" s="4"/>
      <c r="I2962" s="4"/>
      <c r="J2962" s="4"/>
      <c r="K2962" s="4"/>
      <c r="L2962" s="4"/>
      <c r="M2962" s="4"/>
    </row>
    <row r="2963" spans="1:13" ht="15" customHeight="1" x14ac:dyDescent="0.35">
      <c r="A2963" t="str">
        <f t="shared" si="46"/>
        <v>P780MD05C1211</v>
      </c>
      <c r="B2963" t="str">
        <f>IFERROR(VLOOKUP($A2963,'[5]Study Budget Mapping '!$O$2:$P$532,2,0),"TBA")</f>
        <v>TBA</v>
      </c>
      <c r="D2963" s="2" t="s">
        <v>523</v>
      </c>
      <c r="E2963" s="2" t="s">
        <v>19</v>
      </c>
      <c r="F2963" s="3">
        <v>690000</v>
      </c>
      <c r="G2963" s="3">
        <v>690000</v>
      </c>
      <c r="H2963" s="4"/>
      <c r="I2963" s="4"/>
      <c r="J2963" s="4"/>
      <c r="K2963" s="4"/>
      <c r="L2963" s="4"/>
      <c r="M2963" s="4"/>
    </row>
    <row r="2964" spans="1:13" ht="14.5" x14ac:dyDescent="0.35">
      <c r="A2964" t="str">
        <f t="shared" si="46"/>
        <v>P780MD05C1211</v>
      </c>
      <c r="B2964" t="str">
        <f>IFERROR(VLOOKUP($A2964,'[5]Study Budget Mapping '!$O$2:$P$532,2,0),"TBA")</f>
        <v>TBA</v>
      </c>
      <c r="D2964" s="2" t="s">
        <v>523</v>
      </c>
      <c r="E2964" s="2" t="s">
        <v>20</v>
      </c>
      <c r="F2964" s="3">
        <v>175000</v>
      </c>
      <c r="G2964" s="3">
        <v>175000</v>
      </c>
      <c r="H2964" s="4"/>
      <c r="I2964" s="4"/>
      <c r="J2964" s="4"/>
      <c r="K2964" s="4"/>
      <c r="L2964" s="4"/>
      <c r="M2964" s="4"/>
    </row>
    <row r="2965" spans="1:13" ht="14.5" x14ac:dyDescent="0.35">
      <c r="A2965" t="str">
        <f t="shared" si="46"/>
        <v>P780MD05C1211</v>
      </c>
      <c r="B2965" t="str">
        <f>IFERROR(VLOOKUP($A2965,'[5]Study Budget Mapping '!$O$2:$P$532,2,0),"TBA")</f>
        <v>TBA</v>
      </c>
      <c r="D2965" s="2" t="s">
        <v>523</v>
      </c>
      <c r="E2965" s="2" t="s">
        <v>22</v>
      </c>
      <c r="F2965" s="3">
        <v>1070000</v>
      </c>
      <c r="G2965" s="3">
        <v>1070000</v>
      </c>
      <c r="H2965" s="4"/>
      <c r="I2965" s="4"/>
      <c r="J2965" s="4"/>
      <c r="K2965" s="4"/>
      <c r="L2965" s="4"/>
      <c r="M2965" s="4"/>
    </row>
    <row r="2966" spans="1:13" ht="14.5" x14ac:dyDescent="0.35">
      <c r="A2966" t="str">
        <f t="shared" si="46"/>
        <v>P780MD05C1211</v>
      </c>
      <c r="B2966" t="str">
        <f>IFERROR(VLOOKUP($A2966,'[5]Study Budget Mapping '!$O$2:$P$532,2,0),"TBA")</f>
        <v>TBA</v>
      </c>
      <c r="D2966" s="2" t="s">
        <v>523</v>
      </c>
      <c r="E2966" s="2" t="s">
        <v>17</v>
      </c>
      <c r="F2966" s="3">
        <v>310000</v>
      </c>
      <c r="G2966" s="3">
        <v>310000</v>
      </c>
      <c r="H2966" s="4"/>
      <c r="I2966" s="4"/>
      <c r="J2966" s="4"/>
      <c r="K2966" s="4"/>
      <c r="L2966" s="4"/>
      <c r="M2966" s="4"/>
    </row>
    <row r="2967" spans="1:13" ht="14.5" x14ac:dyDescent="0.35">
      <c r="A2967" t="str">
        <f t="shared" si="46"/>
        <v>P780MD05C1211</v>
      </c>
      <c r="B2967" t="str">
        <f>IFERROR(VLOOKUP($A2967,'[5]Study Budget Mapping '!$O$2:$P$532,2,0),"TBA")</f>
        <v>TBA</v>
      </c>
      <c r="D2967" s="2" t="s">
        <v>523</v>
      </c>
      <c r="E2967" s="2" t="s">
        <v>23</v>
      </c>
      <c r="F2967" s="3">
        <v>40000</v>
      </c>
      <c r="G2967" s="3">
        <v>40000</v>
      </c>
      <c r="H2967" s="4"/>
      <c r="I2967" s="4"/>
      <c r="J2967" s="4"/>
      <c r="K2967" s="4"/>
      <c r="L2967" s="4"/>
      <c r="M2967" s="4"/>
    </row>
    <row r="2968" spans="1:13" ht="14.5" x14ac:dyDescent="0.35">
      <c r="A2968" t="str">
        <f t="shared" si="46"/>
        <v>P780MD05C1211</v>
      </c>
      <c r="B2968" t="str">
        <f>IFERROR(VLOOKUP($A2968,'[5]Study Budget Mapping '!$O$2:$P$532,2,0),"TBA")</f>
        <v>TBA</v>
      </c>
      <c r="D2968" s="2" t="s">
        <v>523</v>
      </c>
      <c r="E2968" s="2" t="s">
        <v>24</v>
      </c>
      <c r="F2968" s="3">
        <v>225000</v>
      </c>
      <c r="G2968" s="3">
        <v>225000</v>
      </c>
      <c r="H2968" s="4"/>
      <c r="I2968" s="4"/>
      <c r="J2968" s="4"/>
      <c r="K2968" s="4"/>
      <c r="L2968" s="4"/>
      <c r="M2968" s="4"/>
    </row>
    <row r="2969" spans="1:13" ht="14.5" x14ac:dyDescent="0.35">
      <c r="A2969" t="str">
        <f t="shared" si="46"/>
        <v>P780MD05C3732</v>
      </c>
      <c r="B2969" t="str">
        <f>IFERROR(VLOOKUP($A2969,'[5]Study Budget Mapping '!$O$2:$P$532,2,0),"TBA")</f>
        <v>TBA</v>
      </c>
      <c r="D2969" s="2" t="s">
        <v>524</v>
      </c>
      <c r="E2969" s="2" t="s">
        <v>15</v>
      </c>
      <c r="F2969" s="3">
        <v>10000000</v>
      </c>
      <c r="G2969" s="3">
        <v>10000000</v>
      </c>
      <c r="H2969" s="4"/>
      <c r="I2969" s="4"/>
      <c r="J2969" s="4"/>
      <c r="K2969" s="4"/>
      <c r="L2969" s="4"/>
      <c r="M2969" s="4"/>
    </row>
    <row r="2970" spans="1:13" ht="14.5" x14ac:dyDescent="0.35">
      <c r="A2970" t="str">
        <f t="shared" si="46"/>
        <v>P780MD05C3733</v>
      </c>
      <c r="B2970" t="str">
        <f>IFERROR(VLOOKUP($A2970,'[5]Study Budget Mapping '!$O$2:$P$532,2,0),"TBA")</f>
        <v>TBA</v>
      </c>
      <c r="D2970" s="2" t="s">
        <v>525</v>
      </c>
      <c r="E2970" s="2" t="s">
        <v>15</v>
      </c>
      <c r="F2970" s="3">
        <v>10000000</v>
      </c>
      <c r="G2970" s="3">
        <v>10000000</v>
      </c>
      <c r="H2970" s="4"/>
      <c r="I2970" s="4"/>
      <c r="J2970" s="4"/>
      <c r="K2970" s="4"/>
      <c r="L2970" s="4"/>
      <c r="M2970" s="4"/>
    </row>
    <row r="2971" spans="1:13" ht="14.5" x14ac:dyDescent="0.35">
      <c r="A2971" t="str">
        <f t="shared" si="46"/>
        <v>P780IM22C2431</v>
      </c>
      <c r="B2971" t="str">
        <f>IFERROR(VLOOKUP($A2971,'[5]Study Budget Mapping '!$O$2:$P$532,2,0),"TBA")</f>
        <v>TBA</v>
      </c>
      <c r="D2971" s="2" t="s">
        <v>526</v>
      </c>
      <c r="E2971" s="2" t="s">
        <v>15</v>
      </c>
      <c r="F2971" s="3">
        <v>6000000</v>
      </c>
      <c r="G2971" s="3">
        <v>6000000</v>
      </c>
      <c r="H2971" s="4"/>
      <c r="I2971" s="4"/>
      <c r="J2971" s="4"/>
      <c r="K2971" s="4"/>
      <c r="L2971" s="4"/>
      <c r="M2971" s="4"/>
    </row>
    <row r="2972" spans="1:13" ht="14.5" x14ac:dyDescent="0.35">
      <c r="A2972" t="str">
        <f t="shared" si="46"/>
        <v>P780MD05C2411</v>
      </c>
      <c r="B2972" t="str">
        <f>IFERROR(VLOOKUP($A2972,'[5]Study Budget Mapping '!$O$2:$P$532,2,0),"TBA")</f>
        <v>TBA</v>
      </c>
      <c r="D2972" s="2" t="s">
        <v>527</v>
      </c>
      <c r="E2972" s="2" t="s">
        <v>15</v>
      </c>
      <c r="F2972" s="3">
        <v>6000000</v>
      </c>
      <c r="G2972" s="3">
        <v>6000000</v>
      </c>
      <c r="H2972" s="4"/>
      <c r="I2972" s="4"/>
      <c r="J2972" s="4"/>
      <c r="K2972" s="4"/>
      <c r="L2972" s="4"/>
      <c r="M2972" s="4"/>
    </row>
    <row r="2973" spans="1:13" ht="14.5" x14ac:dyDescent="0.35">
      <c r="A2973" t="str">
        <f t="shared" si="46"/>
        <v>P783ST12C1011</v>
      </c>
      <c r="B2973" t="str">
        <f>IFERROR(VLOOKUP($A2973,'[5]Study Budget Mapping '!$O$2:$P$532,2,0),"TBA")</f>
        <v>TBA</v>
      </c>
      <c r="D2973" s="2" t="s">
        <v>528</v>
      </c>
      <c r="E2973" s="2" t="s">
        <v>15</v>
      </c>
      <c r="F2973" s="3">
        <v>6000000</v>
      </c>
      <c r="G2973" s="3">
        <v>6000000</v>
      </c>
      <c r="H2973" s="4"/>
      <c r="I2973" s="4"/>
      <c r="J2973" s="4"/>
      <c r="K2973" s="4"/>
      <c r="L2973" s="4"/>
      <c r="M2973" s="4"/>
    </row>
    <row r="2974" spans="1:13" ht="14.5" x14ac:dyDescent="0.35">
      <c r="A2974" t="str">
        <f t="shared" si="46"/>
        <v>P761IM08C1021</v>
      </c>
      <c r="B2974" t="str">
        <f>IFERROR(VLOOKUP($A2974,'[5]Study Budget Mapping '!$O$2:$P$532,2,0),"TBA")</f>
        <v>TBA</v>
      </c>
      <c r="D2974" s="2" t="s">
        <v>529</v>
      </c>
      <c r="E2974" s="2" t="s">
        <v>15</v>
      </c>
      <c r="F2974" s="3">
        <v>3600000</v>
      </c>
      <c r="G2974" s="3">
        <v>3600000</v>
      </c>
      <c r="H2974" s="4"/>
      <c r="I2974" s="4"/>
      <c r="J2974" s="4"/>
      <c r="K2974" s="4"/>
      <c r="L2974" s="4"/>
      <c r="M2974" s="4"/>
    </row>
    <row r="2975" spans="1:13" ht="14.5" x14ac:dyDescent="0.35">
      <c r="A2975" t="str">
        <f t="shared" si="46"/>
        <v>P766OD08C2421</v>
      </c>
      <c r="B2975" t="str">
        <f>IFERROR(VLOOKUP($A2975,'[5]Study Budget Mapping '!$O$2:$P$532,2,0),"TBA")</f>
        <v>TBA</v>
      </c>
      <c r="D2975" s="2" t="s">
        <v>530</v>
      </c>
      <c r="E2975" s="2" t="s">
        <v>15</v>
      </c>
      <c r="F2975" s="3">
        <v>6000000</v>
      </c>
      <c r="G2975" s="3">
        <v>6000000</v>
      </c>
      <c r="H2975" s="4"/>
      <c r="I2975" s="4"/>
      <c r="J2975" s="4"/>
      <c r="K2975" s="4"/>
      <c r="L2975" s="4"/>
      <c r="M2975" s="4"/>
    </row>
    <row r="2976" spans="1:13" ht="14.5" x14ac:dyDescent="0.35">
      <c r="A2976" t="str">
        <f t="shared" si="46"/>
        <v>P769IM00C1021</v>
      </c>
      <c r="B2976" t="str">
        <f>IFERROR(VLOOKUP($A2976,'[5]Study Budget Mapping '!$O$2:$P$532,2,0),"TBA")</f>
        <v>TBA</v>
      </c>
      <c r="D2976" s="2" t="s">
        <v>531</v>
      </c>
      <c r="E2976" s="2" t="s">
        <v>15</v>
      </c>
      <c r="F2976" s="3">
        <v>1000000</v>
      </c>
      <c r="G2976" s="3">
        <v>1000000</v>
      </c>
      <c r="H2976" s="4"/>
      <c r="I2976" s="4"/>
      <c r="J2976" s="4"/>
      <c r="K2976" s="4"/>
      <c r="L2976" s="4"/>
      <c r="M2976" s="4"/>
    </row>
  </sheetData>
  <autoFilter ref="A2:M2976" xr:uid="{E6303BDF-3868-4B5B-AE1B-EAEEBC6FB896}"/>
  <phoneticPr fontId="1" type="noConversion"/>
  <dataValidations count="1">
    <dataValidation type="list" allowBlank="1" showInputMessage="1" sqref="F1:M1" xr:uid="{35132840-9769-4819-995A-E7D7241CF86D}">
      <formula1>"..."</formula1>
    </dataValidation>
  </dataValidations>
  <pageMargins left="0.7" right="0.7" top="0.75" bottom="0.75" header="0.3" footer="0.3"/>
  <headerFooter>
    <oddFooter>&amp;C_x000D_&amp;1#&amp;"Aptos"&amp;12&amp;K898989 Regeneron - Confidential</oddFooter>
  </headerFooter>
  <customProperties>
    <customPr name="SheetOption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BSB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Antonelle</dc:creator>
  <cp:lastModifiedBy>Danielle Olenchak</cp:lastModifiedBy>
  <dcterms:created xsi:type="dcterms:W3CDTF">2026-05-28T17:33:14Z</dcterms:created>
  <dcterms:modified xsi:type="dcterms:W3CDTF">2026-08-13T14:38:52Z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e73edcd3-4650-4991-9134-be59e64529f0_Enabled">
    <vt:lpwstr>true</vt:lpwstr>
  </property>
  <property fmtid="{D5CDD505-2E9C-101B-9397-08002B2CF9AE}" pid="5" name="MSIP_Label_e73edcd3-4650-4991-9134-be59e64529f0_SetDate">
    <vt:lpwstr>2026-07-16T18:27:01Z</vt:lpwstr>
  </property>
  <property fmtid="{D5CDD505-2E9C-101B-9397-08002B2CF9AE}" pid="6" name="MSIP_Label_e73edcd3-4650-4991-9134-be59e64529f0_Method">
    <vt:lpwstr>Standard</vt:lpwstr>
  </property>
  <property fmtid="{D5CDD505-2E9C-101B-9397-08002B2CF9AE}" pid="7" name="MSIP_Label_e73edcd3-4650-4991-9134-be59e64529f0_Name">
    <vt:lpwstr>Confidential</vt:lpwstr>
  </property>
  <property fmtid="{D5CDD505-2E9C-101B-9397-08002B2CF9AE}" pid="8" name="MSIP_Label_e73edcd3-4650-4991-9134-be59e64529f0_SiteId">
    <vt:lpwstr>3e9aadf8-6a16-490f-8dcd-c68860caae0b</vt:lpwstr>
  </property>
  <property fmtid="{D5CDD505-2E9C-101B-9397-08002B2CF9AE}" pid="9" name="MSIP_Label_e73edcd3-4650-4991-9134-be59e64529f0_ActionId">
    <vt:lpwstr>0d3f1408-b7f3-4b42-8473-d59d116089c2</vt:lpwstr>
  </property>
  <property fmtid="{D5CDD505-2E9C-101B-9397-08002B2CF9AE}" pid="10" name="MSIP_Label_e73edcd3-4650-4991-9134-be59e64529f0_ContentBits">
    <vt:lpwstr>2</vt:lpwstr>
  </property>
  <property fmtid="{D5CDD505-2E9C-101B-9397-08002B2CF9AE}" pid="11" name="MSIP_Label_e73edcd3-4650-4991-9134-be59e64529f0_Tag">
    <vt:lpwstr>10, 3, 0, 1</vt:lpwstr>
  </property>
</Properties>
</file>